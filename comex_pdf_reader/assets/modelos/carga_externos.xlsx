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iaThi\Downloads\CARGA EXTERNOS 28\CARGA EXTERNOS\"/>
    </mc:Choice>
  </mc:AlternateContent>
  <xr:revisionPtr revIDLastSave="0" documentId="13_ncr:1_{7BD34EC1-0365-4B4A-B06C-5194D22F83E2}" xr6:coauthVersionLast="47" xr6:coauthVersionMax="47" xr10:uidLastSave="{00000000-0000-0000-0000-000000000000}"/>
  <bookViews>
    <workbookView xWindow="28680" yWindow="-120" windowWidth="29040" windowHeight="15720" xr2:uid="{4638A901-3F76-4301-A32C-B664CAEC7D5B}"/>
  </bookViews>
  <sheets>
    <sheet name="libro compras" sheetId="1" r:id="rId1"/>
    <sheet name="asiento conta" sheetId="2" r:id="rId2"/>
    <sheet name="Hoja1" sheetId="3" r:id="rId3"/>
    <sheet name="Hoja2" sheetId="4" r:id="rId4"/>
  </sheets>
  <definedNames>
    <definedName name="_xlnm._FilterDatabase" localSheetId="1" hidden="1">'asiento conta'!$A$1:$N$489</definedName>
    <definedName name="_xlnm._FilterDatabase" localSheetId="3" hidden="1">Hoja2!$A$1:$A$45</definedName>
    <definedName name="_xlnm._FilterDatabase" localSheetId="0" hidden="1">'libro compras'!$A$1:$AV$490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87" i="1" l="1"/>
  <c r="AR483" i="1"/>
  <c r="AR479" i="1"/>
  <c r="AR475" i="1"/>
  <c r="AR471" i="1"/>
  <c r="AR467" i="1"/>
  <c r="AR463" i="1"/>
  <c r="AR459" i="1"/>
  <c r="AU459" i="1" s="1"/>
  <c r="AR455" i="1"/>
  <c r="AR451" i="1"/>
  <c r="AR447" i="1"/>
  <c r="AR443" i="1"/>
  <c r="AR439" i="1"/>
  <c r="AU439" i="1" s="1"/>
  <c r="AR435" i="1"/>
  <c r="AR431" i="1"/>
  <c r="AR427" i="1"/>
  <c r="AU427" i="1" s="1"/>
  <c r="AR423" i="1"/>
  <c r="AR419" i="1"/>
  <c r="AR415" i="1"/>
  <c r="AR411" i="1"/>
  <c r="AR407" i="1"/>
  <c r="AT407" i="1" s="1"/>
  <c r="AR403" i="1"/>
  <c r="AR399" i="1"/>
  <c r="AR395" i="1"/>
  <c r="AS395" i="1" s="1"/>
  <c r="AR391" i="1"/>
  <c r="AR387" i="1"/>
  <c r="AR383" i="1"/>
  <c r="AR379" i="1"/>
  <c r="AR375" i="1"/>
  <c r="AR371" i="1"/>
  <c r="AR367" i="1"/>
  <c r="AU367" i="1" s="1"/>
  <c r="AR363" i="1"/>
  <c r="AT363" i="1" s="1"/>
  <c r="AR359" i="1"/>
  <c r="AR355" i="1"/>
  <c r="AR351" i="1"/>
  <c r="AR347" i="1"/>
  <c r="AR343" i="1"/>
  <c r="AR339" i="1"/>
  <c r="AR335" i="1"/>
  <c r="AS335" i="1" s="1"/>
  <c r="AR331" i="1"/>
  <c r="AU331" i="1" s="1"/>
  <c r="AR327" i="1"/>
  <c r="AR323" i="1"/>
  <c r="AR319" i="1"/>
  <c r="AR315" i="1"/>
  <c r="AR311" i="1"/>
  <c r="AR307" i="1"/>
  <c r="AR303" i="1"/>
  <c r="AU303" i="1" s="1"/>
  <c r="AR299" i="1"/>
  <c r="AT299" i="1" s="1"/>
  <c r="AR295" i="1"/>
  <c r="AR291" i="1"/>
  <c r="AR287" i="1"/>
  <c r="AR283" i="1"/>
  <c r="AR279" i="1"/>
  <c r="AR275" i="1"/>
  <c r="AR271" i="1"/>
  <c r="AU271" i="1" s="1"/>
  <c r="AR267" i="1"/>
  <c r="AU267" i="1" s="1"/>
  <c r="AR263" i="1"/>
  <c r="AR259" i="1"/>
  <c r="AR255" i="1"/>
  <c r="AR251" i="1"/>
  <c r="AR247" i="1"/>
  <c r="AR243" i="1"/>
  <c r="AR239" i="1"/>
  <c r="AT239" i="1" s="1"/>
  <c r="AR235" i="1"/>
  <c r="AT235" i="1" s="1"/>
  <c r="AR231" i="1"/>
  <c r="AR227" i="1"/>
  <c r="AR223" i="1"/>
  <c r="AR219" i="1"/>
  <c r="AR215" i="1"/>
  <c r="AR211" i="1"/>
  <c r="AR207" i="1"/>
  <c r="AU207" i="1" s="1"/>
  <c r="AR203" i="1"/>
  <c r="AU203" i="1" s="1"/>
  <c r="AR199" i="1"/>
  <c r="AR195" i="1"/>
  <c r="AR191" i="1"/>
  <c r="AR187" i="1"/>
  <c r="AR183" i="1"/>
  <c r="AR179" i="1"/>
  <c r="AR175" i="1"/>
  <c r="AT175" i="1" s="1"/>
  <c r="AR171" i="1"/>
  <c r="AT171" i="1" s="1"/>
  <c r="AR167" i="1"/>
  <c r="AR163" i="1"/>
  <c r="AR159" i="1"/>
  <c r="AR155" i="1"/>
  <c r="AR151" i="1"/>
  <c r="AR147" i="1"/>
  <c r="AR143" i="1"/>
  <c r="AT143" i="1" s="1"/>
  <c r="AR139" i="1"/>
  <c r="AT139" i="1" s="1"/>
  <c r="AR135" i="1"/>
  <c r="AR131" i="1"/>
  <c r="AR127" i="1"/>
  <c r="AR123" i="1"/>
  <c r="AR119" i="1"/>
  <c r="AR115" i="1"/>
  <c r="AR111" i="1"/>
  <c r="AS111" i="1" s="1"/>
  <c r="AR107" i="1"/>
  <c r="AT107" i="1" s="1"/>
  <c r="AR103" i="1"/>
  <c r="AR99" i="1"/>
  <c r="AR95" i="1"/>
  <c r="AR91" i="1"/>
  <c r="AR87" i="1"/>
  <c r="AR83" i="1"/>
  <c r="AR79" i="1"/>
  <c r="AS79" i="1" s="1"/>
  <c r="AR75" i="1"/>
  <c r="AT75" i="1" s="1"/>
  <c r="AR71" i="1"/>
  <c r="AR67" i="1"/>
  <c r="AR63" i="1"/>
  <c r="AR59" i="1"/>
  <c r="AR55" i="1"/>
  <c r="AR51" i="1"/>
  <c r="AR47" i="1"/>
  <c r="AU47" i="1" s="1"/>
  <c r="AR43" i="1"/>
  <c r="AU43" i="1" s="1"/>
  <c r="AR39" i="1"/>
  <c r="AR35" i="1"/>
  <c r="AR31" i="1"/>
  <c r="AR27" i="1"/>
  <c r="AR23" i="1"/>
  <c r="AR19" i="1"/>
  <c r="AR15" i="1"/>
  <c r="AR11" i="1"/>
  <c r="AR7" i="1"/>
  <c r="AR3" i="1"/>
  <c r="B10" i="2"/>
  <c r="C10" i="2"/>
  <c r="C11" i="2" s="1"/>
  <c r="C12" i="2" s="1"/>
  <c r="C13" i="2" s="1"/>
  <c r="D10" i="2"/>
  <c r="D11" i="2" s="1"/>
  <c r="D12" i="2" s="1"/>
  <c r="D13" i="2" s="1"/>
  <c r="J10" i="2"/>
  <c r="J11" i="2" s="1"/>
  <c r="K10" i="2"/>
  <c r="K11" i="2" s="1"/>
  <c r="K12" i="2" s="1"/>
  <c r="K13" i="2" s="1"/>
  <c r="L10" i="2"/>
  <c r="L11" i="2" s="1"/>
  <c r="L12" i="2" s="1"/>
  <c r="L13" i="2" s="1"/>
  <c r="M10" i="2"/>
  <c r="M11" i="2" s="1"/>
  <c r="M12" i="2" s="1"/>
  <c r="M13" i="2" s="1"/>
  <c r="B11" i="2"/>
  <c r="J12" i="2"/>
  <c r="G13" i="2"/>
  <c r="J13" i="2"/>
  <c r="B14" i="2"/>
  <c r="C14" i="2"/>
  <c r="C15" i="2" s="1"/>
  <c r="C16" i="2" s="1"/>
  <c r="C17" i="2" s="1"/>
  <c r="D14" i="2"/>
  <c r="D15" i="2" s="1"/>
  <c r="D16" i="2" s="1"/>
  <c r="D17" i="2" s="1"/>
  <c r="J14" i="2"/>
  <c r="J15" i="2" s="1"/>
  <c r="K14" i="2"/>
  <c r="K15" i="2" s="1"/>
  <c r="K16" i="2" s="1"/>
  <c r="K17" i="2" s="1"/>
  <c r="L14" i="2"/>
  <c r="L15" i="2" s="1"/>
  <c r="L16" i="2" s="1"/>
  <c r="L17" i="2" s="1"/>
  <c r="M14" i="2"/>
  <c r="M15" i="2" s="1"/>
  <c r="M16" i="2" s="1"/>
  <c r="M17" i="2" s="1"/>
  <c r="B15" i="2"/>
  <c r="J16" i="2"/>
  <c r="G17" i="2"/>
  <c r="J17" i="2"/>
  <c r="B18" i="2"/>
  <c r="C18" i="2"/>
  <c r="C19" i="2" s="1"/>
  <c r="C20" i="2" s="1"/>
  <c r="C21" i="2" s="1"/>
  <c r="D18" i="2"/>
  <c r="D19" i="2" s="1"/>
  <c r="D20" i="2" s="1"/>
  <c r="D21" i="2" s="1"/>
  <c r="J18" i="2"/>
  <c r="J19" i="2" s="1"/>
  <c r="K18" i="2"/>
  <c r="K19" i="2" s="1"/>
  <c r="K20" i="2" s="1"/>
  <c r="K21" i="2" s="1"/>
  <c r="L18" i="2"/>
  <c r="L19" i="2" s="1"/>
  <c r="L20" i="2" s="1"/>
  <c r="L21" i="2" s="1"/>
  <c r="M18" i="2"/>
  <c r="M19" i="2" s="1"/>
  <c r="M20" i="2" s="1"/>
  <c r="M21" i="2" s="1"/>
  <c r="B19" i="2"/>
  <c r="J20" i="2"/>
  <c r="G21" i="2"/>
  <c r="J21" i="2"/>
  <c r="B22" i="2"/>
  <c r="C22" i="2"/>
  <c r="C23" i="2" s="1"/>
  <c r="C24" i="2" s="1"/>
  <c r="C25" i="2" s="1"/>
  <c r="D22" i="2"/>
  <c r="D23" i="2" s="1"/>
  <c r="D24" i="2" s="1"/>
  <c r="D25" i="2" s="1"/>
  <c r="J22" i="2"/>
  <c r="J23" i="2" s="1"/>
  <c r="K22" i="2"/>
  <c r="K23" i="2" s="1"/>
  <c r="K24" i="2" s="1"/>
  <c r="K25" i="2" s="1"/>
  <c r="L22" i="2"/>
  <c r="L23" i="2" s="1"/>
  <c r="L24" i="2" s="1"/>
  <c r="L25" i="2" s="1"/>
  <c r="M22" i="2"/>
  <c r="M23" i="2" s="1"/>
  <c r="M24" i="2" s="1"/>
  <c r="M25" i="2" s="1"/>
  <c r="B23" i="2"/>
  <c r="J24" i="2"/>
  <c r="G25" i="2"/>
  <c r="J25" i="2"/>
  <c r="B26" i="2"/>
  <c r="C26" i="2"/>
  <c r="D26" i="2"/>
  <c r="D27" i="2" s="1"/>
  <c r="D28" i="2" s="1"/>
  <c r="D29" i="2" s="1"/>
  <c r="J26" i="2"/>
  <c r="J27" i="2" s="1"/>
  <c r="K26" i="2"/>
  <c r="K27" i="2" s="1"/>
  <c r="K28" i="2" s="1"/>
  <c r="K29" i="2" s="1"/>
  <c r="L26" i="2"/>
  <c r="L27" i="2" s="1"/>
  <c r="L28" i="2" s="1"/>
  <c r="L29" i="2" s="1"/>
  <c r="M26" i="2"/>
  <c r="M27" i="2" s="1"/>
  <c r="M28" i="2" s="1"/>
  <c r="M29" i="2" s="1"/>
  <c r="B27" i="2"/>
  <c r="C27" i="2"/>
  <c r="C28" i="2" s="1"/>
  <c r="C29" i="2" s="1"/>
  <c r="J28" i="2"/>
  <c r="G29" i="2"/>
  <c r="J29" i="2"/>
  <c r="B30" i="2"/>
  <c r="C30" i="2"/>
  <c r="C31" i="2" s="1"/>
  <c r="C32" i="2" s="1"/>
  <c r="C33" i="2" s="1"/>
  <c r="D30" i="2"/>
  <c r="D31" i="2" s="1"/>
  <c r="D32" i="2" s="1"/>
  <c r="D33" i="2" s="1"/>
  <c r="J30" i="2"/>
  <c r="J31" i="2" s="1"/>
  <c r="K30" i="2"/>
  <c r="K31" i="2" s="1"/>
  <c r="K32" i="2" s="1"/>
  <c r="K33" i="2" s="1"/>
  <c r="L30" i="2"/>
  <c r="L31" i="2" s="1"/>
  <c r="L32" i="2" s="1"/>
  <c r="L33" i="2" s="1"/>
  <c r="M30" i="2"/>
  <c r="M31" i="2" s="1"/>
  <c r="M32" i="2" s="1"/>
  <c r="M33" i="2" s="1"/>
  <c r="B31" i="2"/>
  <c r="J32" i="2"/>
  <c r="G33" i="2"/>
  <c r="J33" i="2"/>
  <c r="B34" i="2"/>
  <c r="C34" i="2"/>
  <c r="C35" i="2" s="1"/>
  <c r="C36" i="2" s="1"/>
  <c r="C37" i="2" s="1"/>
  <c r="D34" i="2"/>
  <c r="D35" i="2" s="1"/>
  <c r="D36" i="2" s="1"/>
  <c r="D37" i="2" s="1"/>
  <c r="J34" i="2"/>
  <c r="J35" i="2" s="1"/>
  <c r="K34" i="2"/>
  <c r="K35" i="2" s="1"/>
  <c r="K36" i="2" s="1"/>
  <c r="K37" i="2" s="1"/>
  <c r="L34" i="2"/>
  <c r="L35" i="2" s="1"/>
  <c r="L36" i="2" s="1"/>
  <c r="L37" i="2" s="1"/>
  <c r="M34" i="2"/>
  <c r="M35" i="2" s="1"/>
  <c r="M36" i="2" s="1"/>
  <c r="M37" i="2" s="1"/>
  <c r="B35" i="2"/>
  <c r="J36" i="2"/>
  <c r="G37" i="2"/>
  <c r="J37" i="2"/>
  <c r="B38" i="2"/>
  <c r="C38" i="2"/>
  <c r="C39" i="2" s="1"/>
  <c r="C40" i="2" s="1"/>
  <c r="C41" i="2" s="1"/>
  <c r="D38" i="2"/>
  <c r="D39" i="2" s="1"/>
  <c r="D40" i="2" s="1"/>
  <c r="D41" i="2" s="1"/>
  <c r="J38" i="2"/>
  <c r="J39" i="2" s="1"/>
  <c r="K38" i="2"/>
  <c r="K39" i="2" s="1"/>
  <c r="K40" i="2" s="1"/>
  <c r="K41" i="2" s="1"/>
  <c r="L38" i="2"/>
  <c r="L39" i="2" s="1"/>
  <c r="L40" i="2" s="1"/>
  <c r="L41" i="2" s="1"/>
  <c r="M38" i="2"/>
  <c r="M39" i="2" s="1"/>
  <c r="M40" i="2" s="1"/>
  <c r="M41" i="2" s="1"/>
  <c r="B39" i="2"/>
  <c r="J40" i="2"/>
  <c r="G41" i="2"/>
  <c r="J41" i="2"/>
  <c r="B42" i="2"/>
  <c r="C42" i="2"/>
  <c r="C43" i="2" s="1"/>
  <c r="C44" i="2" s="1"/>
  <c r="C45" i="2" s="1"/>
  <c r="D42" i="2"/>
  <c r="D43" i="2" s="1"/>
  <c r="D44" i="2" s="1"/>
  <c r="D45" i="2" s="1"/>
  <c r="J42" i="2"/>
  <c r="J43" i="2" s="1"/>
  <c r="K42" i="2"/>
  <c r="K43" i="2" s="1"/>
  <c r="K44" i="2" s="1"/>
  <c r="K45" i="2" s="1"/>
  <c r="L42" i="2"/>
  <c r="L43" i="2" s="1"/>
  <c r="L44" i="2" s="1"/>
  <c r="L45" i="2" s="1"/>
  <c r="M42" i="2"/>
  <c r="M43" i="2" s="1"/>
  <c r="M44" i="2" s="1"/>
  <c r="M45" i="2" s="1"/>
  <c r="B43" i="2"/>
  <c r="J44" i="2"/>
  <c r="G45" i="2"/>
  <c r="J45" i="2"/>
  <c r="B46" i="2"/>
  <c r="C46" i="2"/>
  <c r="C47" i="2" s="1"/>
  <c r="C48" i="2" s="1"/>
  <c r="C49" i="2" s="1"/>
  <c r="D46" i="2"/>
  <c r="D47" i="2" s="1"/>
  <c r="D48" i="2" s="1"/>
  <c r="D49" i="2" s="1"/>
  <c r="J46" i="2"/>
  <c r="J47" i="2" s="1"/>
  <c r="K46" i="2"/>
  <c r="K47" i="2" s="1"/>
  <c r="K48" i="2" s="1"/>
  <c r="K49" i="2" s="1"/>
  <c r="L46" i="2"/>
  <c r="L47" i="2" s="1"/>
  <c r="L48" i="2" s="1"/>
  <c r="L49" i="2" s="1"/>
  <c r="M46" i="2"/>
  <c r="M47" i="2" s="1"/>
  <c r="M48" i="2" s="1"/>
  <c r="M49" i="2" s="1"/>
  <c r="B47" i="2"/>
  <c r="J48" i="2"/>
  <c r="G49" i="2"/>
  <c r="J49" i="2"/>
  <c r="B50" i="2"/>
  <c r="C50" i="2"/>
  <c r="C51" i="2" s="1"/>
  <c r="C52" i="2" s="1"/>
  <c r="C53" i="2" s="1"/>
  <c r="D50" i="2"/>
  <c r="D51" i="2" s="1"/>
  <c r="D52" i="2" s="1"/>
  <c r="D53" i="2" s="1"/>
  <c r="J50" i="2"/>
  <c r="J51" i="2" s="1"/>
  <c r="K50" i="2"/>
  <c r="K51" i="2" s="1"/>
  <c r="K52" i="2" s="1"/>
  <c r="K53" i="2" s="1"/>
  <c r="L50" i="2"/>
  <c r="L51" i="2" s="1"/>
  <c r="L52" i="2" s="1"/>
  <c r="L53" i="2" s="1"/>
  <c r="M50" i="2"/>
  <c r="M51" i="2" s="1"/>
  <c r="M52" i="2" s="1"/>
  <c r="M53" i="2" s="1"/>
  <c r="B51" i="2"/>
  <c r="J52" i="2"/>
  <c r="G53" i="2"/>
  <c r="J53" i="2"/>
  <c r="B54" i="2"/>
  <c r="C54" i="2"/>
  <c r="C55" i="2" s="1"/>
  <c r="C56" i="2" s="1"/>
  <c r="C57" i="2" s="1"/>
  <c r="D54" i="2"/>
  <c r="D55" i="2" s="1"/>
  <c r="D56" i="2" s="1"/>
  <c r="D57" i="2" s="1"/>
  <c r="J54" i="2"/>
  <c r="J55" i="2" s="1"/>
  <c r="K54" i="2"/>
  <c r="K55" i="2" s="1"/>
  <c r="K56" i="2" s="1"/>
  <c r="K57" i="2" s="1"/>
  <c r="L54" i="2"/>
  <c r="L55" i="2" s="1"/>
  <c r="L56" i="2" s="1"/>
  <c r="L57" i="2" s="1"/>
  <c r="M54" i="2"/>
  <c r="M55" i="2" s="1"/>
  <c r="M56" i="2" s="1"/>
  <c r="M57" i="2" s="1"/>
  <c r="B55" i="2"/>
  <c r="J56" i="2"/>
  <c r="G57" i="2"/>
  <c r="J57" i="2"/>
  <c r="B58" i="2"/>
  <c r="C58" i="2"/>
  <c r="C59" i="2" s="1"/>
  <c r="C60" i="2" s="1"/>
  <c r="C61" i="2" s="1"/>
  <c r="D58" i="2"/>
  <c r="D59" i="2" s="1"/>
  <c r="D60" i="2" s="1"/>
  <c r="D61" i="2" s="1"/>
  <c r="J58" i="2"/>
  <c r="J59" i="2" s="1"/>
  <c r="K58" i="2"/>
  <c r="K59" i="2" s="1"/>
  <c r="K60" i="2" s="1"/>
  <c r="K61" i="2" s="1"/>
  <c r="L58" i="2"/>
  <c r="L59" i="2" s="1"/>
  <c r="L60" i="2" s="1"/>
  <c r="L61" i="2" s="1"/>
  <c r="M58" i="2"/>
  <c r="M59" i="2" s="1"/>
  <c r="M60" i="2" s="1"/>
  <c r="M61" i="2" s="1"/>
  <c r="B59" i="2"/>
  <c r="J60" i="2"/>
  <c r="G61" i="2"/>
  <c r="J61" i="2"/>
  <c r="B62" i="2"/>
  <c r="C62" i="2"/>
  <c r="C63" i="2" s="1"/>
  <c r="C64" i="2" s="1"/>
  <c r="C65" i="2" s="1"/>
  <c r="D62" i="2"/>
  <c r="D63" i="2" s="1"/>
  <c r="D64" i="2" s="1"/>
  <c r="D65" i="2" s="1"/>
  <c r="J62" i="2"/>
  <c r="J63" i="2" s="1"/>
  <c r="K62" i="2"/>
  <c r="K63" i="2" s="1"/>
  <c r="K64" i="2" s="1"/>
  <c r="K65" i="2" s="1"/>
  <c r="L62" i="2"/>
  <c r="L63" i="2" s="1"/>
  <c r="L64" i="2" s="1"/>
  <c r="L65" i="2" s="1"/>
  <c r="M62" i="2"/>
  <c r="M63" i="2" s="1"/>
  <c r="M64" i="2" s="1"/>
  <c r="M65" i="2" s="1"/>
  <c r="B63" i="2"/>
  <c r="J64" i="2"/>
  <c r="G65" i="2"/>
  <c r="J65" i="2"/>
  <c r="B66" i="2"/>
  <c r="C66" i="2"/>
  <c r="C67" i="2" s="1"/>
  <c r="C68" i="2" s="1"/>
  <c r="C69" i="2" s="1"/>
  <c r="D66" i="2"/>
  <c r="D67" i="2" s="1"/>
  <c r="D68" i="2" s="1"/>
  <c r="D69" i="2" s="1"/>
  <c r="J66" i="2"/>
  <c r="J67" i="2" s="1"/>
  <c r="K66" i="2"/>
  <c r="K67" i="2" s="1"/>
  <c r="K68" i="2" s="1"/>
  <c r="K69" i="2" s="1"/>
  <c r="L66" i="2"/>
  <c r="L67" i="2" s="1"/>
  <c r="L68" i="2" s="1"/>
  <c r="L69" i="2" s="1"/>
  <c r="M66" i="2"/>
  <c r="M67" i="2" s="1"/>
  <c r="M68" i="2" s="1"/>
  <c r="M69" i="2" s="1"/>
  <c r="B67" i="2"/>
  <c r="J68" i="2"/>
  <c r="G69" i="2"/>
  <c r="J69" i="2"/>
  <c r="B70" i="2"/>
  <c r="C70" i="2"/>
  <c r="C71" i="2" s="1"/>
  <c r="C72" i="2" s="1"/>
  <c r="C73" i="2" s="1"/>
  <c r="D70" i="2"/>
  <c r="D71" i="2" s="1"/>
  <c r="D72" i="2" s="1"/>
  <c r="D73" i="2" s="1"/>
  <c r="J70" i="2"/>
  <c r="J71" i="2" s="1"/>
  <c r="K70" i="2"/>
  <c r="K71" i="2" s="1"/>
  <c r="K72" i="2" s="1"/>
  <c r="K73" i="2" s="1"/>
  <c r="L70" i="2"/>
  <c r="L71" i="2" s="1"/>
  <c r="L72" i="2" s="1"/>
  <c r="L73" i="2" s="1"/>
  <c r="M70" i="2"/>
  <c r="M71" i="2" s="1"/>
  <c r="M72" i="2" s="1"/>
  <c r="M73" i="2" s="1"/>
  <c r="B71" i="2"/>
  <c r="J72" i="2"/>
  <c r="G73" i="2"/>
  <c r="J73" i="2"/>
  <c r="B74" i="2"/>
  <c r="C74" i="2"/>
  <c r="C75" i="2" s="1"/>
  <c r="C76" i="2" s="1"/>
  <c r="C77" i="2" s="1"/>
  <c r="D74" i="2"/>
  <c r="D75" i="2" s="1"/>
  <c r="D76" i="2" s="1"/>
  <c r="D77" i="2" s="1"/>
  <c r="J74" i="2"/>
  <c r="J75" i="2" s="1"/>
  <c r="K74" i="2"/>
  <c r="K75" i="2" s="1"/>
  <c r="K76" i="2" s="1"/>
  <c r="K77" i="2" s="1"/>
  <c r="L74" i="2"/>
  <c r="L75" i="2" s="1"/>
  <c r="L76" i="2" s="1"/>
  <c r="L77" i="2" s="1"/>
  <c r="M74" i="2"/>
  <c r="M75" i="2" s="1"/>
  <c r="M76" i="2" s="1"/>
  <c r="M77" i="2" s="1"/>
  <c r="B75" i="2"/>
  <c r="J76" i="2"/>
  <c r="G77" i="2"/>
  <c r="J77" i="2"/>
  <c r="B78" i="2"/>
  <c r="C78" i="2"/>
  <c r="C79" i="2" s="1"/>
  <c r="C80" i="2" s="1"/>
  <c r="C81" i="2" s="1"/>
  <c r="D78" i="2"/>
  <c r="D79" i="2" s="1"/>
  <c r="D80" i="2" s="1"/>
  <c r="D81" i="2" s="1"/>
  <c r="J78" i="2"/>
  <c r="J79" i="2" s="1"/>
  <c r="K78" i="2"/>
  <c r="K79" i="2" s="1"/>
  <c r="K80" i="2" s="1"/>
  <c r="K81" i="2" s="1"/>
  <c r="L78" i="2"/>
  <c r="L79" i="2" s="1"/>
  <c r="L80" i="2" s="1"/>
  <c r="L81" i="2" s="1"/>
  <c r="M78" i="2"/>
  <c r="M79" i="2" s="1"/>
  <c r="M80" i="2" s="1"/>
  <c r="M81" i="2" s="1"/>
  <c r="B79" i="2"/>
  <c r="J80" i="2"/>
  <c r="G81" i="2"/>
  <c r="J81" i="2"/>
  <c r="B82" i="2"/>
  <c r="C82" i="2"/>
  <c r="C83" i="2" s="1"/>
  <c r="C84" i="2" s="1"/>
  <c r="C85" i="2" s="1"/>
  <c r="D82" i="2"/>
  <c r="D83" i="2" s="1"/>
  <c r="D84" i="2" s="1"/>
  <c r="D85" i="2" s="1"/>
  <c r="J82" i="2"/>
  <c r="J83" i="2" s="1"/>
  <c r="K82" i="2"/>
  <c r="K83" i="2" s="1"/>
  <c r="K84" i="2" s="1"/>
  <c r="K85" i="2" s="1"/>
  <c r="L82" i="2"/>
  <c r="L83" i="2" s="1"/>
  <c r="L84" i="2" s="1"/>
  <c r="L85" i="2" s="1"/>
  <c r="M82" i="2"/>
  <c r="M83" i="2" s="1"/>
  <c r="M84" i="2" s="1"/>
  <c r="M85" i="2" s="1"/>
  <c r="B83" i="2"/>
  <c r="J84" i="2"/>
  <c r="G85" i="2"/>
  <c r="J85" i="2"/>
  <c r="B86" i="2"/>
  <c r="C86" i="2"/>
  <c r="C87" i="2" s="1"/>
  <c r="C88" i="2" s="1"/>
  <c r="C89" i="2" s="1"/>
  <c r="D86" i="2"/>
  <c r="D87" i="2" s="1"/>
  <c r="D88" i="2" s="1"/>
  <c r="D89" i="2" s="1"/>
  <c r="J86" i="2"/>
  <c r="J87" i="2" s="1"/>
  <c r="K86" i="2"/>
  <c r="K87" i="2" s="1"/>
  <c r="K88" i="2" s="1"/>
  <c r="K89" i="2" s="1"/>
  <c r="L86" i="2"/>
  <c r="L87" i="2" s="1"/>
  <c r="L88" i="2" s="1"/>
  <c r="L89" i="2" s="1"/>
  <c r="M86" i="2"/>
  <c r="M87" i="2" s="1"/>
  <c r="M88" i="2" s="1"/>
  <c r="M89" i="2" s="1"/>
  <c r="B87" i="2"/>
  <c r="J88" i="2"/>
  <c r="G89" i="2"/>
  <c r="J89" i="2"/>
  <c r="B90" i="2"/>
  <c r="C90" i="2"/>
  <c r="C91" i="2" s="1"/>
  <c r="C92" i="2" s="1"/>
  <c r="C93" i="2" s="1"/>
  <c r="D90" i="2"/>
  <c r="D91" i="2" s="1"/>
  <c r="D92" i="2" s="1"/>
  <c r="D93" i="2" s="1"/>
  <c r="J90" i="2"/>
  <c r="J91" i="2" s="1"/>
  <c r="K90" i="2"/>
  <c r="K91" i="2" s="1"/>
  <c r="K92" i="2" s="1"/>
  <c r="K93" i="2" s="1"/>
  <c r="L90" i="2"/>
  <c r="L91" i="2" s="1"/>
  <c r="L92" i="2" s="1"/>
  <c r="L93" i="2" s="1"/>
  <c r="M90" i="2"/>
  <c r="M91" i="2" s="1"/>
  <c r="M92" i="2" s="1"/>
  <c r="M93" i="2" s="1"/>
  <c r="B91" i="2"/>
  <c r="J92" i="2"/>
  <c r="G93" i="2"/>
  <c r="J93" i="2"/>
  <c r="B94" i="2"/>
  <c r="C94" i="2"/>
  <c r="D94" i="2"/>
  <c r="D95" i="2" s="1"/>
  <c r="D96" i="2" s="1"/>
  <c r="D97" i="2" s="1"/>
  <c r="J94" i="2"/>
  <c r="J95" i="2" s="1"/>
  <c r="K94" i="2"/>
  <c r="K95" i="2" s="1"/>
  <c r="K96" i="2" s="1"/>
  <c r="K97" i="2" s="1"/>
  <c r="L94" i="2"/>
  <c r="L95" i="2" s="1"/>
  <c r="L96" i="2" s="1"/>
  <c r="L97" i="2" s="1"/>
  <c r="M94" i="2"/>
  <c r="M95" i="2" s="1"/>
  <c r="M96" i="2" s="1"/>
  <c r="M97" i="2" s="1"/>
  <c r="B95" i="2"/>
  <c r="C95" i="2"/>
  <c r="C96" i="2" s="1"/>
  <c r="C97" i="2" s="1"/>
  <c r="J96" i="2"/>
  <c r="G97" i="2"/>
  <c r="J97" i="2"/>
  <c r="B98" i="2"/>
  <c r="C98" i="2"/>
  <c r="C99" i="2" s="1"/>
  <c r="C100" i="2" s="1"/>
  <c r="C101" i="2" s="1"/>
  <c r="D98" i="2"/>
  <c r="D99" i="2" s="1"/>
  <c r="D100" i="2" s="1"/>
  <c r="D101" i="2" s="1"/>
  <c r="J98" i="2"/>
  <c r="J99" i="2" s="1"/>
  <c r="K98" i="2"/>
  <c r="K99" i="2" s="1"/>
  <c r="K100" i="2" s="1"/>
  <c r="K101" i="2" s="1"/>
  <c r="L98" i="2"/>
  <c r="M98" i="2"/>
  <c r="M99" i="2" s="1"/>
  <c r="M100" i="2" s="1"/>
  <c r="M101" i="2" s="1"/>
  <c r="B99" i="2"/>
  <c r="L99" i="2"/>
  <c r="L100" i="2" s="1"/>
  <c r="L101" i="2" s="1"/>
  <c r="J100" i="2"/>
  <c r="G101" i="2"/>
  <c r="J101" i="2"/>
  <c r="B102" i="2"/>
  <c r="C102" i="2"/>
  <c r="C103" i="2" s="1"/>
  <c r="C104" i="2" s="1"/>
  <c r="C105" i="2" s="1"/>
  <c r="D102" i="2"/>
  <c r="D103" i="2" s="1"/>
  <c r="D104" i="2" s="1"/>
  <c r="D105" i="2" s="1"/>
  <c r="J102" i="2"/>
  <c r="J103" i="2" s="1"/>
  <c r="K102" i="2"/>
  <c r="K103" i="2" s="1"/>
  <c r="K104" i="2" s="1"/>
  <c r="K105" i="2" s="1"/>
  <c r="L102" i="2"/>
  <c r="L103" i="2" s="1"/>
  <c r="L104" i="2" s="1"/>
  <c r="L105" i="2" s="1"/>
  <c r="M102" i="2"/>
  <c r="M103" i="2" s="1"/>
  <c r="M104" i="2" s="1"/>
  <c r="M105" i="2" s="1"/>
  <c r="B103" i="2"/>
  <c r="J104" i="2"/>
  <c r="G105" i="2"/>
  <c r="J105" i="2"/>
  <c r="B106" i="2"/>
  <c r="C106" i="2"/>
  <c r="C107" i="2" s="1"/>
  <c r="C108" i="2" s="1"/>
  <c r="C109" i="2" s="1"/>
  <c r="D106" i="2"/>
  <c r="D107" i="2" s="1"/>
  <c r="D108" i="2" s="1"/>
  <c r="D109" i="2" s="1"/>
  <c r="J106" i="2"/>
  <c r="J107" i="2" s="1"/>
  <c r="K106" i="2"/>
  <c r="K107" i="2" s="1"/>
  <c r="K108" i="2" s="1"/>
  <c r="K109" i="2" s="1"/>
  <c r="L106" i="2"/>
  <c r="L107" i="2" s="1"/>
  <c r="L108" i="2" s="1"/>
  <c r="L109" i="2" s="1"/>
  <c r="M106" i="2"/>
  <c r="M107" i="2" s="1"/>
  <c r="M108" i="2" s="1"/>
  <c r="M109" i="2" s="1"/>
  <c r="B107" i="2"/>
  <c r="J108" i="2"/>
  <c r="G109" i="2"/>
  <c r="J109" i="2"/>
  <c r="B110" i="2"/>
  <c r="C110" i="2"/>
  <c r="C111" i="2" s="1"/>
  <c r="C112" i="2" s="1"/>
  <c r="C113" i="2" s="1"/>
  <c r="D110" i="2"/>
  <c r="D111" i="2" s="1"/>
  <c r="D112" i="2" s="1"/>
  <c r="D113" i="2" s="1"/>
  <c r="J110" i="2"/>
  <c r="J111" i="2" s="1"/>
  <c r="K110" i="2"/>
  <c r="K111" i="2" s="1"/>
  <c r="K112" i="2" s="1"/>
  <c r="K113" i="2" s="1"/>
  <c r="L110" i="2"/>
  <c r="L111" i="2" s="1"/>
  <c r="L112" i="2" s="1"/>
  <c r="L113" i="2" s="1"/>
  <c r="M110" i="2"/>
  <c r="M111" i="2" s="1"/>
  <c r="M112" i="2" s="1"/>
  <c r="M113" i="2" s="1"/>
  <c r="B111" i="2"/>
  <c r="J112" i="2"/>
  <c r="G113" i="2"/>
  <c r="J113" i="2"/>
  <c r="B114" i="2"/>
  <c r="C114" i="2"/>
  <c r="C115" i="2" s="1"/>
  <c r="C116" i="2" s="1"/>
  <c r="C117" i="2" s="1"/>
  <c r="D114" i="2"/>
  <c r="D115" i="2" s="1"/>
  <c r="D116" i="2" s="1"/>
  <c r="D117" i="2" s="1"/>
  <c r="J114" i="2"/>
  <c r="J115" i="2" s="1"/>
  <c r="K114" i="2"/>
  <c r="K115" i="2" s="1"/>
  <c r="K116" i="2" s="1"/>
  <c r="K117" i="2" s="1"/>
  <c r="L114" i="2"/>
  <c r="L115" i="2" s="1"/>
  <c r="L116" i="2" s="1"/>
  <c r="L117" i="2" s="1"/>
  <c r="M114" i="2"/>
  <c r="M115" i="2" s="1"/>
  <c r="M116" i="2" s="1"/>
  <c r="M117" i="2" s="1"/>
  <c r="B115" i="2"/>
  <c r="J116" i="2"/>
  <c r="G117" i="2"/>
  <c r="J117" i="2"/>
  <c r="B118" i="2"/>
  <c r="C118" i="2"/>
  <c r="C119" i="2" s="1"/>
  <c r="C120" i="2" s="1"/>
  <c r="C121" i="2" s="1"/>
  <c r="D118" i="2"/>
  <c r="D119" i="2" s="1"/>
  <c r="D120" i="2" s="1"/>
  <c r="D121" i="2" s="1"/>
  <c r="J118" i="2"/>
  <c r="J119" i="2" s="1"/>
  <c r="K118" i="2"/>
  <c r="K119" i="2" s="1"/>
  <c r="K120" i="2" s="1"/>
  <c r="K121" i="2" s="1"/>
  <c r="L118" i="2"/>
  <c r="L119" i="2" s="1"/>
  <c r="L120" i="2" s="1"/>
  <c r="L121" i="2" s="1"/>
  <c r="M118" i="2"/>
  <c r="M119" i="2" s="1"/>
  <c r="M120" i="2" s="1"/>
  <c r="M121" i="2" s="1"/>
  <c r="B119" i="2"/>
  <c r="J120" i="2"/>
  <c r="G121" i="2"/>
  <c r="J121" i="2"/>
  <c r="B122" i="2"/>
  <c r="C122" i="2"/>
  <c r="D122" i="2"/>
  <c r="D123" i="2" s="1"/>
  <c r="D124" i="2" s="1"/>
  <c r="D125" i="2" s="1"/>
  <c r="J122" i="2"/>
  <c r="J123" i="2" s="1"/>
  <c r="K122" i="2"/>
  <c r="K123" i="2" s="1"/>
  <c r="K124" i="2" s="1"/>
  <c r="K125" i="2" s="1"/>
  <c r="L122" i="2"/>
  <c r="L123" i="2" s="1"/>
  <c r="L124" i="2" s="1"/>
  <c r="L125" i="2" s="1"/>
  <c r="M122" i="2"/>
  <c r="M123" i="2" s="1"/>
  <c r="M124" i="2" s="1"/>
  <c r="M125" i="2" s="1"/>
  <c r="B123" i="2"/>
  <c r="C123" i="2"/>
  <c r="C124" i="2" s="1"/>
  <c r="C125" i="2" s="1"/>
  <c r="J124" i="2"/>
  <c r="G125" i="2"/>
  <c r="J125" i="2"/>
  <c r="B126" i="2"/>
  <c r="C126" i="2"/>
  <c r="C127" i="2" s="1"/>
  <c r="C128" i="2" s="1"/>
  <c r="C129" i="2" s="1"/>
  <c r="D126" i="2"/>
  <c r="D127" i="2" s="1"/>
  <c r="D128" i="2" s="1"/>
  <c r="D129" i="2" s="1"/>
  <c r="J126" i="2"/>
  <c r="J127" i="2" s="1"/>
  <c r="K126" i="2"/>
  <c r="K127" i="2" s="1"/>
  <c r="K128" i="2" s="1"/>
  <c r="K129" i="2" s="1"/>
  <c r="L126" i="2"/>
  <c r="L127" i="2" s="1"/>
  <c r="L128" i="2" s="1"/>
  <c r="L129" i="2" s="1"/>
  <c r="M126" i="2"/>
  <c r="M127" i="2" s="1"/>
  <c r="M128" i="2" s="1"/>
  <c r="M129" i="2" s="1"/>
  <c r="B127" i="2"/>
  <c r="J128" i="2"/>
  <c r="G129" i="2"/>
  <c r="J129" i="2"/>
  <c r="B130" i="2"/>
  <c r="C130" i="2"/>
  <c r="C131" i="2" s="1"/>
  <c r="C132" i="2" s="1"/>
  <c r="C133" i="2" s="1"/>
  <c r="D130" i="2"/>
  <c r="D131" i="2" s="1"/>
  <c r="D132" i="2" s="1"/>
  <c r="D133" i="2" s="1"/>
  <c r="J130" i="2"/>
  <c r="J131" i="2" s="1"/>
  <c r="K130" i="2"/>
  <c r="K131" i="2" s="1"/>
  <c r="K132" i="2" s="1"/>
  <c r="K133" i="2" s="1"/>
  <c r="L130" i="2"/>
  <c r="L131" i="2" s="1"/>
  <c r="L132" i="2" s="1"/>
  <c r="L133" i="2" s="1"/>
  <c r="M130" i="2"/>
  <c r="M131" i="2" s="1"/>
  <c r="M132" i="2" s="1"/>
  <c r="M133" i="2" s="1"/>
  <c r="B131" i="2"/>
  <c r="J132" i="2"/>
  <c r="G133" i="2"/>
  <c r="J133" i="2"/>
  <c r="B134" i="2"/>
  <c r="C134" i="2"/>
  <c r="C135" i="2" s="1"/>
  <c r="C136" i="2" s="1"/>
  <c r="C137" i="2" s="1"/>
  <c r="D134" i="2"/>
  <c r="D135" i="2" s="1"/>
  <c r="D136" i="2" s="1"/>
  <c r="D137" i="2" s="1"/>
  <c r="J134" i="2"/>
  <c r="J135" i="2" s="1"/>
  <c r="K134" i="2"/>
  <c r="K135" i="2" s="1"/>
  <c r="K136" i="2" s="1"/>
  <c r="K137" i="2" s="1"/>
  <c r="L134" i="2"/>
  <c r="L135" i="2" s="1"/>
  <c r="L136" i="2" s="1"/>
  <c r="L137" i="2" s="1"/>
  <c r="M134" i="2"/>
  <c r="M135" i="2" s="1"/>
  <c r="M136" i="2" s="1"/>
  <c r="M137" i="2" s="1"/>
  <c r="B135" i="2"/>
  <c r="J136" i="2"/>
  <c r="G137" i="2"/>
  <c r="J137" i="2"/>
  <c r="B138" i="2"/>
  <c r="C138" i="2"/>
  <c r="C139" i="2" s="1"/>
  <c r="C140" i="2" s="1"/>
  <c r="C141" i="2" s="1"/>
  <c r="D138" i="2"/>
  <c r="D139" i="2" s="1"/>
  <c r="D140" i="2" s="1"/>
  <c r="D141" i="2" s="1"/>
  <c r="J138" i="2"/>
  <c r="J139" i="2" s="1"/>
  <c r="K138" i="2"/>
  <c r="K139" i="2" s="1"/>
  <c r="K140" i="2" s="1"/>
  <c r="K141" i="2" s="1"/>
  <c r="L138" i="2"/>
  <c r="L139" i="2" s="1"/>
  <c r="L140" i="2" s="1"/>
  <c r="L141" i="2" s="1"/>
  <c r="M138" i="2"/>
  <c r="M139" i="2" s="1"/>
  <c r="M140" i="2" s="1"/>
  <c r="M141" i="2" s="1"/>
  <c r="B139" i="2"/>
  <c r="J140" i="2"/>
  <c r="G141" i="2"/>
  <c r="J141" i="2"/>
  <c r="B142" i="2"/>
  <c r="C142" i="2"/>
  <c r="C143" i="2" s="1"/>
  <c r="C144" i="2" s="1"/>
  <c r="C145" i="2" s="1"/>
  <c r="D142" i="2"/>
  <c r="D143" i="2" s="1"/>
  <c r="D144" i="2" s="1"/>
  <c r="D145" i="2" s="1"/>
  <c r="J142" i="2"/>
  <c r="J143" i="2" s="1"/>
  <c r="K142" i="2"/>
  <c r="K143" i="2" s="1"/>
  <c r="K144" i="2" s="1"/>
  <c r="K145" i="2" s="1"/>
  <c r="L142" i="2"/>
  <c r="L143" i="2" s="1"/>
  <c r="L144" i="2" s="1"/>
  <c r="L145" i="2" s="1"/>
  <c r="M142" i="2"/>
  <c r="M143" i="2" s="1"/>
  <c r="M144" i="2" s="1"/>
  <c r="M145" i="2" s="1"/>
  <c r="B143" i="2"/>
  <c r="J144" i="2"/>
  <c r="G145" i="2"/>
  <c r="J145" i="2"/>
  <c r="B146" i="2"/>
  <c r="C146" i="2"/>
  <c r="C147" i="2" s="1"/>
  <c r="C148" i="2" s="1"/>
  <c r="C149" i="2" s="1"/>
  <c r="D146" i="2"/>
  <c r="D147" i="2" s="1"/>
  <c r="D148" i="2" s="1"/>
  <c r="D149" i="2" s="1"/>
  <c r="J146" i="2"/>
  <c r="J147" i="2" s="1"/>
  <c r="K146" i="2"/>
  <c r="L146" i="2"/>
  <c r="L147" i="2" s="1"/>
  <c r="L148" i="2" s="1"/>
  <c r="L149" i="2" s="1"/>
  <c r="M146" i="2"/>
  <c r="M147" i="2" s="1"/>
  <c r="M148" i="2" s="1"/>
  <c r="M149" i="2" s="1"/>
  <c r="B147" i="2"/>
  <c r="K147" i="2"/>
  <c r="K148" i="2" s="1"/>
  <c r="K149" i="2" s="1"/>
  <c r="J148" i="2"/>
  <c r="G149" i="2"/>
  <c r="J149" i="2"/>
  <c r="B150" i="2"/>
  <c r="C150" i="2"/>
  <c r="C151" i="2" s="1"/>
  <c r="C152" i="2" s="1"/>
  <c r="C153" i="2" s="1"/>
  <c r="D150" i="2"/>
  <c r="D151" i="2" s="1"/>
  <c r="D152" i="2" s="1"/>
  <c r="D153" i="2" s="1"/>
  <c r="J150" i="2"/>
  <c r="J151" i="2" s="1"/>
  <c r="K150" i="2"/>
  <c r="K151" i="2" s="1"/>
  <c r="K152" i="2" s="1"/>
  <c r="K153" i="2" s="1"/>
  <c r="L150" i="2"/>
  <c r="L151" i="2" s="1"/>
  <c r="L152" i="2" s="1"/>
  <c r="L153" i="2" s="1"/>
  <c r="M150" i="2"/>
  <c r="M151" i="2" s="1"/>
  <c r="M152" i="2" s="1"/>
  <c r="M153" i="2" s="1"/>
  <c r="B151" i="2"/>
  <c r="J152" i="2"/>
  <c r="G153" i="2"/>
  <c r="J153" i="2"/>
  <c r="B154" i="2"/>
  <c r="C154" i="2"/>
  <c r="C155" i="2" s="1"/>
  <c r="C156" i="2" s="1"/>
  <c r="C157" i="2" s="1"/>
  <c r="D154" i="2"/>
  <c r="D155" i="2" s="1"/>
  <c r="D156" i="2" s="1"/>
  <c r="D157" i="2" s="1"/>
  <c r="J154" i="2"/>
  <c r="J155" i="2" s="1"/>
  <c r="K154" i="2"/>
  <c r="K155" i="2" s="1"/>
  <c r="K156" i="2" s="1"/>
  <c r="K157" i="2" s="1"/>
  <c r="L154" i="2"/>
  <c r="L155" i="2" s="1"/>
  <c r="L156" i="2" s="1"/>
  <c r="L157" i="2" s="1"/>
  <c r="M154" i="2"/>
  <c r="M155" i="2" s="1"/>
  <c r="M156" i="2" s="1"/>
  <c r="M157" i="2" s="1"/>
  <c r="B155" i="2"/>
  <c r="J156" i="2"/>
  <c r="G157" i="2"/>
  <c r="J157" i="2"/>
  <c r="B158" i="2"/>
  <c r="C158" i="2"/>
  <c r="C159" i="2" s="1"/>
  <c r="C160" i="2" s="1"/>
  <c r="C161" i="2" s="1"/>
  <c r="D158" i="2"/>
  <c r="D159" i="2" s="1"/>
  <c r="D160" i="2" s="1"/>
  <c r="D161" i="2" s="1"/>
  <c r="J158" i="2"/>
  <c r="J159" i="2" s="1"/>
  <c r="K158" i="2"/>
  <c r="K159" i="2" s="1"/>
  <c r="K160" i="2" s="1"/>
  <c r="K161" i="2" s="1"/>
  <c r="L158" i="2"/>
  <c r="L159" i="2" s="1"/>
  <c r="L160" i="2" s="1"/>
  <c r="L161" i="2" s="1"/>
  <c r="M158" i="2"/>
  <c r="M159" i="2" s="1"/>
  <c r="M160" i="2" s="1"/>
  <c r="M161" i="2" s="1"/>
  <c r="B159" i="2"/>
  <c r="J160" i="2"/>
  <c r="G161" i="2"/>
  <c r="J161" i="2"/>
  <c r="B162" i="2"/>
  <c r="C162" i="2"/>
  <c r="C163" i="2" s="1"/>
  <c r="C164" i="2" s="1"/>
  <c r="C165" i="2" s="1"/>
  <c r="D162" i="2"/>
  <c r="D163" i="2" s="1"/>
  <c r="D164" i="2" s="1"/>
  <c r="D165" i="2" s="1"/>
  <c r="J162" i="2"/>
  <c r="J163" i="2" s="1"/>
  <c r="K162" i="2"/>
  <c r="K163" i="2" s="1"/>
  <c r="K164" i="2" s="1"/>
  <c r="K165" i="2" s="1"/>
  <c r="L162" i="2"/>
  <c r="L163" i="2" s="1"/>
  <c r="L164" i="2" s="1"/>
  <c r="L165" i="2" s="1"/>
  <c r="M162" i="2"/>
  <c r="M163" i="2" s="1"/>
  <c r="M164" i="2" s="1"/>
  <c r="M165" i="2" s="1"/>
  <c r="B163" i="2"/>
  <c r="J164" i="2"/>
  <c r="G165" i="2"/>
  <c r="J165" i="2"/>
  <c r="B166" i="2"/>
  <c r="C166" i="2"/>
  <c r="C167" i="2" s="1"/>
  <c r="C168" i="2" s="1"/>
  <c r="C169" i="2" s="1"/>
  <c r="D166" i="2"/>
  <c r="D167" i="2" s="1"/>
  <c r="D168" i="2" s="1"/>
  <c r="D169" i="2" s="1"/>
  <c r="J166" i="2"/>
  <c r="J167" i="2" s="1"/>
  <c r="K166" i="2"/>
  <c r="K167" i="2" s="1"/>
  <c r="K168" i="2" s="1"/>
  <c r="K169" i="2" s="1"/>
  <c r="L166" i="2"/>
  <c r="L167" i="2" s="1"/>
  <c r="L168" i="2" s="1"/>
  <c r="L169" i="2" s="1"/>
  <c r="M166" i="2"/>
  <c r="M167" i="2" s="1"/>
  <c r="M168" i="2" s="1"/>
  <c r="M169" i="2" s="1"/>
  <c r="B167" i="2"/>
  <c r="J168" i="2"/>
  <c r="G169" i="2"/>
  <c r="J169" i="2"/>
  <c r="B170" i="2"/>
  <c r="C170" i="2"/>
  <c r="C171" i="2" s="1"/>
  <c r="C172" i="2" s="1"/>
  <c r="C173" i="2" s="1"/>
  <c r="D170" i="2"/>
  <c r="D171" i="2" s="1"/>
  <c r="D172" i="2" s="1"/>
  <c r="D173" i="2" s="1"/>
  <c r="J170" i="2"/>
  <c r="J171" i="2" s="1"/>
  <c r="K170" i="2"/>
  <c r="K171" i="2" s="1"/>
  <c r="K172" i="2" s="1"/>
  <c r="K173" i="2" s="1"/>
  <c r="L170" i="2"/>
  <c r="L171" i="2" s="1"/>
  <c r="L172" i="2" s="1"/>
  <c r="L173" i="2" s="1"/>
  <c r="M170" i="2"/>
  <c r="M171" i="2" s="1"/>
  <c r="M172" i="2" s="1"/>
  <c r="M173" i="2" s="1"/>
  <c r="B171" i="2"/>
  <c r="J172" i="2"/>
  <c r="G173" i="2"/>
  <c r="J173" i="2"/>
  <c r="B174" i="2"/>
  <c r="C174" i="2"/>
  <c r="C175" i="2" s="1"/>
  <c r="C176" i="2" s="1"/>
  <c r="C177" i="2" s="1"/>
  <c r="D174" i="2"/>
  <c r="D175" i="2" s="1"/>
  <c r="D176" i="2" s="1"/>
  <c r="D177" i="2" s="1"/>
  <c r="J174" i="2"/>
  <c r="J175" i="2" s="1"/>
  <c r="K174" i="2"/>
  <c r="K175" i="2" s="1"/>
  <c r="K176" i="2" s="1"/>
  <c r="K177" i="2" s="1"/>
  <c r="L174" i="2"/>
  <c r="L175" i="2" s="1"/>
  <c r="L176" i="2" s="1"/>
  <c r="L177" i="2" s="1"/>
  <c r="M174" i="2"/>
  <c r="M175" i="2" s="1"/>
  <c r="M176" i="2" s="1"/>
  <c r="M177" i="2" s="1"/>
  <c r="B175" i="2"/>
  <c r="J176" i="2"/>
  <c r="G177" i="2"/>
  <c r="J177" i="2"/>
  <c r="B178" i="2"/>
  <c r="C178" i="2"/>
  <c r="C179" i="2" s="1"/>
  <c r="C180" i="2" s="1"/>
  <c r="C181" i="2" s="1"/>
  <c r="D178" i="2"/>
  <c r="D179" i="2" s="1"/>
  <c r="D180" i="2" s="1"/>
  <c r="D181" i="2" s="1"/>
  <c r="J178" i="2"/>
  <c r="J179" i="2" s="1"/>
  <c r="K178" i="2"/>
  <c r="K179" i="2" s="1"/>
  <c r="K180" i="2" s="1"/>
  <c r="K181" i="2" s="1"/>
  <c r="L178" i="2"/>
  <c r="L179" i="2" s="1"/>
  <c r="L180" i="2" s="1"/>
  <c r="L181" i="2" s="1"/>
  <c r="M178" i="2"/>
  <c r="M179" i="2" s="1"/>
  <c r="M180" i="2" s="1"/>
  <c r="M181" i="2" s="1"/>
  <c r="B179" i="2"/>
  <c r="J180" i="2"/>
  <c r="G181" i="2"/>
  <c r="J181" i="2"/>
  <c r="B182" i="2"/>
  <c r="C182" i="2"/>
  <c r="C183" i="2" s="1"/>
  <c r="C184" i="2" s="1"/>
  <c r="C185" i="2" s="1"/>
  <c r="D182" i="2"/>
  <c r="D183" i="2" s="1"/>
  <c r="D184" i="2" s="1"/>
  <c r="D185" i="2" s="1"/>
  <c r="J182" i="2"/>
  <c r="J183" i="2" s="1"/>
  <c r="K182" i="2"/>
  <c r="K183" i="2" s="1"/>
  <c r="K184" i="2" s="1"/>
  <c r="K185" i="2" s="1"/>
  <c r="L182" i="2"/>
  <c r="L183" i="2" s="1"/>
  <c r="L184" i="2" s="1"/>
  <c r="L185" i="2" s="1"/>
  <c r="M182" i="2"/>
  <c r="M183" i="2" s="1"/>
  <c r="M184" i="2" s="1"/>
  <c r="M185" i="2" s="1"/>
  <c r="B183" i="2"/>
  <c r="J184" i="2"/>
  <c r="G185" i="2"/>
  <c r="J185" i="2"/>
  <c r="B186" i="2"/>
  <c r="C186" i="2"/>
  <c r="C187" i="2" s="1"/>
  <c r="C188" i="2" s="1"/>
  <c r="C189" i="2" s="1"/>
  <c r="D186" i="2"/>
  <c r="J186" i="2"/>
  <c r="J187" i="2" s="1"/>
  <c r="K186" i="2"/>
  <c r="K187" i="2" s="1"/>
  <c r="K188" i="2" s="1"/>
  <c r="K189" i="2" s="1"/>
  <c r="L186" i="2"/>
  <c r="L187" i="2" s="1"/>
  <c r="L188" i="2" s="1"/>
  <c r="L189" i="2" s="1"/>
  <c r="M186" i="2"/>
  <c r="M187" i="2" s="1"/>
  <c r="M188" i="2" s="1"/>
  <c r="M189" i="2" s="1"/>
  <c r="B187" i="2"/>
  <c r="D187" i="2"/>
  <c r="D188" i="2" s="1"/>
  <c r="D189" i="2" s="1"/>
  <c r="J188" i="2"/>
  <c r="G189" i="2"/>
  <c r="J189" i="2"/>
  <c r="B190" i="2"/>
  <c r="C190" i="2"/>
  <c r="C191" i="2" s="1"/>
  <c r="C192" i="2" s="1"/>
  <c r="C193" i="2" s="1"/>
  <c r="D190" i="2"/>
  <c r="D191" i="2" s="1"/>
  <c r="D192" i="2" s="1"/>
  <c r="D193" i="2" s="1"/>
  <c r="J190" i="2"/>
  <c r="J191" i="2" s="1"/>
  <c r="K190" i="2"/>
  <c r="K191" i="2" s="1"/>
  <c r="K192" i="2" s="1"/>
  <c r="K193" i="2" s="1"/>
  <c r="L190" i="2"/>
  <c r="L191" i="2" s="1"/>
  <c r="L192" i="2" s="1"/>
  <c r="L193" i="2" s="1"/>
  <c r="M190" i="2"/>
  <c r="M191" i="2" s="1"/>
  <c r="M192" i="2" s="1"/>
  <c r="M193" i="2" s="1"/>
  <c r="B191" i="2"/>
  <c r="J192" i="2"/>
  <c r="G193" i="2"/>
  <c r="J193" i="2"/>
  <c r="B194" i="2"/>
  <c r="C194" i="2"/>
  <c r="C195" i="2" s="1"/>
  <c r="C196" i="2" s="1"/>
  <c r="C197" i="2" s="1"/>
  <c r="D194" i="2"/>
  <c r="D195" i="2" s="1"/>
  <c r="D196" i="2" s="1"/>
  <c r="D197" i="2" s="1"/>
  <c r="J194" i="2"/>
  <c r="J195" i="2" s="1"/>
  <c r="K194" i="2"/>
  <c r="K195" i="2" s="1"/>
  <c r="K196" i="2" s="1"/>
  <c r="K197" i="2" s="1"/>
  <c r="L194" i="2"/>
  <c r="L195" i="2" s="1"/>
  <c r="L196" i="2" s="1"/>
  <c r="L197" i="2" s="1"/>
  <c r="M194" i="2"/>
  <c r="M195" i="2" s="1"/>
  <c r="M196" i="2" s="1"/>
  <c r="M197" i="2" s="1"/>
  <c r="B195" i="2"/>
  <c r="J196" i="2"/>
  <c r="G197" i="2"/>
  <c r="J197" i="2"/>
  <c r="B198" i="2"/>
  <c r="C198" i="2"/>
  <c r="C199" i="2" s="1"/>
  <c r="C200" i="2" s="1"/>
  <c r="C201" i="2" s="1"/>
  <c r="D198" i="2"/>
  <c r="D199" i="2" s="1"/>
  <c r="D200" i="2" s="1"/>
  <c r="D201" i="2" s="1"/>
  <c r="J198" i="2"/>
  <c r="J199" i="2" s="1"/>
  <c r="K198" i="2"/>
  <c r="K199" i="2" s="1"/>
  <c r="K200" i="2" s="1"/>
  <c r="K201" i="2" s="1"/>
  <c r="L198" i="2"/>
  <c r="L199" i="2" s="1"/>
  <c r="L200" i="2" s="1"/>
  <c r="L201" i="2" s="1"/>
  <c r="M198" i="2"/>
  <c r="M199" i="2" s="1"/>
  <c r="M200" i="2" s="1"/>
  <c r="M201" i="2" s="1"/>
  <c r="B199" i="2"/>
  <c r="J200" i="2"/>
  <c r="G201" i="2"/>
  <c r="J201" i="2"/>
  <c r="B202" i="2"/>
  <c r="C202" i="2"/>
  <c r="C203" i="2" s="1"/>
  <c r="C204" i="2" s="1"/>
  <c r="C205" i="2" s="1"/>
  <c r="D202" i="2"/>
  <c r="D203" i="2" s="1"/>
  <c r="D204" i="2" s="1"/>
  <c r="D205" i="2" s="1"/>
  <c r="J202" i="2"/>
  <c r="J203" i="2" s="1"/>
  <c r="K202" i="2"/>
  <c r="K203" i="2" s="1"/>
  <c r="K204" i="2" s="1"/>
  <c r="K205" i="2" s="1"/>
  <c r="L202" i="2"/>
  <c r="L203" i="2" s="1"/>
  <c r="L204" i="2" s="1"/>
  <c r="L205" i="2" s="1"/>
  <c r="M202" i="2"/>
  <c r="M203" i="2" s="1"/>
  <c r="M204" i="2" s="1"/>
  <c r="M205" i="2" s="1"/>
  <c r="B203" i="2"/>
  <c r="J204" i="2"/>
  <c r="G205" i="2"/>
  <c r="J205" i="2"/>
  <c r="B206" i="2"/>
  <c r="C206" i="2"/>
  <c r="C207" i="2" s="1"/>
  <c r="C208" i="2" s="1"/>
  <c r="C209" i="2" s="1"/>
  <c r="D206" i="2"/>
  <c r="J206" i="2"/>
  <c r="J207" i="2" s="1"/>
  <c r="K206" i="2"/>
  <c r="K207" i="2" s="1"/>
  <c r="K208" i="2" s="1"/>
  <c r="K209" i="2" s="1"/>
  <c r="L206" i="2"/>
  <c r="L207" i="2" s="1"/>
  <c r="L208" i="2" s="1"/>
  <c r="L209" i="2" s="1"/>
  <c r="M206" i="2"/>
  <c r="M207" i="2" s="1"/>
  <c r="M208" i="2" s="1"/>
  <c r="M209" i="2" s="1"/>
  <c r="B207" i="2"/>
  <c r="D207" i="2"/>
  <c r="D208" i="2" s="1"/>
  <c r="D209" i="2" s="1"/>
  <c r="J208" i="2"/>
  <c r="G209" i="2"/>
  <c r="J209" i="2"/>
  <c r="B210" i="2"/>
  <c r="C210" i="2"/>
  <c r="C211" i="2" s="1"/>
  <c r="C212" i="2" s="1"/>
  <c r="C213" i="2" s="1"/>
  <c r="D210" i="2"/>
  <c r="D211" i="2" s="1"/>
  <c r="D212" i="2" s="1"/>
  <c r="D213" i="2" s="1"/>
  <c r="J210" i="2"/>
  <c r="J211" i="2" s="1"/>
  <c r="K210" i="2"/>
  <c r="K211" i="2" s="1"/>
  <c r="K212" i="2" s="1"/>
  <c r="K213" i="2" s="1"/>
  <c r="L210" i="2"/>
  <c r="L211" i="2" s="1"/>
  <c r="L212" i="2" s="1"/>
  <c r="L213" i="2" s="1"/>
  <c r="M210" i="2"/>
  <c r="M211" i="2" s="1"/>
  <c r="M212" i="2" s="1"/>
  <c r="M213" i="2" s="1"/>
  <c r="B211" i="2"/>
  <c r="J212" i="2"/>
  <c r="G213" i="2"/>
  <c r="J213" i="2"/>
  <c r="B214" i="2"/>
  <c r="C214" i="2"/>
  <c r="C215" i="2" s="1"/>
  <c r="C216" i="2" s="1"/>
  <c r="C217" i="2" s="1"/>
  <c r="D214" i="2"/>
  <c r="J214" i="2"/>
  <c r="J215" i="2" s="1"/>
  <c r="K214" i="2"/>
  <c r="K215" i="2" s="1"/>
  <c r="K216" i="2" s="1"/>
  <c r="K217" i="2" s="1"/>
  <c r="L214" i="2"/>
  <c r="L215" i="2" s="1"/>
  <c r="L216" i="2" s="1"/>
  <c r="L217" i="2" s="1"/>
  <c r="M214" i="2"/>
  <c r="B215" i="2"/>
  <c r="D215" i="2"/>
  <c r="D216" i="2" s="1"/>
  <c r="D217" i="2" s="1"/>
  <c r="M215" i="2"/>
  <c r="M216" i="2" s="1"/>
  <c r="M217" i="2" s="1"/>
  <c r="J216" i="2"/>
  <c r="G217" i="2"/>
  <c r="J217" i="2"/>
  <c r="B218" i="2"/>
  <c r="C218" i="2"/>
  <c r="C219" i="2" s="1"/>
  <c r="C220" i="2" s="1"/>
  <c r="C221" i="2" s="1"/>
  <c r="D218" i="2"/>
  <c r="D219" i="2" s="1"/>
  <c r="D220" i="2" s="1"/>
  <c r="D221" i="2" s="1"/>
  <c r="J218" i="2"/>
  <c r="J219" i="2" s="1"/>
  <c r="K218" i="2"/>
  <c r="K219" i="2" s="1"/>
  <c r="K220" i="2" s="1"/>
  <c r="K221" i="2" s="1"/>
  <c r="L218" i="2"/>
  <c r="L219" i="2" s="1"/>
  <c r="L220" i="2" s="1"/>
  <c r="L221" i="2" s="1"/>
  <c r="M218" i="2"/>
  <c r="M219" i="2" s="1"/>
  <c r="M220" i="2" s="1"/>
  <c r="M221" i="2" s="1"/>
  <c r="B219" i="2"/>
  <c r="J220" i="2"/>
  <c r="G221" i="2"/>
  <c r="J221" i="2"/>
  <c r="B222" i="2"/>
  <c r="C222" i="2"/>
  <c r="D222" i="2"/>
  <c r="D223" i="2" s="1"/>
  <c r="D224" i="2" s="1"/>
  <c r="D225" i="2" s="1"/>
  <c r="J222" i="2"/>
  <c r="J223" i="2" s="1"/>
  <c r="K222" i="2"/>
  <c r="K223" i="2" s="1"/>
  <c r="K224" i="2" s="1"/>
  <c r="K225" i="2" s="1"/>
  <c r="L222" i="2"/>
  <c r="L223" i="2" s="1"/>
  <c r="L224" i="2" s="1"/>
  <c r="L225" i="2" s="1"/>
  <c r="M222" i="2"/>
  <c r="M223" i="2" s="1"/>
  <c r="M224" i="2" s="1"/>
  <c r="M225" i="2" s="1"/>
  <c r="B223" i="2"/>
  <c r="C223" i="2"/>
  <c r="C224" i="2" s="1"/>
  <c r="C225" i="2" s="1"/>
  <c r="J224" i="2"/>
  <c r="G225" i="2"/>
  <c r="J225" i="2"/>
  <c r="B226" i="2"/>
  <c r="C226" i="2"/>
  <c r="C227" i="2" s="1"/>
  <c r="C228" i="2" s="1"/>
  <c r="C229" i="2" s="1"/>
  <c r="D226" i="2"/>
  <c r="D227" i="2" s="1"/>
  <c r="D228" i="2" s="1"/>
  <c r="D229" i="2" s="1"/>
  <c r="J226" i="2"/>
  <c r="J227" i="2" s="1"/>
  <c r="K226" i="2"/>
  <c r="K227" i="2" s="1"/>
  <c r="K228" i="2" s="1"/>
  <c r="K229" i="2" s="1"/>
  <c r="L226" i="2"/>
  <c r="L227" i="2" s="1"/>
  <c r="L228" i="2" s="1"/>
  <c r="L229" i="2" s="1"/>
  <c r="M226" i="2"/>
  <c r="M227" i="2" s="1"/>
  <c r="M228" i="2" s="1"/>
  <c r="M229" i="2" s="1"/>
  <c r="B227" i="2"/>
  <c r="J228" i="2"/>
  <c r="G229" i="2"/>
  <c r="J229" i="2"/>
  <c r="B230" i="2"/>
  <c r="C230" i="2"/>
  <c r="C231" i="2" s="1"/>
  <c r="C232" i="2" s="1"/>
  <c r="C233" i="2" s="1"/>
  <c r="D230" i="2"/>
  <c r="D231" i="2" s="1"/>
  <c r="D232" i="2" s="1"/>
  <c r="D233" i="2" s="1"/>
  <c r="J230" i="2"/>
  <c r="J231" i="2" s="1"/>
  <c r="K230" i="2"/>
  <c r="K231" i="2" s="1"/>
  <c r="K232" i="2" s="1"/>
  <c r="K233" i="2" s="1"/>
  <c r="L230" i="2"/>
  <c r="L231" i="2" s="1"/>
  <c r="L232" i="2" s="1"/>
  <c r="L233" i="2" s="1"/>
  <c r="M230" i="2"/>
  <c r="M231" i="2" s="1"/>
  <c r="M232" i="2" s="1"/>
  <c r="M233" i="2" s="1"/>
  <c r="B231" i="2"/>
  <c r="J232" i="2"/>
  <c r="G233" i="2"/>
  <c r="J233" i="2"/>
  <c r="B234" i="2"/>
  <c r="C234" i="2"/>
  <c r="C235" i="2" s="1"/>
  <c r="C236" i="2" s="1"/>
  <c r="C237" i="2" s="1"/>
  <c r="D234" i="2"/>
  <c r="D235" i="2" s="1"/>
  <c r="D236" i="2" s="1"/>
  <c r="D237" i="2" s="1"/>
  <c r="J234" i="2"/>
  <c r="J235" i="2" s="1"/>
  <c r="K234" i="2"/>
  <c r="K235" i="2" s="1"/>
  <c r="K236" i="2" s="1"/>
  <c r="K237" i="2" s="1"/>
  <c r="L234" i="2"/>
  <c r="L235" i="2" s="1"/>
  <c r="L236" i="2" s="1"/>
  <c r="L237" i="2" s="1"/>
  <c r="M234" i="2"/>
  <c r="M235" i="2" s="1"/>
  <c r="M236" i="2" s="1"/>
  <c r="M237" i="2" s="1"/>
  <c r="B235" i="2"/>
  <c r="J236" i="2"/>
  <c r="G237" i="2"/>
  <c r="J237" i="2"/>
  <c r="B238" i="2"/>
  <c r="C238" i="2"/>
  <c r="C239" i="2" s="1"/>
  <c r="C240" i="2" s="1"/>
  <c r="C241" i="2" s="1"/>
  <c r="D238" i="2"/>
  <c r="D239" i="2" s="1"/>
  <c r="D240" i="2" s="1"/>
  <c r="D241" i="2" s="1"/>
  <c r="J238" i="2"/>
  <c r="J239" i="2" s="1"/>
  <c r="K238" i="2"/>
  <c r="K239" i="2" s="1"/>
  <c r="K240" i="2" s="1"/>
  <c r="K241" i="2" s="1"/>
  <c r="L238" i="2"/>
  <c r="L239" i="2" s="1"/>
  <c r="L240" i="2" s="1"/>
  <c r="L241" i="2" s="1"/>
  <c r="M238" i="2"/>
  <c r="M239" i="2" s="1"/>
  <c r="M240" i="2" s="1"/>
  <c r="M241" i="2" s="1"/>
  <c r="B239" i="2"/>
  <c r="J240" i="2"/>
  <c r="G241" i="2"/>
  <c r="J241" i="2"/>
  <c r="B242" i="2"/>
  <c r="C242" i="2"/>
  <c r="C243" i="2" s="1"/>
  <c r="C244" i="2" s="1"/>
  <c r="C245" i="2" s="1"/>
  <c r="D242" i="2"/>
  <c r="D243" i="2" s="1"/>
  <c r="D244" i="2" s="1"/>
  <c r="D245" i="2" s="1"/>
  <c r="J242" i="2"/>
  <c r="J243" i="2" s="1"/>
  <c r="K242" i="2"/>
  <c r="K243" i="2" s="1"/>
  <c r="K244" i="2" s="1"/>
  <c r="K245" i="2" s="1"/>
  <c r="L242" i="2"/>
  <c r="L243" i="2" s="1"/>
  <c r="L244" i="2" s="1"/>
  <c r="L245" i="2" s="1"/>
  <c r="M242" i="2"/>
  <c r="M243" i="2" s="1"/>
  <c r="M244" i="2" s="1"/>
  <c r="M245" i="2" s="1"/>
  <c r="B243" i="2"/>
  <c r="J244" i="2"/>
  <c r="G245" i="2"/>
  <c r="J245" i="2"/>
  <c r="B246" i="2"/>
  <c r="C246" i="2"/>
  <c r="C247" i="2" s="1"/>
  <c r="C248" i="2" s="1"/>
  <c r="C249" i="2" s="1"/>
  <c r="D246" i="2"/>
  <c r="D247" i="2" s="1"/>
  <c r="D248" i="2" s="1"/>
  <c r="D249" i="2" s="1"/>
  <c r="J246" i="2"/>
  <c r="J247" i="2" s="1"/>
  <c r="K246" i="2"/>
  <c r="K247" i="2" s="1"/>
  <c r="K248" i="2" s="1"/>
  <c r="K249" i="2" s="1"/>
  <c r="L246" i="2"/>
  <c r="L247" i="2" s="1"/>
  <c r="L248" i="2" s="1"/>
  <c r="L249" i="2" s="1"/>
  <c r="M246" i="2"/>
  <c r="M247" i="2" s="1"/>
  <c r="M248" i="2" s="1"/>
  <c r="M249" i="2" s="1"/>
  <c r="B247" i="2"/>
  <c r="J248" i="2"/>
  <c r="G249" i="2"/>
  <c r="J249" i="2"/>
  <c r="B250" i="2"/>
  <c r="C250" i="2"/>
  <c r="D250" i="2"/>
  <c r="J250" i="2"/>
  <c r="J251" i="2" s="1"/>
  <c r="K250" i="2"/>
  <c r="K251" i="2" s="1"/>
  <c r="K252" i="2" s="1"/>
  <c r="K253" i="2" s="1"/>
  <c r="L250" i="2"/>
  <c r="L251" i="2" s="1"/>
  <c r="L252" i="2" s="1"/>
  <c r="L253" i="2" s="1"/>
  <c r="M250" i="2"/>
  <c r="M251" i="2" s="1"/>
  <c r="M252" i="2" s="1"/>
  <c r="M253" i="2" s="1"/>
  <c r="B251" i="2"/>
  <c r="C251" i="2"/>
  <c r="C252" i="2" s="1"/>
  <c r="C253" i="2" s="1"/>
  <c r="D251" i="2"/>
  <c r="D252" i="2" s="1"/>
  <c r="D253" i="2" s="1"/>
  <c r="J252" i="2"/>
  <c r="G253" i="2"/>
  <c r="J253" i="2"/>
  <c r="B254" i="2"/>
  <c r="C254" i="2"/>
  <c r="C255" i="2" s="1"/>
  <c r="C256" i="2" s="1"/>
  <c r="C257" i="2" s="1"/>
  <c r="D254" i="2"/>
  <c r="D255" i="2" s="1"/>
  <c r="D256" i="2" s="1"/>
  <c r="D257" i="2" s="1"/>
  <c r="J254" i="2"/>
  <c r="J255" i="2" s="1"/>
  <c r="K254" i="2"/>
  <c r="K255" i="2" s="1"/>
  <c r="K256" i="2" s="1"/>
  <c r="K257" i="2" s="1"/>
  <c r="L254" i="2"/>
  <c r="M254" i="2"/>
  <c r="B255" i="2"/>
  <c r="L255" i="2"/>
  <c r="L256" i="2" s="1"/>
  <c r="L257" i="2" s="1"/>
  <c r="M255" i="2"/>
  <c r="M256" i="2" s="1"/>
  <c r="M257" i="2" s="1"/>
  <c r="J256" i="2"/>
  <c r="G257" i="2"/>
  <c r="J257" i="2"/>
  <c r="B258" i="2"/>
  <c r="C258" i="2"/>
  <c r="C259" i="2" s="1"/>
  <c r="C260" i="2" s="1"/>
  <c r="C261" i="2" s="1"/>
  <c r="D258" i="2"/>
  <c r="D259" i="2" s="1"/>
  <c r="D260" i="2" s="1"/>
  <c r="D261" i="2" s="1"/>
  <c r="J258" i="2"/>
  <c r="J259" i="2" s="1"/>
  <c r="K258" i="2"/>
  <c r="K259" i="2" s="1"/>
  <c r="K260" i="2" s="1"/>
  <c r="K261" i="2" s="1"/>
  <c r="L258" i="2"/>
  <c r="L259" i="2" s="1"/>
  <c r="L260" i="2" s="1"/>
  <c r="L261" i="2" s="1"/>
  <c r="M258" i="2"/>
  <c r="M259" i="2" s="1"/>
  <c r="M260" i="2" s="1"/>
  <c r="M261" i="2" s="1"/>
  <c r="B259" i="2"/>
  <c r="J260" i="2"/>
  <c r="G261" i="2"/>
  <c r="J261" i="2"/>
  <c r="B262" i="2"/>
  <c r="C262" i="2"/>
  <c r="C263" i="2" s="1"/>
  <c r="C264" i="2" s="1"/>
  <c r="C265" i="2" s="1"/>
  <c r="D262" i="2"/>
  <c r="D263" i="2" s="1"/>
  <c r="D264" i="2" s="1"/>
  <c r="D265" i="2" s="1"/>
  <c r="J262" i="2"/>
  <c r="J263" i="2" s="1"/>
  <c r="K262" i="2"/>
  <c r="K263" i="2" s="1"/>
  <c r="K264" i="2" s="1"/>
  <c r="K265" i="2" s="1"/>
  <c r="L262" i="2"/>
  <c r="L263" i="2" s="1"/>
  <c r="L264" i="2" s="1"/>
  <c r="L265" i="2" s="1"/>
  <c r="M262" i="2"/>
  <c r="M263" i="2" s="1"/>
  <c r="M264" i="2" s="1"/>
  <c r="M265" i="2" s="1"/>
  <c r="B263" i="2"/>
  <c r="J264" i="2"/>
  <c r="G265" i="2"/>
  <c r="J265" i="2"/>
  <c r="B266" i="2"/>
  <c r="C266" i="2"/>
  <c r="C267" i="2" s="1"/>
  <c r="C268" i="2" s="1"/>
  <c r="C269" i="2" s="1"/>
  <c r="D266" i="2"/>
  <c r="D267" i="2" s="1"/>
  <c r="D268" i="2" s="1"/>
  <c r="D269" i="2" s="1"/>
  <c r="J266" i="2"/>
  <c r="J267" i="2" s="1"/>
  <c r="K266" i="2"/>
  <c r="K267" i="2" s="1"/>
  <c r="K268" i="2" s="1"/>
  <c r="K269" i="2" s="1"/>
  <c r="L266" i="2"/>
  <c r="L267" i="2" s="1"/>
  <c r="L268" i="2" s="1"/>
  <c r="L269" i="2" s="1"/>
  <c r="M266" i="2"/>
  <c r="M267" i="2" s="1"/>
  <c r="M268" i="2" s="1"/>
  <c r="M269" i="2" s="1"/>
  <c r="B267" i="2"/>
  <c r="J268" i="2"/>
  <c r="G269" i="2"/>
  <c r="J269" i="2"/>
  <c r="B270" i="2"/>
  <c r="C270" i="2"/>
  <c r="C271" i="2" s="1"/>
  <c r="C272" i="2" s="1"/>
  <c r="C273" i="2" s="1"/>
  <c r="D270" i="2"/>
  <c r="D271" i="2" s="1"/>
  <c r="D272" i="2" s="1"/>
  <c r="D273" i="2" s="1"/>
  <c r="J270" i="2"/>
  <c r="J271" i="2" s="1"/>
  <c r="K270" i="2"/>
  <c r="K271" i="2" s="1"/>
  <c r="K272" i="2" s="1"/>
  <c r="K273" i="2" s="1"/>
  <c r="L270" i="2"/>
  <c r="L271" i="2" s="1"/>
  <c r="L272" i="2" s="1"/>
  <c r="L273" i="2" s="1"/>
  <c r="M270" i="2"/>
  <c r="M271" i="2" s="1"/>
  <c r="M272" i="2" s="1"/>
  <c r="M273" i="2" s="1"/>
  <c r="B271" i="2"/>
  <c r="J272" i="2"/>
  <c r="G273" i="2"/>
  <c r="J273" i="2"/>
  <c r="B274" i="2"/>
  <c r="C274" i="2"/>
  <c r="C275" i="2" s="1"/>
  <c r="C276" i="2" s="1"/>
  <c r="C277" i="2" s="1"/>
  <c r="D274" i="2"/>
  <c r="J274" i="2"/>
  <c r="J275" i="2" s="1"/>
  <c r="K274" i="2"/>
  <c r="K275" i="2" s="1"/>
  <c r="K276" i="2" s="1"/>
  <c r="K277" i="2" s="1"/>
  <c r="L274" i="2"/>
  <c r="L275" i="2" s="1"/>
  <c r="L276" i="2" s="1"/>
  <c r="L277" i="2" s="1"/>
  <c r="M274" i="2"/>
  <c r="M275" i="2" s="1"/>
  <c r="M276" i="2" s="1"/>
  <c r="M277" i="2" s="1"/>
  <c r="B275" i="2"/>
  <c r="D275" i="2"/>
  <c r="D276" i="2" s="1"/>
  <c r="D277" i="2" s="1"/>
  <c r="J276" i="2"/>
  <c r="G277" i="2"/>
  <c r="J277" i="2"/>
  <c r="B278" i="2"/>
  <c r="C278" i="2"/>
  <c r="C279" i="2" s="1"/>
  <c r="C280" i="2" s="1"/>
  <c r="C281" i="2" s="1"/>
  <c r="D278" i="2"/>
  <c r="D279" i="2" s="1"/>
  <c r="D280" i="2" s="1"/>
  <c r="D281" i="2" s="1"/>
  <c r="J278" i="2"/>
  <c r="J279" i="2" s="1"/>
  <c r="K278" i="2"/>
  <c r="K279" i="2" s="1"/>
  <c r="K280" i="2" s="1"/>
  <c r="K281" i="2" s="1"/>
  <c r="L278" i="2"/>
  <c r="L279" i="2" s="1"/>
  <c r="L280" i="2" s="1"/>
  <c r="L281" i="2" s="1"/>
  <c r="M278" i="2"/>
  <c r="M279" i="2" s="1"/>
  <c r="M280" i="2" s="1"/>
  <c r="M281" i="2" s="1"/>
  <c r="B279" i="2"/>
  <c r="J280" i="2"/>
  <c r="G281" i="2"/>
  <c r="J281" i="2"/>
  <c r="B282" i="2"/>
  <c r="C282" i="2"/>
  <c r="C283" i="2" s="1"/>
  <c r="C284" i="2" s="1"/>
  <c r="C285" i="2" s="1"/>
  <c r="D282" i="2"/>
  <c r="D283" i="2" s="1"/>
  <c r="D284" i="2" s="1"/>
  <c r="D285" i="2" s="1"/>
  <c r="J282" i="2"/>
  <c r="J283" i="2" s="1"/>
  <c r="K282" i="2"/>
  <c r="K283" i="2" s="1"/>
  <c r="K284" i="2" s="1"/>
  <c r="K285" i="2" s="1"/>
  <c r="L282" i="2"/>
  <c r="L283" i="2" s="1"/>
  <c r="L284" i="2" s="1"/>
  <c r="L285" i="2" s="1"/>
  <c r="M282" i="2"/>
  <c r="M283" i="2" s="1"/>
  <c r="M284" i="2" s="1"/>
  <c r="M285" i="2" s="1"/>
  <c r="B283" i="2"/>
  <c r="J284" i="2"/>
  <c r="G285" i="2"/>
  <c r="J285" i="2"/>
  <c r="B286" i="2"/>
  <c r="C286" i="2"/>
  <c r="C287" i="2" s="1"/>
  <c r="C288" i="2" s="1"/>
  <c r="C289" i="2" s="1"/>
  <c r="D286" i="2"/>
  <c r="D287" i="2" s="1"/>
  <c r="D288" i="2" s="1"/>
  <c r="D289" i="2" s="1"/>
  <c r="J286" i="2"/>
  <c r="J287" i="2" s="1"/>
  <c r="K286" i="2"/>
  <c r="K287" i="2" s="1"/>
  <c r="K288" i="2" s="1"/>
  <c r="K289" i="2" s="1"/>
  <c r="L286" i="2"/>
  <c r="L287" i="2" s="1"/>
  <c r="L288" i="2" s="1"/>
  <c r="L289" i="2" s="1"/>
  <c r="M286" i="2"/>
  <c r="M287" i="2" s="1"/>
  <c r="M288" i="2" s="1"/>
  <c r="M289" i="2" s="1"/>
  <c r="B287" i="2"/>
  <c r="J288" i="2"/>
  <c r="G289" i="2"/>
  <c r="J289" i="2"/>
  <c r="B290" i="2"/>
  <c r="C290" i="2"/>
  <c r="C291" i="2" s="1"/>
  <c r="C292" i="2" s="1"/>
  <c r="C293" i="2" s="1"/>
  <c r="D290" i="2"/>
  <c r="D291" i="2" s="1"/>
  <c r="D292" i="2" s="1"/>
  <c r="D293" i="2" s="1"/>
  <c r="J290" i="2"/>
  <c r="J291" i="2" s="1"/>
  <c r="K290" i="2"/>
  <c r="K291" i="2" s="1"/>
  <c r="K292" i="2" s="1"/>
  <c r="K293" i="2" s="1"/>
  <c r="L290" i="2"/>
  <c r="L291" i="2" s="1"/>
  <c r="L292" i="2" s="1"/>
  <c r="L293" i="2" s="1"/>
  <c r="M290" i="2"/>
  <c r="M291" i="2" s="1"/>
  <c r="M292" i="2" s="1"/>
  <c r="M293" i="2" s="1"/>
  <c r="B291" i="2"/>
  <c r="J292" i="2"/>
  <c r="G293" i="2"/>
  <c r="J293" i="2"/>
  <c r="B294" i="2"/>
  <c r="C294" i="2"/>
  <c r="C295" i="2" s="1"/>
  <c r="C296" i="2" s="1"/>
  <c r="C297" i="2" s="1"/>
  <c r="D294" i="2"/>
  <c r="D295" i="2" s="1"/>
  <c r="D296" i="2" s="1"/>
  <c r="D297" i="2" s="1"/>
  <c r="J294" i="2"/>
  <c r="J295" i="2" s="1"/>
  <c r="K294" i="2"/>
  <c r="K295" i="2" s="1"/>
  <c r="K296" i="2" s="1"/>
  <c r="K297" i="2" s="1"/>
  <c r="L294" i="2"/>
  <c r="L295" i="2" s="1"/>
  <c r="L296" i="2" s="1"/>
  <c r="L297" i="2" s="1"/>
  <c r="M294" i="2"/>
  <c r="M295" i="2" s="1"/>
  <c r="M296" i="2" s="1"/>
  <c r="M297" i="2" s="1"/>
  <c r="B295" i="2"/>
  <c r="J296" i="2"/>
  <c r="G297" i="2"/>
  <c r="J297" i="2"/>
  <c r="B298" i="2"/>
  <c r="C298" i="2"/>
  <c r="C299" i="2" s="1"/>
  <c r="C300" i="2" s="1"/>
  <c r="C301" i="2" s="1"/>
  <c r="D298" i="2"/>
  <c r="D299" i="2" s="1"/>
  <c r="D300" i="2" s="1"/>
  <c r="D301" i="2" s="1"/>
  <c r="J298" i="2"/>
  <c r="J299" i="2" s="1"/>
  <c r="K298" i="2"/>
  <c r="K299" i="2" s="1"/>
  <c r="K300" i="2" s="1"/>
  <c r="K301" i="2" s="1"/>
  <c r="L298" i="2"/>
  <c r="L299" i="2" s="1"/>
  <c r="L300" i="2" s="1"/>
  <c r="L301" i="2" s="1"/>
  <c r="M298" i="2"/>
  <c r="M299" i="2" s="1"/>
  <c r="M300" i="2" s="1"/>
  <c r="M301" i="2" s="1"/>
  <c r="B299" i="2"/>
  <c r="J300" i="2"/>
  <c r="G301" i="2"/>
  <c r="J301" i="2"/>
  <c r="B302" i="2"/>
  <c r="C302" i="2"/>
  <c r="C303" i="2" s="1"/>
  <c r="C304" i="2" s="1"/>
  <c r="C305" i="2" s="1"/>
  <c r="D302" i="2"/>
  <c r="D303" i="2" s="1"/>
  <c r="D304" i="2" s="1"/>
  <c r="D305" i="2" s="1"/>
  <c r="J302" i="2"/>
  <c r="J303" i="2" s="1"/>
  <c r="K302" i="2"/>
  <c r="K303" i="2" s="1"/>
  <c r="K304" i="2" s="1"/>
  <c r="K305" i="2" s="1"/>
  <c r="L302" i="2"/>
  <c r="L303" i="2" s="1"/>
  <c r="L304" i="2" s="1"/>
  <c r="L305" i="2" s="1"/>
  <c r="M302" i="2"/>
  <c r="M303" i="2" s="1"/>
  <c r="M304" i="2" s="1"/>
  <c r="M305" i="2" s="1"/>
  <c r="B303" i="2"/>
  <c r="J304" i="2"/>
  <c r="G305" i="2"/>
  <c r="J305" i="2"/>
  <c r="B306" i="2"/>
  <c r="C306" i="2"/>
  <c r="C307" i="2" s="1"/>
  <c r="C308" i="2" s="1"/>
  <c r="C309" i="2" s="1"/>
  <c r="D306" i="2"/>
  <c r="D307" i="2" s="1"/>
  <c r="D308" i="2" s="1"/>
  <c r="D309" i="2" s="1"/>
  <c r="J306" i="2"/>
  <c r="J307" i="2" s="1"/>
  <c r="K306" i="2"/>
  <c r="K307" i="2" s="1"/>
  <c r="K308" i="2" s="1"/>
  <c r="K309" i="2" s="1"/>
  <c r="L306" i="2"/>
  <c r="L307" i="2" s="1"/>
  <c r="L308" i="2" s="1"/>
  <c r="L309" i="2" s="1"/>
  <c r="M306" i="2"/>
  <c r="M307" i="2" s="1"/>
  <c r="M308" i="2" s="1"/>
  <c r="M309" i="2" s="1"/>
  <c r="B307" i="2"/>
  <c r="J308" i="2"/>
  <c r="G309" i="2"/>
  <c r="J309" i="2"/>
  <c r="B310" i="2"/>
  <c r="C310" i="2"/>
  <c r="C311" i="2" s="1"/>
  <c r="C312" i="2" s="1"/>
  <c r="C313" i="2" s="1"/>
  <c r="D310" i="2"/>
  <c r="D311" i="2" s="1"/>
  <c r="D312" i="2" s="1"/>
  <c r="D313" i="2" s="1"/>
  <c r="J310" i="2"/>
  <c r="J311" i="2" s="1"/>
  <c r="K310" i="2"/>
  <c r="K311" i="2" s="1"/>
  <c r="K312" i="2" s="1"/>
  <c r="K313" i="2" s="1"/>
  <c r="L310" i="2"/>
  <c r="M310" i="2"/>
  <c r="M311" i="2" s="1"/>
  <c r="M312" i="2" s="1"/>
  <c r="M313" i="2" s="1"/>
  <c r="B311" i="2"/>
  <c r="L311" i="2"/>
  <c r="L312" i="2" s="1"/>
  <c r="L313" i="2" s="1"/>
  <c r="J312" i="2"/>
  <c r="G313" i="2"/>
  <c r="J313" i="2"/>
  <c r="B314" i="2"/>
  <c r="C314" i="2"/>
  <c r="C315" i="2" s="1"/>
  <c r="C316" i="2" s="1"/>
  <c r="C317" i="2" s="1"/>
  <c r="D314" i="2"/>
  <c r="D315" i="2" s="1"/>
  <c r="D316" i="2" s="1"/>
  <c r="D317" i="2" s="1"/>
  <c r="J314" i="2"/>
  <c r="J315" i="2" s="1"/>
  <c r="K314" i="2"/>
  <c r="K315" i="2" s="1"/>
  <c r="K316" i="2" s="1"/>
  <c r="K317" i="2" s="1"/>
  <c r="L314" i="2"/>
  <c r="L315" i="2" s="1"/>
  <c r="L316" i="2" s="1"/>
  <c r="L317" i="2" s="1"/>
  <c r="M314" i="2"/>
  <c r="M315" i="2" s="1"/>
  <c r="M316" i="2" s="1"/>
  <c r="M317" i="2" s="1"/>
  <c r="B315" i="2"/>
  <c r="J316" i="2"/>
  <c r="G317" i="2"/>
  <c r="J317" i="2"/>
  <c r="B318" i="2"/>
  <c r="C318" i="2"/>
  <c r="C319" i="2" s="1"/>
  <c r="C320" i="2" s="1"/>
  <c r="C321" i="2" s="1"/>
  <c r="D318" i="2"/>
  <c r="D319" i="2" s="1"/>
  <c r="D320" i="2" s="1"/>
  <c r="D321" i="2" s="1"/>
  <c r="J318" i="2"/>
  <c r="J319" i="2" s="1"/>
  <c r="K318" i="2"/>
  <c r="K319" i="2" s="1"/>
  <c r="K320" i="2" s="1"/>
  <c r="K321" i="2" s="1"/>
  <c r="L318" i="2"/>
  <c r="M318" i="2"/>
  <c r="M319" i="2" s="1"/>
  <c r="M320" i="2" s="1"/>
  <c r="M321" i="2" s="1"/>
  <c r="B319" i="2"/>
  <c r="L319" i="2"/>
  <c r="L320" i="2" s="1"/>
  <c r="L321" i="2" s="1"/>
  <c r="J320" i="2"/>
  <c r="G321" i="2"/>
  <c r="J321" i="2"/>
  <c r="B322" i="2"/>
  <c r="C322" i="2"/>
  <c r="C323" i="2" s="1"/>
  <c r="C324" i="2" s="1"/>
  <c r="C325" i="2" s="1"/>
  <c r="D322" i="2"/>
  <c r="D323" i="2" s="1"/>
  <c r="D324" i="2" s="1"/>
  <c r="D325" i="2" s="1"/>
  <c r="J322" i="2"/>
  <c r="J323" i="2" s="1"/>
  <c r="K322" i="2"/>
  <c r="K323" i="2" s="1"/>
  <c r="K324" i="2" s="1"/>
  <c r="K325" i="2" s="1"/>
  <c r="L322" i="2"/>
  <c r="L323" i="2" s="1"/>
  <c r="L324" i="2" s="1"/>
  <c r="L325" i="2" s="1"/>
  <c r="M322" i="2"/>
  <c r="M323" i="2" s="1"/>
  <c r="M324" i="2" s="1"/>
  <c r="M325" i="2" s="1"/>
  <c r="B323" i="2"/>
  <c r="J324" i="2"/>
  <c r="G325" i="2"/>
  <c r="J325" i="2"/>
  <c r="B326" i="2"/>
  <c r="C326" i="2"/>
  <c r="C327" i="2" s="1"/>
  <c r="C328" i="2" s="1"/>
  <c r="C329" i="2" s="1"/>
  <c r="D326" i="2"/>
  <c r="D327" i="2" s="1"/>
  <c r="D328" i="2" s="1"/>
  <c r="D329" i="2" s="1"/>
  <c r="J326" i="2"/>
  <c r="J327" i="2" s="1"/>
  <c r="K326" i="2"/>
  <c r="K327" i="2" s="1"/>
  <c r="K328" i="2" s="1"/>
  <c r="K329" i="2" s="1"/>
  <c r="L326" i="2"/>
  <c r="L327" i="2" s="1"/>
  <c r="L328" i="2" s="1"/>
  <c r="L329" i="2" s="1"/>
  <c r="M326" i="2"/>
  <c r="M327" i="2" s="1"/>
  <c r="M328" i="2" s="1"/>
  <c r="M329" i="2" s="1"/>
  <c r="B327" i="2"/>
  <c r="J328" i="2"/>
  <c r="G329" i="2"/>
  <c r="J329" i="2"/>
  <c r="B330" i="2"/>
  <c r="C330" i="2"/>
  <c r="C331" i="2" s="1"/>
  <c r="C332" i="2" s="1"/>
  <c r="C333" i="2" s="1"/>
  <c r="D330" i="2"/>
  <c r="D331" i="2" s="1"/>
  <c r="D332" i="2" s="1"/>
  <c r="D333" i="2" s="1"/>
  <c r="J330" i="2"/>
  <c r="J331" i="2" s="1"/>
  <c r="K330" i="2"/>
  <c r="K331" i="2" s="1"/>
  <c r="K332" i="2" s="1"/>
  <c r="K333" i="2" s="1"/>
  <c r="L330" i="2"/>
  <c r="L331" i="2" s="1"/>
  <c r="L332" i="2" s="1"/>
  <c r="L333" i="2" s="1"/>
  <c r="M330" i="2"/>
  <c r="M331" i="2" s="1"/>
  <c r="M332" i="2" s="1"/>
  <c r="M333" i="2" s="1"/>
  <c r="B331" i="2"/>
  <c r="J332" i="2"/>
  <c r="G333" i="2"/>
  <c r="J333" i="2"/>
  <c r="B334" i="2"/>
  <c r="C334" i="2"/>
  <c r="C335" i="2" s="1"/>
  <c r="C336" i="2" s="1"/>
  <c r="C337" i="2" s="1"/>
  <c r="D334" i="2"/>
  <c r="D335" i="2" s="1"/>
  <c r="D336" i="2" s="1"/>
  <c r="D337" i="2" s="1"/>
  <c r="J334" i="2"/>
  <c r="J335" i="2" s="1"/>
  <c r="K334" i="2"/>
  <c r="K335" i="2" s="1"/>
  <c r="K336" i="2" s="1"/>
  <c r="K337" i="2" s="1"/>
  <c r="L334" i="2"/>
  <c r="L335" i="2" s="1"/>
  <c r="L336" i="2" s="1"/>
  <c r="L337" i="2" s="1"/>
  <c r="M334" i="2"/>
  <c r="M335" i="2" s="1"/>
  <c r="M336" i="2" s="1"/>
  <c r="M337" i="2" s="1"/>
  <c r="B335" i="2"/>
  <c r="J336" i="2"/>
  <c r="G337" i="2"/>
  <c r="J337" i="2"/>
  <c r="B338" i="2"/>
  <c r="C338" i="2"/>
  <c r="C339" i="2" s="1"/>
  <c r="C340" i="2" s="1"/>
  <c r="C341" i="2" s="1"/>
  <c r="D338" i="2"/>
  <c r="D339" i="2" s="1"/>
  <c r="D340" i="2" s="1"/>
  <c r="D341" i="2" s="1"/>
  <c r="J338" i="2"/>
  <c r="J339" i="2" s="1"/>
  <c r="K338" i="2"/>
  <c r="K339" i="2" s="1"/>
  <c r="K340" i="2" s="1"/>
  <c r="K341" i="2" s="1"/>
  <c r="L338" i="2"/>
  <c r="L339" i="2" s="1"/>
  <c r="L340" i="2" s="1"/>
  <c r="L341" i="2" s="1"/>
  <c r="M338" i="2"/>
  <c r="M339" i="2" s="1"/>
  <c r="M340" i="2" s="1"/>
  <c r="M341" i="2" s="1"/>
  <c r="B339" i="2"/>
  <c r="J340" i="2"/>
  <c r="G341" i="2"/>
  <c r="J341" i="2"/>
  <c r="B342" i="2"/>
  <c r="C342" i="2"/>
  <c r="C343" i="2" s="1"/>
  <c r="C344" i="2" s="1"/>
  <c r="C345" i="2" s="1"/>
  <c r="D342" i="2"/>
  <c r="D343" i="2" s="1"/>
  <c r="D344" i="2" s="1"/>
  <c r="D345" i="2" s="1"/>
  <c r="J342" i="2"/>
  <c r="J343" i="2" s="1"/>
  <c r="K342" i="2"/>
  <c r="K343" i="2" s="1"/>
  <c r="K344" i="2" s="1"/>
  <c r="K345" i="2" s="1"/>
  <c r="L342" i="2"/>
  <c r="L343" i="2" s="1"/>
  <c r="L344" i="2" s="1"/>
  <c r="L345" i="2" s="1"/>
  <c r="M342" i="2"/>
  <c r="M343" i="2" s="1"/>
  <c r="M344" i="2" s="1"/>
  <c r="M345" i="2" s="1"/>
  <c r="B343" i="2"/>
  <c r="J344" i="2"/>
  <c r="G345" i="2"/>
  <c r="J345" i="2"/>
  <c r="B346" i="2"/>
  <c r="C346" i="2"/>
  <c r="C347" i="2" s="1"/>
  <c r="C348" i="2" s="1"/>
  <c r="C349" i="2" s="1"/>
  <c r="D346" i="2"/>
  <c r="D347" i="2" s="1"/>
  <c r="D348" i="2" s="1"/>
  <c r="D349" i="2" s="1"/>
  <c r="J346" i="2"/>
  <c r="J347" i="2" s="1"/>
  <c r="K346" i="2"/>
  <c r="K347" i="2" s="1"/>
  <c r="K348" i="2" s="1"/>
  <c r="K349" i="2" s="1"/>
  <c r="L346" i="2"/>
  <c r="L347" i="2" s="1"/>
  <c r="L348" i="2" s="1"/>
  <c r="L349" i="2" s="1"/>
  <c r="M346" i="2"/>
  <c r="M347" i="2" s="1"/>
  <c r="M348" i="2" s="1"/>
  <c r="M349" i="2" s="1"/>
  <c r="B347" i="2"/>
  <c r="J348" i="2"/>
  <c r="G349" i="2"/>
  <c r="J349" i="2"/>
  <c r="B350" i="2"/>
  <c r="C350" i="2"/>
  <c r="C351" i="2" s="1"/>
  <c r="C352" i="2" s="1"/>
  <c r="C353" i="2" s="1"/>
  <c r="D350" i="2"/>
  <c r="D351" i="2" s="1"/>
  <c r="D352" i="2" s="1"/>
  <c r="D353" i="2" s="1"/>
  <c r="J350" i="2"/>
  <c r="J351" i="2" s="1"/>
  <c r="K350" i="2"/>
  <c r="K351" i="2" s="1"/>
  <c r="K352" i="2" s="1"/>
  <c r="K353" i="2" s="1"/>
  <c r="L350" i="2"/>
  <c r="L351" i="2" s="1"/>
  <c r="L352" i="2" s="1"/>
  <c r="L353" i="2" s="1"/>
  <c r="M350" i="2"/>
  <c r="M351" i="2" s="1"/>
  <c r="M352" i="2" s="1"/>
  <c r="M353" i="2" s="1"/>
  <c r="B351" i="2"/>
  <c r="J352" i="2"/>
  <c r="G353" i="2"/>
  <c r="J353" i="2"/>
  <c r="B354" i="2"/>
  <c r="C354" i="2"/>
  <c r="C355" i="2" s="1"/>
  <c r="C356" i="2" s="1"/>
  <c r="C357" i="2" s="1"/>
  <c r="D354" i="2"/>
  <c r="D355" i="2" s="1"/>
  <c r="D356" i="2" s="1"/>
  <c r="D357" i="2" s="1"/>
  <c r="J354" i="2"/>
  <c r="J355" i="2" s="1"/>
  <c r="K354" i="2"/>
  <c r="K355" i="2" s="1"/>
  <c r="K356" i="2" s="1"/>
  <c r="K357" i="2" s="1"/>
  <c r="L354" i="2"/>
  <c r="L355" i="2" s="1"/>
  <c r="L356" i="2" s="1"/>
  <c r="L357" i="2" s="1"/>
  <c r="M354" i="2"/>
  <c r="M355" i="2" s="1"/>
  <c r="M356" i="2" s="1"/>
  <c r="M357" i="2" s="1"/>
  <c r="B355" i="2"/>
  <c r="J356" i="2"/>
  <c r="G357" i="2"/>
  <c r="J357" i="2"/>
  <c r="B358" i="2"/>
  <c r="C358" i="2"/>
  <c r="C359" i="2" s="1"/>
  <c r="C360" i="2" s="1"/>
  <c r="C361" i="2" s="1"/>
  <c r="D358" i="2"/>
  <c r="D359" i="2" s="1"/>
  <c r="D360" i="2" s="1"/>
  <c r="D361" i="2" s="1"/>
  <c r="J358" i="2"/>
  <c r="J359" i="2" s="1"/>
  <c r="K358" i="2"/>
  <c r="K359" i="2" s="1"/>
  <c r="K360" i="2" s="1"/>
  <c r="K361" i="2" s="1"/>
  <c r="L358" i="2"/>
  <c r="L359" i="2" s="1"/>
  <c r="L360" i="2" s="1"/>
  <c r="L361" i="2" s="1"/>
  <c r="M358" i="2"/>
  <c r="M359" i="2" s="1"/>
  <c r="M360" i="2" s="1"/>
  <c r="M361" i="2" s="1"/>
  <c r="B359" i="2"/>
  <c r="J360" i="2"/>
  <c r="G361" i="2"/>
  <c r="J361" i="2"/>
  <c r="B362" i="2"/>
  <c r="C362" i="2"/>
  <c r="C363" i="2" s="1"/>
  <c r="C364" i="2" s="1"/>
  <c r="C365" i="2" s="1"/>
  <c r="D362" i="2"/>
  <c r="D363" i="2" s="1"/>
  <c r="D364" i="2" s="1"/>
  <c r="D365" i="2" s="1"/>
  <c r="J362" i="2"/>
  <c r="J363" i="2" s="1"/>
  <c r="K362" i="2"/>
  <c r="K363" i="2" s="1"/>
  <c r="K364" i="2" s="1"/>
  <c r="K365" i="2" s="1"/>
  <c r="L362" i="2"/>
  <c r="L363" i="2" s="1"/>
  <c r="L364" i="2" s="1"/>
  <c r="L365" i="2" s="1"/>
  <c r="M362" i="2"/>
  <c r="M363" i="2" s="1"/>
  <c r="M364" i="2" s="1"/>
  <c r="M365" i="2" s="1"/>
  <c r="B363" i="2"/>
  <c r="J364" i="2"/>
  <c r="G365" i="2"/>
  <c r="J365" i="2"/>
  <c r="B366" i="2"/>
  <c r="C366" i="2"/>
  <c r="C367" i="2" s="1"/>
  <c r="C368" i="2" s="1"/>
  <c r="C369" i="2" s="1"/>
  <c r="D366" i="2"/>
  <c r="D367" i="2" s="1"/>
  <c r="D368" i="2" s="1"/>
  <c r="D369" i="2" s="1"/>
  <c r="J366" i="2"/>
  <c r="J367" i="2" s="1"/>
  <c r="K366" i="2"/>
  <c r="K367" i="2" s="1"/>
  <c r="K368" i="2" s="1"/>
  <c r="K369" i="2" s="1"/>
  <c r="L366" i="2"/>
  <c r="L367" i="2" s="1"/>
  <c r="L368" i="2" s="1"/>
  <c r="L369" i="2" s="1"/>
  <c r="M366" i="2"/>
  <c r="M367" i="2" s="1"/>
  <c r="M368" i="2" s="1"/>
  <c r="M369" i="2" s="1"/>
  <c r="B367" i="2"/>
  <c r="J368" i="2"/>
  <c r="G369" i="2"/>
  <c r="J369" i="2"/>
  <c r="B370" i="2"/>
  <c r="C370" i="2"/>
  <c r="C371" i="2" s="1"/>
  <c r="C372" i="2" s="1"/>
  <c r="C373" i="2" s="1"/>
  <c r="D370" i="2"/>
  <c r="D371" i="2" s="1"/>
  <c r="D372" i="2" s="1"/>
  <c r="D373" i="2" s="1"/>
  <c r="J370" i="2"/>
  <c r="J371" i="2" s="1"/>
  <c r="K370" i="2"/>
  <c r="K371" i="2" s="1"/>
  <c r="K372" i="2" s="1"/>
  <c r="K373" i="2" s="1"/>
  <c r="L370" i="2"/>
  <c r="L371" i="2" s="1"/>
  <c r="L372" i="2" s="1"/>
  <c r="L373" i="2" s="1"/>
  <c r="M370" i="2"/>
  <c r="M371" i="2" s="1"/>
  <c r="M372" i="2" s="1"/>
  <c r="M373" i="2" s="1"/>
  <c r="B371" i="2"/>
  <c r="J372" i="2"/>
  <c r="G373" i="2"/>
  <c r="J373" i="2"/>
  <c r="B374" i="2"/>
  <c r="C374" i="2"/>
  <c r="C375" i="2" s="1"/>
  <c r="C376" i="2" s="1"/>
  <c r="C377" i="2" s="1"/>
  <c r="D374" i="2"/>
  <c r="D375" i="2" s="1"/>
  <c r="D376" i="2" s="1"/>
  <c r="D377" i="2" s="1"/>
  <c r="J374" i="2"/>
  <c r="J375" i="2" s="1"/>
  <c r="K374" i="2"/>
  <c r="K375" i="2" s="1"/>
  <c r="K376" i="2" s="1"/>
  <c r="K377" i="2" s="1"/>
  <c r="L374" i="2"/>
  <c r="L375" i="2" s="1"/>
  <c r="L376" i="2" s="1"/>
  <c r="L377" i="2" s="1"/>
  <c r="M374" i="2"/>
  <c r="M375" i="2" s="1"/>
  <c r="M376" i="2" s="1"/>
  <c r="M377" i="2" s="1"/>
  <c r="B375" i="2"/>
  <c r="J376" i="2"/>
  <c r="G377" i="2"/>
  <c r="J377" i="2"/>
  <c r="B378" i="2"/>
  <c r="C378" i="2"/>
  <c r="C379" i="2" s="1"/>
  <c r="C380" i="2" s="1"/>
  <c r="C381" i="2" s="1"/>
  <c r="D378" i="2"/>
  <c r="J378" i="2"/>
  <c r="J379" i="2" s="1"/>
  <c r="K378" i="2"/>
  <c r="K379" i="2" s="1"/>
  <c r="K380" i="2" s="1"/>
  <c r="K381" i="2" s="1"/>
  <c r="L378" i="2"/>
  <c r="L379" i="2" s="1"/>
  <c r="L380" i="2" s="1"/>
  <c r="L381" i="2" s="1"/>
  <c r="M378" i="2"/>
  <c r="M379" i="2" s="1"/>
  <c r="M380" i="2" s="1"/>
  <c r="M381" i="2" s="1"/>
  <c r="B379" i="2"/>
  <c r="D379" i="2"/>
  <c r="D380" i="2" s="1"/>
  <c r="D381" i="2" s="1"/>
  <c r="J380" i="2"/>
  <c r="G381" i="2"/>
  <c r="J381" i="2"/>
  <c r="B382" i="2"/>
  <c r="C382" i="2"/>
  <c r="C383" i="2" s="1"/>
  <c r="C384" i="2" s="1"/>
  <c r="C385" i="2" s="1"/>
  <c r="D382" i="2"/>
  <c r="D383" i="2" s="1"/>
  <c r="D384" i="2" s="1"/>
  <c r="D385" i="2" s="1"/>
  <c r="J382" i="2"/>
  <c r="J383" i="2" s="1"/>
  <c r="K382" i="2"/>
  <c r="K383" i="2" s="1"/>
  <c r="K384" i="2" s="1"/>
  <c r="K385" i="2" s="1"/>
  <c r="L382" i="2"/>
  <c r="L383" i="2" s="1"/>
  <c r="L384" i="2" s="1"/>
  <c r="L385" i="2" s="1"/>
  <c r="M382" i="2"/>
  <c r="M383" i="2" s="1"/>
  <c r="M384" i="2" s="1"/>
  <c r="M385" i="2" s="1"/>
  <c r="B383" i="2"/>
  <c r="J384" i="2"/>
  <c r="G385" i="2"/>
  <c r="J385" i="2"/>
  <c r="B386" i="2"/>
  <c r="C386" i="2"/>
  <c r="C387" i="2" s="1"/>
  <c r="C388" i="2" s="1"/>
  <c r="C389" i="2" s="1"/>
  <c r="D386" i="2"/>
  <c r="J386" i="2"/>
  <c r="J387" i="2" s="1"/>
  <c r="K386" i="2"/>
  <c r="K387" i="2" s="1"/>
  <c r="K388" i="2" s="1"/>
  <c r="K389" i="2" s="1"/>
  <c r="L386" i="2"/>
  <c r="L387" i="2" s="1"/>
  <c r="L388" i="2" s="1"/>
  <c r="L389" i="2" s="1"/>
  <c r="M386" i="2"/>
  <c r="M387" i="2" s="1"/>
  <c r="M388" i="2" s="1"/>
  <c r="M389" i="2" s="1"/>
  <c r="B387" i="2"/>
  <c r="D387" i="2"/>
  <c r="D388" i="2" s="1"/>
  <c r="D389" i="2" s="1"/>
  <c r="J388" i="2"/>
  <c r="G389" i="2"/>
  <c r="J389" i="2"/>
  <c r="B390" i="2"/>
  <c r="C390" i="2"/>
  <c r="C391" i="2" s="1"/>
  <c r="C392" i="2" s="1"/>
  <c r="C393" i="2" s="1"/>
  <c r="D390" i="2"/>
  <c r="D391" i="2" s="1"/>
  <c r="D392" i="2" s="1"/>
  <c r="D393" i="2" s="1"/>
  <c r="J390" i="2"/>
  <c r="J391" i="2" s="1"/>
  <c r="K390" i="2"/>
  <c r="K391" i="2" s="1"/>
  <c r="K392" i="2" s="1"/>
  <c r="K393" i="2" s="1"/>
  <c r="L390" i="2"/>
  <c r="L391" i="2" s="1"/>
  <c r="L392" i="2" s="1"/>
  <c r="L393" i="2" s="1"/>
  <c r="M390" i="2"/>
  <c r="M391" i="2" s="1"/>
  <c r="M392" i="2" s="1"/>
  <c r="M393" i="2" s="1"/>
  <c r="B391" i="2"/>
  <c r="J392" i="2"/>
  <c r="G393" i="2"/>
  <c r="J393" i="2"/>
  <c r="B394" i="2"/>
  <c r="C394" i="2"/>
  <c r="C395" i="2" s="1"/>
  <c r="C396" i="2" s="1"/>
  <c r="C397" i="2" s="1"/>
  <c r="D394" i="2"/>
  <c r="D395" i="2" s="1"/>
  <c r="D396" i="2" s="1"/>
  <c r="D397" i="2" s="1"/>
  <c r="J394" i="2"/>
  <c r="J395" i="2" s="1"/>
  <c r="K394" i="2"/>
  <c r="K395" i="2" s="1"/>
  <c r="K396" i="2" s="1"/>
  <c r="K397" i="2" s="1"/>
  <c r="L394" i="2"/>
  <c r="L395" i="2" s="1"/>
  <c r="L396" i="2" s="1"/>
  <c r="L397" i="2" s="1"/>
  <c r="M394" i="2"/>
  <c r="M395" i="2" s="1"/>
  <c r="M396" i="2" s="1"/>
  <c r="M397" i="2" s="1"/>
  <c r="B395" i="2"/>
  <c r="J396" i="2"/>
  <c r="G397" i="2"/>
  <c r="J397" i="2"/>
  <c r="B398" i="2"/>
  <c r="C398" i="2"/>
  <c r="C399" i="2" s="1"/>
  <c r="C400" i="2" s="1"/>
  <c r="C401" i="2" s="1"/>
  <c r="D398" i="2"/>
  <c r="D399" i="2" s="1"/>
  <c r="D400" i="2" s="1"/>
  <c r="D401" i="2" s="1"/>
  <c r="J398" i="2"/>
  <c r="J399" i="2" s="1"/>
  <c r="K398" i="2"/>
  <c r="K399" i="2" s="1"/>
  <c r="K400" i="2" s="1"/>
  <c r="K401" i="2" s="1"/>
  <c r="L398" i="2"/>
  <c r="L399" i="2" s="1"/>
  <c r="L400" i="2" s="1"/>
  <c r="L401" i="2" s="1"/>
  <c r="M398" i="2"/>
  <c r="M399" i="2" s="1"/>
  <c r="M400" i="2" s="1"/>
  <c r="M401" i="2" s="1"/>
  <c r="B399" i="2"/>
  <c r="J400" i="2"/>
  <c r="G401" i="2"/>
  <c r="J401" i="2"/>
  <c r="B402" i="2"/>
  <c r="C402" i="2"/>
  <c r="C403" i="2" s="1"/>
  <c r="C404" i="2" s="1"/>
  <c r="C405" i="2" s="1"/>
  <c r="D402" i="2"/>
  <c r="D403" i="2" s="1"/>
  <c r="D404" i="2" s="1"/>
  <c r="D405" i="2" s="1"/>
  <c r="J402" i="2"/>
  <c r="J403" i="2" s="1"/>
  <c r="K402" i="2"/>
  <c r="K403" i="2" s="1"/>
  <c r="K404" i="2" s="1"/>
  <c r="K405" i="2" s="1"/>
  <c r="L402" i="2"/>
  <c r="L403" i="2" s="1"/>
  <c r="L404" i="2" s="1"/>
  <c r="L405" i="2" s="1"/>
  <c r="M402" i="2"/>
  <c r="M403" i="2" s="1"/>
  <c r="M404" i="2" s="1"/>
  <c r="M405" i="2" s="1"/>
  <c r="B403" i="2"/>
  <c r="J404" i="2"/>
  <c r="G405" i="2"/>
  <c r="J405" i="2"/>
  <c r="B406" i="2"/>
  <c r="C406" i="2"/>
  <c r="C407" i="2" s="1"/>
  <c r="C408" i="2" s="1"/>
  <c r="C409" i="2" s="1"/>
  <c r="D406" i="2"/>
  <c r="D407" i="2" s="1"/>
  <c r="D408" i="2" s="1"/>
  <c r="D409" i="2" s="1"/>
  <c r="J406" i="2"/>
  <c r="J407" i="2" s="1"/>
  <c r="K406" i="2"/>
  <c r="K407" i="2" s="1"/>
  <c r="K408" i="2" s="1"/>
  <c r="K409" i="2" s="1"/>
  <c r="L406" i="2"/>
  <c r="L407" i="2" s="1"/>
  <c r="L408" i="2" s="1"/>
  <c r="L409" i="2" s="1"/>
  <c r="M406" i="2"/>
  <c r="M407" i="2" s="1"/>
  <c r="M408" i="2" s="1"/>
  <c r="M409" i="2" s="1"/>
  <c r="B407" i="2"/>
  <c r="J408" i="2"/>
  <c r="G409" i="2"/>
  <c r="J409" i="2"/>
  <c r="B410" i="2"/>
  <c r="C410" i="2"/>
  <c r="C411" i="2" s="1"/>
  <c r="C412" i="2" s="1"/>
  <c r="C413" i="2" s="1"/>
  <c r="D410" i="2"/>
  <c r="D411" i="2" s="1"/>
  <c r="D412" i="2" s="1"/>
  <c r="D413" i="2" s="1"/>
  <c r="J410" i="2"/>
  <c r="J411" i="2" s="1"/>
  <c r="K410" i="2"/>
  <c r="K411" i="2" s="1"/>
  <c r="K412" i="2" s="1"/>
  <c r="K413" i="2" s="1"/>
  <c r="L410" i="2"/>
  <c r="L411" i="2" s="1"/>
  <c r="L412" i="2" s="1"/>
  <c r="L413" i="2" s="1"/>
  <c r="M410" i="2"/>
  <c r="M411" i="2" s="1"/>
  <c r="M412" i="2" s="1"/>
  <c r="M413" i="2" s="1"/>
  <c r="B411" i="2"/>
  <c r="J412" i="2"/>
  <c r="G413" i="2"/>
  <c r="J413" i="2"/>
  <c r="B414" i="2"/>
  <c r="C414" i="2"/>
  <c r="C415" i="2" s="1"/>
  <c r="C416" i="2" s="1"/>
  <c r="C417" i="2" s="1"/>
  <c r="D414" i="2"/>
  <c r="D415" i="2" s="1"/>
  <c r="D416" i="2" s="1"/>
  <c r="D417" i="2" s="1"/>
  <c r="J414" i="2"/>
  <c r="J415" i="2" s="1"/>
  <c r="K414" i="2"/>
  <c r="K415" i="2" s="1"/>
  <c r="K416" i="2" s="1"/>
  <c r="K417" i="2" s="1"/>
  <c r="L414" i="2"/>
  <c r="L415" i="2" s="1"/>
  <c r="L416" i="2" s="1"/>
  <c r="L417" i="2" s="1"/>
  <c r="M414" i="2"/>
  <c r="M415" i="2" s="1"/>
  <c r="M416" i="2" s="1"/>
  <c r="M417" i="2" s="1"/>
  <c r="B415" i="2"/>
  <c r="J416" i="2"/>
  <c r="G417" i="2"/>
  <c r="J417" i="2"/>
  <c r="B418" i="2"/>
  <c r="C418" i="2"/>
  <c r="C419" i="2" s="1"/>
  <c r="C420" i="2" s="1"/>
  <c r="C421" i="2" s="1"/>
  <c r="D418" i="2"/>
  <c r="D419" i="2" s="1"/>
  <c r="D420" i="2" s="1"/>
  <c r="D421" i="2" s="1"/>
  <c r="J418" i="2"/>
  <c r="J419" i="2" s="1"/>
  <c r="K418" i="2"/>
  <c r="K419" i="2" s="1"/>
  <c r="K420" i="2" s="1"/>
  <c r="K421" i="2" s="1"/>
  <c r="L418" i="2"/>
  <c r="L419" i="2" s="1"/>
  <c r="L420" i="2" s="1"/>
  <c r="L421" i="2" s="1"/>
  <c r="M418" i="2"/>
  <c r="M419" i="2" s="1"/>
  <c r="M420" i="2" s="1"/>
  <c r="M421" i="2" s="1"/>
  <c r="B419" i="2"/>
  <c r="J420" i="2"/>
  <c r="G421" i="2"/>
  <c r="J421" i="2"/>
  <c r="B422" i="2"/>
  <c r="C422" i="2"/>
  <c r="C423" i="2" s="1"/>
  <c r="C424" i="2" s="1"/>
  <c r="C425" i="2" s="1"/>
  <c r="D422" i="2"/>
  <c r="D423" i="2" s="1"/>
  <c r="D424" i="2" s="1"/>
  <c r="D425" i="2" s="1"/>
  <c r="J422" i="2"/>
  <c r="J423" i="2" s="1"/>
  <c r="K422" i="2"/>
  <c r="K423" i="2" s="1"/>
  <c r="K424" i="2" s="1"/>
  <c r="K425" i="2" s="1"/>
  <c r="L422" i="2"/>
  <c r="L423" i="2" s="1"/>
  <c r="L424" i="2" s="1"/>
  <c r="L425" i="2" s="1"/>
  <c r="M422" i="2"/>
  <c r="M423" i="2" s="1"/>
  <c r="M424" i="2" s="1"/>
  <c r="M425" i="2" s="1"/>
  <c r="B423" i="2"/>
  <c r="J424" i="2"/>
  <c r="G425" i="2"/>
  <c r="J425" i="2"/>
  <c r="B426" i="2"/>
  <c r="C426" i="2"/>
  <c r="C427" i="2" s="1"/>
  <c r="C428" i="2" s="1"/>
  <c r="C429" i="2" s="1"/>
  <c r="D426" i="2"/>
  <c r="D427" i="2" s="1"/>
  <c r="D428" i="2" s="1"/>
  <c r="D429" i="2" s="1"/>
  <c r="J426" i="2"/>
  <c r="J427" i="2" s="1"/>
  <c r="K426" i="2"/>
  <c r="K427" i="2" s="1"/>
  <c r="K428" i="2" s="1"/>
  <c r="K429" i="2" s="1"/>
  <c r="L426" i="2"/>
  <c r="L427" i="2" s="1"/>
  <c r="L428" i="2" s="1"/>
  <c r="L429" i="2" s="1"/>
  <c r="M426" i="2"/>
  <c r="M427" i="2" s="1"/>
  <c r="M428" i="2" s="1"/>
  <c r="M429" i="2" s="1"/>
  <c r="B427" i="2"/>
  <c r="J428" i="2"/>
  <c r="G429" i="2"/>
  <c r="J429" i="2"/>
  <c r="B430" i="2"/>
  <c r="C430" i="2"/>
  <c r="C431" i="2" s="1"/>
  <c r="C432" i="2" s="1"/>
  <c r="C433" i="2" s="1"/>
  <c r="D430" i="2"/>
  <c r="D431" i="2" s="1"/>
  <c r="D432" i="2" s="1"/>
  <c r="D433" i="2" s="1"/>
  <c r="J430" i="2"/>
  <c r="J431" i="2" s="1"/>
  <c r="K430" i="2"/>
  <c r="K431" i="2" s="1"/>
  <c r="K432" i="2" s="1"/>
  <c r="K433" i="2" s="1"/>
  <c r="L430" i="2"/>
  <c r="L431" i="2" s="1"/>
  <c r="L432" i="2" s="1"/>
  <c r="L433" i="2" s="1"/>
  <c r="M430" i="2"/>
  <c r="M431" i="2" s="1"/>
  <c r="M432" i="2" s="1"/>
  <c r="M433" i="2" s="1"/>
  <c r="B431" i="2"/>
  <c r="J432" i="2"/>
  <c r="G433" i="2"/>
  <c r="J433" i="2"/>
  <c r="B434" i="2"/>
  <c r="C434" i="2"/>
  <c r="C435" i="2" s="1"/>
  <c r="C436" i="2" s="1"/>
  <c r="C437" i="2" s="1"/>
  <c r="D434" i="2"/>
  <c r="D435" i="2" s="1"/>
  <c r="D436" i="2" s="1"/>
  <c r="D437" i="2" s="1"/>
  <c r="J434" i="2"/>
  <c r="J435" i="2" s="1"/>
  <c r="K434" i="2"/>
  <c r="K435" i="2" s="1"/>
  <c r="K436" i="2" s="1"/>
  <c r="K437" i="2" s="1"/>
  <c r="L434" i="2"/>
  <c r="L435" i="2" s="1"/>
  <c r="L436" i="2" s="1"/>
  <c r="L437" i="2" s="1"/>
  <c r="M434" i="2"/>
  <c r="M435" i="2" s="1"/>
  <c r="M436" i="2" s="1"/>
  <c r="M437" i="2" s="1"/>
  <c r="B435" i="2"/>
  <c r="J436" i="2"/>
  <c r="G437" i="2"/>
  <c r="J437" i="2"/>
  <c r="B438" i="2"/>
  <c r="C438" i="2"/>
  <c r="D438" i="2"/>
  <c r="D439" i="2" s="1"/>
  <c r="D440" i="2" s="1"/>
  <c r="D441" i="2" s="1"/>
  <c r="J438" i="2"/>
  <c r="J439" i="2" s="1"/>
  <c r="K438" i="2"/>
  <c r="K439" i="2" s="1"/>
  <c r="K440" i="2" s="1"/>
  <c r="K441" i="2" s="1"/>
  <c r="L438" i="2"/>
  <c r="L439" i="2" s="1"/>
  <c r="L440" i="2" s="1"/>
  <c r="L441" i="2" s="1"/>
  <c r="M438" i="2"/>
  <c r="M439" i="2" s="1"/>
  <c r="M440" i="2" s="1"/>
  <c r="M441" i="2" s="1"/>
  <c r="B439" i="2"/>
  <c r="C439" i="2"/>
  <c r="C440" i="2" s="1"/>
  <c r="C441" i="2" s="1"/>
  <c r="J440" i="2"/>
  <c r="G441" i="2"/>
  <c r="J441" i="2"/>
  <c r="B442" i="2"/>
  <c r="C442" i="2"/>
  <c r="C443" i="2" s="1"/>
  <c r="C444" i="2" s="1"/>
  <c r="C445" i="2" s="1"/>
  <c r="D442" i="2"/>
  <c r="D443" i="2" s="1"/>
  <c r="D444" i="2" s="1"/>
  <c r="D445" i="2" s="1"/>
  <c r="J442" i="2"/>
  <c r="J443" i="2" s="1"/>
  <c r="K442" i="2"/>
  <c r="K443" i="2" s="1"/>
  <c r="K444" i="2" s="1"/>
  <c r="K445" i="2" s="1"/>
  <c r="L442" i="2"/>
  <c r="L443" i="2" s="1"/>
  <c r="L444" i="2" s="1"/>
  <c r="L445" i="2" s="1"/>
  <c r="M442" i="2"/>
  <c r="M443" i="2" s="1"/>
  <c r="M444" i="2" s="1"/>
  <c r="M445" i="2" s="1"/>
  <c r="B443" i="2"/>
  <c r="J444" i="2"/>
  <c r="G445" i="2"/>
  <c r="J445" i="2"/>
  <c r="B446" i="2"/>
  <c r="C446" i="2"/>
  <c r="C447" i="2" s="1"/>
  <c r="C448" i="2" s="1"/>
  <c r="C449" i="2" s="1"/>
  <c r="D446" i="2"/>
  <c r="D447" i="2" s="1"/>
  <c r="D448" i="2" s="1"/>
  <c r="D449" i="2" s="1"/>
  <c r="J446" i="2"/>
  <c r="J447" i="2" s="1"/>
  <c r="K446" i="2"/>
  <c r="K447" i="2" s="1"/>
  <c r="K448" i="2" s="1"/>
  <c r="K449" i="2" s="1"/>
  <c r="L446" i="2"/>
  <c r="L447" i="2" s="1"/>
  <c r="L448" i="2" s="1"/>
  <c r="L449" i="2" s="1"/>
  <c r="M446" i="2"/>
  <c r="M447" i="2" s="1"/>
  <c r="M448" i="2" s="1"/>
  <c r="M449" i="2" s="1"/>
  <c r="B447" i="2"/>
  <c r="J448" i="2"/>
  <c r="G449" i="2"/>
  <c r="J449" i="2"/>
  <c r="B450" i="2"/>
  <c r="C450" i="2"/>
  <c r="C451" i="2" s="1"/>
  <c r="C452" i="2" s="1"/>
  <c r="C453" i="2" s="1"/>
  <c r="D450" i="2"/>
  <c r="J450" i="2"/>
  <c r="J451" i="2" s="1"/>
  <c r="K450" i="2"/>
  <c r="K451" i="2" s="1"/>
  <c r="K452" i="2" s="1"/>
  <c r="K453" i="2" s="1"/>
  <c r="L450" i="2"/>
  <c r="L451" i="2" s="1"/>
  <c r="L452" i="2" s="1"/>
  <c r="L453" i="2" s="1"/>
  <c r="M450" i="2"/>
  <c r="M451" i="2" s="1"/>
  <c r="M452" i="2" s="1"/>
  <c r="M453" i="2" s="1"/>
  <c r="B451" i="2"/>
  <c r="D451" i="2"/>
  <c r="D452" i="2" s="1"/>
  <c r="D453" i="2" s="1"/>
  <c r="J452" i="2"/>
  <c r="G453" i="2"/>
  <c r="J453" i="2"/>
  <c r="B454" i="2"/>
  <c r="C454" i="2"/>
  <c r="C455" i="2" s="1"/>
  <c r="C456" i="2" s="1"/>
  <c r="C457" i="2" s="1"/>
  <c r="D454" i="2"/>
  <c r="D455" i="2" s="1"/>
  <c r="D456" i="2" s="1"/>
  <c r="D457" i="2" s="1"/>
  <c r="J454" i="2"/>
  <c r="J455" i="2" s="1"/>
  <c r="K454" i="2"/>
  <c r="K455" i="2" s="1"/>
  <c r="K456" i="2" s="1"/>
  <c r="K457" i="2" s="1"/>
  <c r="L454" i="2"/>
  <c r="L455" i="2" s="1"/>
  <c r="L456" i="2" s="1"/>
  <c r="L457" i="2" s="1"/>
  <c r="M454" i="2"/>
  <c r="M455" i="2" s="1"/>
  <c r="M456" i="2" s="1"/>
  <c r="M457" i="2" s="1"/>
  <c r="B455" i="2"/>
  <c r="J456" i="2"/>
  <c r="G457" i="2"/>
  <c r="J457" i="2"/>
  <c r="B458" i="2"/>
  <c r="C458" i="2"/>
  <c r="C459" i="2" s="1"/>
  <c r="C460" i="2" s="1"/>
  <c r="C461" i="2" s="1"/>
  <c r="D458" i="2"/>
  <c r="D459" i="2" s="1"/>
  <c r="D460" i="2" s="1"/>
  <c r="D461" i="2" s="1"/>
  <c r="J458" i="2"/>
  <c r="J459" i="2" s="1"/>
  <c r="K458" i="2"/>
  <c r="K459" i="2" s="1"/>
  <c r="K460" i="2" s="1"/>
  <c r="K461" i="2" s="1"/>
  <c r="L458" i="2"/>
  <c r="L459" i="2" s="1"/>
  <c r="L460" i="2" s="1"/>
  <c r="L461" i="2" s="1"/>
  <c r="M458" i="2"/>
  <c r="M459" i="2" s="1"/>
  <c r="M460" i="2" s="1"/>
  <c r="M461" i="2" s="1"/>
  <c r="B459" i="2"/>
  <c r="J460" i="2"/>
  <c r="G461" i="2"/>
  <c r="J461" i="2"/>
  <c r="B462" i="2"/>
  <c r="C462" i="2"/>
  <c r="C463" i="2" s="1"/>
  <c r="C464" i="2" s="1"/>
  <c r="C465" i="2" s="1"/>
  <c r="D462" i="2"/>
  <c r="D463" i="2" s="1"/>
  <c r="D464" i="2" s="1"/>
  <c r="D465" i="2" s="1"/>
  <c r="J462" i="2"/>
  <c r="J463" i="2" s="1"/>
  <c r="K462" i="2"/>
  <c r="K463" i="2" s="1"/>
  <c r="K464" i="2" s="1"/>
  <c r="K465" i="2" s="1"/>
  <c r="L462" i="2"/>
  <c r="L463" i="2" s="1"/>
  <c r="L464" i="2" s="1"/>
  <c r="L465" i="2" s="1"/>
  <c r="M462" i="2"/>
  <c r="M463" i="2" s="1"/>
  <c r="M464" i="2" s="1"/>
  <c r="M465" i="2" s="1"/>
  <c r="B463" i="2"/>
  <c r="J464" i="2"/>
  <c r="G465" i="2"/>
  <c r="J465" i="2"/>
  <c r="B466" i="2"/>
  <c r="C466" i="2"/>
  <c r="C467" i="2" s="1"/>
  <c r="C468" i="2" s="1"/>
  <c r="C469" i="2" s="1"/>
  <c r="D466" i="2"/>
  <c r="D467" i="2" s="1"/>
  <c r="D468" i="2" s="1"/>
  <c r="D469" i="2" s="1"/>
  <c r="J466" i="2"/>
  <c r="J467" i="2" s="1"/>
  <c r="K466" i="2"/>
  <c r="K467" i="2" s="1"/>
  <c r="K468" i="2" s="1"/>
  <c r="K469" i="2" s="1"/>
  <c r="L466" i="2"/>
  <c r="L467" i="2" s="1"/>
  <c r="L468" i="2" s="1"/>
  <c r="L469" i="2" s="1"/>
  <c r="M466" i="2"/>
  <c r="M467" i="2" s="1"/>
  <c r="M468" i="2" s="1"/>
  <c r="M469" i="2" s="1"/>
  <c r="B467" i="2"/>
  <c r="J468" i="2"/>
  <c r="G469" i="2"/>
  <c r="J469" i="2"/>
  <c r="B470" i="2"/>
  <c r="C470" i="2"/>
  <c r="C471" i="2" s="1"/>
  <c r="C472" i="2" s="1"/>
  <c r="C473" i="2" s="1"/>
  <c r="D470" i="2"/>
  <c r="D471" i="2" s="1"/>
  <c r="D472" i="2" s="1"/>
  <c r="D473" i="2" s="1"/>
  <c r="J470" i="2"/>
  <c r="J471" i="2" s="1"/>
  <c r="K470" i="2"/>
  <c r="K471" i="2" s="1"/>
  <c r="K472" i="2" s="1"/>
  <c r="K473" i="2" s="1"/>
  <c r="L470" i="2"/>
  <c r="L471" i="2" s="1"/>
  <c r="L472" i="2" s="1"/>
  <c r="L473" i="2" s="1"/>
  <c r="M470" i="2"/>
  <c r="M471" i="2" s="1"/>
  <c r="M472" i="2" s="1"/>
  <c r="M473" i="2" s="1"/>
  <c r="B471" i="2"/>
  <c r="J472" i="2"/>
  <c r="G473" i="2"/>
  <c r="J473" i="2"/>
  <c r="B474" i="2"/>
  <c r="C474" i="2"/>
  <c r="C475" i="2" s="1"/>
  <c r="C476" i="2" s="1"/>
  <c r="C477" i="2" s="1"/>
  <c r="D474" i="2"/>
  <c r="D475" i="2" s="1"/>
  <c r="D476" i="2" s="1"/>
  <c r="D477" i="2" s="1"/>
  <c r="J474" i="2"/>
  <c r="J475" i="2" s="1"/>
  <c r="K474" i="2"/>
  <c r="K475" i="2" s="1"/>
  <c r="K476" i="2" s="1"/>
  <c r="K477" i="2" s="1"/>
  <c r="L474" i="2"/>
  <c r="L475" i="2" s="1"/>
  <c r="L476" i="2" s="1"/>
  <c r="L477" i="2" s="1"/>
  <c r="M474" i="2"/>
  <c r="M475" i="2" s="1"/>
  <c r="M476" i="2" s="1"/>
  <c r="M477" i="2" s="1"/>
  <c r="B475" i="2"/>
  <c r="J476" i="2"/>
  <c r="G477" i="2"/>
  <c r="J477" i="2"/>
  <c r="B478" i="2"/>
  <c r="C478" i="2"/>
  <c r="C479" i="2" s="1"/>
  <c r="C480" i="2" s="1"/>
  <c r="C481" i="2" s="1"/>
  <c r="D478" i="2"/>
  <c r="J478" i="2"/>
  <c r="J479" i="2" s="1"/>
  <c r="K478" i="2"/>
  <c r="K479" i="2" s="1"/>
  <c r="K480" i="2" s="1"/>
  <c r="K481" i="2" s="1"/>
  <c r="L478" i="2"/>
  <c r="L479" i="2" s="1"/>
  <c r="L480" i="2" s="1"/>
  <c r="L481" i="2" s="1"/>
  <c r="M478" i="2"/>
  <c r="M479" i="2" s="1"/>
  <c r="M480" i="2" s="1"/>
  <c r="M481" i="2" s="1"/>
  <c r="B479" i="2"/>
  <c r="D479" i="2"/>
  <c r="D480" i="2" s="1"/>
  <c r="D481" i="2" s="1"/>
  <c r="J480" i="2"/>
  <c r="G481" i="2"/>
  <c r="J481" i="2"/>
  <c r="B482" i="2"/>
  <c r="C482" i="2"/>
  <c r="C483" i="2" s="1"/>
  <c r="C484" i="2" s="1"/>
  <c r="C485" i="2" s="1"/>
  <c r="D482" i="2"/>
  <c r="D483" i="2" s="1"/>
  <c r="D484" i="2" s="1"/>
  <c r="D485" i="2" s="1"/>
  <c r="J482" i="2"/>
  <c r="J483" i="2" s="1"/>
  <c r="K482" i="2"/>
  <c r="K483" i="2" s="1"/>
  <c r="K484" i="2" s="1"/>
  <c r="K485" i="2" s="1"/>
  <c r="L482" i="2"/>
  <c r="L483" i="2" s="1"/>
  <c r="L484" i="2" s="1"/>
  <c r="L485" i="2" s="1"/>
  <c r="M482" i="2"/>
  <c r="M483" i="2" s="1"/>
  <c r="M484" i="2" s="1"/>
  <c r="M485" i="2" s="1"/>
  <c r="B483" i="2"/>
  <c r="J484" i="2"/>
  <c r="G485" i="2"/>
  <c r="J485" i="2"/>
  <c r="B486" i="2"/>
  <c r="C486" i="2"/>
  <c r="C487" i="2" s="1"/>
  <c r="C488" i="2" s="1"/>
  <c r="C489" i="2" s="1"/>
  <c r="D486" i="2"/>
  <c r="D487" i="2" s="1"/>
  <c r="D488" i="2" s="1"/>
  <c r="D489" i="2" s="1"/>
  <c r="J486" i="2"/>
  <c r="J487" i="2" s="1"/>
  <c r="K486" i="2"/>
  <c r="K487" i="2" s="1"/>
  <c r="K488" i="2" s="1"/>
  <c r="K489" i="2" s="1"/>
  <c r="L486" i="2"/>
  <c r="L487" i="2" s="1"/>
  <c r="L488" i="2" s="1"/>
  <c r="L489" i="2" s="1"/>
  <c r="M486" i="2"/>
  <c r="M487" i="2" s="1"/>
  <c r="M488" i="2" s="1"/>
  <c r="M489" i="2" s="1"/>
  <c r="B487" i="2"/>
  <c r="J488" i="2"/>
  <c r="G489" i="2"/>
  <c r="J489" i="2"/>
  <c r="AT487" i="1"/>
  <c r="AP487" i="1"/>
  <c r="AO487" i="1"/>
  <c r="AN487" i="1"/>
  <c r="AG487" i="1"/>
  <c r="AJ487" i="1" s="1"/>
  <c r="G487" i="2" s="1"/>
  <c r="AF487" i="1"/>
  <c r="AI487" i="1" s="1"/>
  <c r="W487" i="1" s="1"/>
  <c r="AD487" i="1"/>
  <c r="AH487" i="1" s="1"/>
  <c r="AK487" i="1" s="1"/>
  <c r="H487" i="1" s="1"/>
  <c r="Z487" i="1"/>
  <c r="S487" i="1"/>
  <c r="E486" i="2" s="1"/>
  <c r="E487" i="2" s="1"/>
  <c r="E488" i="2" s="1"/>
  <c r="E489" i="2" s="1"/>
  <c r="P487" i="1"/>
  <c r="B488" i="2" s="1"/>
  <c r="B489" i="2" s="1"/>
  <c r="K487" i="1"/>
  <c r="AU483" i="1"/>
  <c r="AP483" i="1"/>
  <c r="AO483" i="1"/>
  <c r="AN483" i="1"/>
  <c r="AG483" i="1"/>
  <c r="AJ483" i="1" s="1"/>
  <c r="G483" i="2" s="1"/>
  <c r="AF483" i="1"/>
  <c r="AI483" i="1" s="1"/>
  <c r="G484" i="2" s="1"/>
  <c r="AD483" i="1"/>
  <c r="AH483" i="1" s="1"/>
  <c r="AK483" i="1" s="1"/>
  <c r="H483" i="1" s="1"/>
  <c r="Z483" i="1"/>
  <c r="S483" i="1"/>
  <c r="E482" i="2" s="1"/>
  <c r="E483" i="2" s="1"/>
  <c r="E484" i="2" s="1"/>
  <c r="E485" i="2" s="1"/>
  <c r="P483" i="1"/>
  <c r="B484" i="2" s="1"/>
  <c r="B485" i="2" s="1"/>
  <c r="K483" i="1"/>
  <c r="AU479" i="1"/>
  <c r="AP479" i="1"/>
  <c r="AO479" i="1"/>
  <c r="AN479" i="1"/>
  <c r="AG479" i="1"/>
  <c r="AJ479" i="1" s="1"/>
  <c r="G479" i="2" s="1"/>
  <c r="AF479" i="1"/>
  <c r="AI479" i="1" s="1"/>
  <c r="AD479" i="1"/>
  <c r="AH479" i="1" s="1"/>
  <c r="AK479" i="1" s="1"/>
  <c r="H479" i="1" s="1"/>
  <c r="Z479" i="1"/>
  <c r="S479" i="1"/>
  <c r="E478" i="2" s="1"/>
  <c r="E479" i="2" s="1"/>
  <c r="E480" i="2" s="1"/>
  <c r="E481" i="2" s="1"/>
  <c r="P479" i="1"/>
  <c r="B480" i="2" s="1"/>
  <c r="B481" i="2" s="1"/>
  <c r="K479" i="1"/>
  <c r="AU475" i="1"/>
  <c r="AP475" i="1"/>
  <c r="AO475" i="1"/>
  <c r="AN475" i="1"/>
  <c r="AG475" i="1"/>
  <c r="AJ475" i="1" s="1"/>
  <c r="X475" i="1" s="1"/>
  <c r="AF475" i="1"/>
  <c r="AI475" i="1" s="1"/>
  <c r="W475" i="1" s="1"/>
  <c r="AD475" i="1"/>
  <c r="AH475" i="1" s="1"/>
  <c r="AK475" i="1" s="1"/>
  <c r="H475" i="1" s="1"/>
  <c r="Z475" i="1"/>
  <c r="S475" i="1"/>
  <c r="E474" i="2" s="1"/>
  <c r="E475" i="2" s="1"/>
  <c r="E476" i="2" s="1"/>
  <c r="E477" i="2" s="1"/>
  <c r="P475" i="1"/>
  <c r="B476" i="2" s="1"/>
  <c r="B477" i="2" s="1"/>
  <c r="K475" i="1"/>
  <c r="AU471" i="1"/>
  <c r="AP471" i="1"/>
  <c r="AO471" i="1"/>
  <c r="AN471" i="1"/>
  <c r="AG471" i="1"/>
  <c r="AJ471" i="1" s="1"/>
  <c r="AF471" i="1"/>
  <c r="AI471" i="1" s="1"/>
  <c r="W471" i="1" s="1"/>
  <c r="AD471" i="1"/>
  <c r="AH471" i="1" s="1"/>
  <c r="AK471" i="1" s="1"/>
  <c r="H471" i="1" s="1"/>
  <c r="Z471" i="1"/>
  <c r="S471" i="1"/>
  <c r="E470" i="2" s="1"/>
  <c r="E471" i="2" s="1"/>
  <c r="E472" i="2" s="1"/>
  <c r="E473" i="2" s="1"/>
  <c r="P471" i="1"/>
  <c r="B472" i="2" s="1"/>
  <c r="B473" i="2" s="1"/>
  <c r="K471" i="1"/>
  <c r="AP467" i="1"/>
  <c r="AO467" i="1"/>
  <c r="AN467" i="1"/>
  <c r="AG467" i="1"/>
  <c r="AJ467" i="1" s="1"/>
  <c r="L467" i="1" s="1"/>
  <c r="AF467" i="1"/>
  <c r="AI467" i="1" s="1"/>
  <c r="W467" i="1" s="1"/>
  <c r="AD467" i="1"/>
  <c r="AH467" i="1" s="1"/>
  <c r="AK467" i="1" s="1"/>
  <c r="H467" i="1" s="1"/>
  <c r="Z467" i="1"/>
  <c r="S467" i="1"/>
  <c r="E466" i="2" s="1"/>
  <c r="E467" i="2" s="1"/>
  <c r="E468" i="2" s="1"/>
  <c r="E469" i="2" s="1"/>
  <c r="P467" i="1"/>
  <c r="B468" i="2" s="1"/>
  <c r="B469" i="2" s="1"/>
  <c r="K467" i="1"/>
  <c r="AP463" i="1"/>
  <c r="AO463" i="1"/>
  <c r="AN463" i="1"/>
  <c r="AG463" i="1"/>
  <c r="AJ463" i="1" s="1"/>
  <c r="G463" i="2" s="1"/>
  <c r="AF463" i="1"/>
  <c r="AI463" i="1" s="1"/>
  <c r="G464" i="2" s="1"/>
  <c r="AD463" i="1"/>
  <c r="AH463" i="1" s="1"/>
  <c r="AK463" i="1" s="1"/>
  <c r="Z463" i="1"/>
  <c r="S463" i="1"/>
  <c r="E462" i="2" s="1"/>
  <c r="E463" i="2" s="1"/>
  <c r="E464" i="2" s="1"/>
  <c r="E465" i="2" s="1"/>
  <c r="P463" i="1"/>
  <c r="B464" i="2" s="1"/>
  <c r="B465" i="2" s="1"/>
  <c r="K463" i="1"/>
  <c r="AP459" i="1"/>
  <c r="AO459" i="1"/>
  <c r="AN459" i="1"/>
  <c r="AG459" i="1"/>
  <c r="AJ459" i="1" s="1"/>
  <c r="L459" i="1" s="1"/>
  <c r="AF459" i="1"/>
  <c r="AI459" i="1" s="1"/>
  <c r="G460" i="2" s="1"/>
  <c r="AD459" i="1"/>
  <c r="AH459" i="1" s="1"/>
  <c r="AK459" i="1" s="1"/>
  <c r="Z459" i="1"/>
  <c r="S459" i="1"/>
  <c r="E458" i="2" s="1"/>
  <c r="E459" i="2" s="1"/>
  <c r="E460" i="2" s="1"/>
  <c r="E461" i="2" s="1"/>
  <c r="P459" i="1"/>
  <c r="B460" i="2" s="1"/>
  <c r="B461" i="2" s="1"/>
  <c r="K459" i="1"/>
  <c r="AU455" i="1"/>
  <c r="AP455" i="1"/>
  <c r="AO455" i="1"/>
  <c r="AN455" i="1"/>
  <c r="AG455" i="1"/>
  <c r="AJ455" i="1" s="1"/>
  <c r="L455" i="1" s="1"/>
  <c r="AF455" i="1"/>
  <c r="AI455" i="1" s="1"/>
  <c r="G456" i="2" s="1"/>
  <c r="AD455" i="1"/>
  <c r="AH455" i="1" s="1"/>
  <c r="AK455" i="1" s="1"/>
  <c r="H455" i="1" s="1"/>
  <c r="Z455" i="1"/>
  <c r="S455" i="1"/>
  <c r="E454" i="2" s="1"/>
  <c r="E455" i="2" s="1"/>
  <c r="E456" i="2" s="1"/>
  <c r="E457" i="2" s="1"/>
  <c r="P455" i="1"/>
  <c r="B456" i="2" s="1"/>
  <c r="B457" i="2" s="1"/>
  <c r="K455" i="1"/>
  <c r="AT451" i="1"/>
  <c r="AP451" i="1"/>
  <c r="AO451" i="1"/>
  <c r="AN451" i="1"/>
  <c r="AG451" i="1"/>
  <c r="AJ451" i="1" s="1"/>
  <c r="G451" i="2" s="1"/>
  <c r="AF451" i="1"/>
  <c r="AI451" i="1" s="1"/>
  <c r="G452" i="2" s="1"/>
  <c r="AD451" i="1"/>
  <c r="AH451" i="1" s="1"/>
  <c r="AK451" i="1" s="1"/>
  <c r="H451" i="1" s="1"/>
  <c r="Z451" i="1"/>
  <c r="S451" i="1"/>
  <c r="E450" i="2" s="1"/>
  <c r="E451" i="2" s="1"/>
  <c r="E452" i="2" s="1"/>
  <c r="E453" i="2" s="1"/>
  <c r="P451" i="1"/>
  <c r="B452" i="2" s="1"/>
  <c r="B453" i="2" s="1"/>
  <c r="K451" i="1"/>
  <c r="AU447" i="1"/>
  <c r="AP447" i="1"/>
  <c r="AO447" i="1"/>
  <c r="AN447" i="1"/>
  <c r="AG447" i="1"/>
  <c r="AJ447" i="1" s="1"/>
  <c r="G447" i="2" s="1"/>
  <c r="AF447" i="1"/>
  <c r="AI447" i="1" s="1"/>
  <c r="AD447" i="1"/>
  <c r="AH447" i="1" s="1"/>
  <c r="AK447" i="1" s="1"/>
  <c r="Z447" i="1"/>
  <c r="S447" i="1"/>
  <c r="E446" i="2" s="1"/>
  <c r="E447" i="2" s="1"/>
  <c r="E448" i="2" s="1"/>
  <c r="E449" i="2" s="1"/>
  <c r="P447" i="1"/>
  <c r="B448" i="2" s="1"/>
  <c r="B449" i="2" s="1"/>
  <c r="K447" i="1"/>
  <c r="AU443" i="1"/>
  <c r="AP443" i="1"/>
  <c r="AO443" i="1"/>
  <c r="AN443" i="1"/>
  <c r="AG443" i="1"/>
  <c r="AJ443" i="1" s="1"/>
  <c r="X443" i="1" s="1"/>
  <c r="AF443" i="1"/>
  <c r="AI443" i="1" s="1"/>
  <c r="W443" i="1" s="1"/>
  <c r="AD443" i="1"/>
  <c r="I443" i="1" s="1"/>
  <c r="Z443" i="1"/>
  <c r="S443" i="1"/>
  <c r="E442" i="2" s="1"/>
  <c r="E443" i="2" s="1"/>
  <c r="E444" i="2" s="1"/>
  <c r="E445" i="2" s="1"/>
  <c r="P443" i="1"/>
  <c r="B444" i="2" s="1"/>
  <c r="B445" i="2" s="1"/>
  <c r="K443" i="1"/>
  <c r="AP439" i="1"/>
  <c r="AO439" i="1"/>
  <c r="AN439" i="1"/>
  <c r="AG439" i="1"/>
  <c r="AJ439" i="1" s="1"/>
  <c r="AF439" i="1"/>
  <c r="AI439" i="1" s="1"/>
  <c r="W439" i="1" s="1"/>
  <c r="AD439" i="1"/>
  <c r="AH439" i="1" s="1"/>
  <c r="AK439" i="1" s="1"/>
  <c r="H439" i="1" s="1"/>
  <c r="Z439" i="1"/>
  <c r="S439" i="1"/>
  <c r="E438" i="2" s="1"/>
  <c r="E439" i="2" s="1"/>
  <c r="E440" i="2" s="1"/>
  <c r="E441" i="2" s="1"/>
  <c r="P439" i="1"/>
  <c r="B440" i="2" s="1"/>
  <c r="B441" i="2" s="1"/>
  <c r="K439" i="1"/>
  <c r="AP435" i="1"/>
  <c r="AO435" i="1"/>
  <c r="AN435" i="1"/>
  <c r="AG435" i="1"/>
  <c r="AJ435" i="1" s="1"/>
  <c r="AF435" i="1"/>
  <c r="AI435" i="1" s="1"/>
  <c r="AD435" i="1"/>
  <c r="AH435" i="1" s="1"/>
  <c r="AK435" i="1" s="1"/>
  <c r="Z435" i="1"/>
  <c r="S435" i="1"/>
  <c r="E434" i="2" s="1"/>
  <c r="E435" i="2" s="1"/>
  <c r="E436" i="2" s="1"/>
  <c r="E437" i="2" s="1"/>
  <c r="P435" i="1"/>
  <c r="B436" i="2" s="1"/>
  <c r="B437" i="2" s="1"/>
  <c r="K435" i="1"/>
  <c r="AP431" i="1"/>
  <c r="AO431" i="1"/>
  <c r="AN431" i="1"/>
  <c r="AG431" i="1"/>
  <c r="AJ431" i="1" s="1"/>
  <c r="G431" i="2" s="1"/>
  <c r="AF431" i="1"/>
  <c r="AI431" i="1" s="1"/>
  <c r="G432" i="2" s="1"/>
  <c r="AD431" i="1"/>
  <c r="AH431" i="1" s="1"/>
  <c r="AK431" i="1" s="1"/>
  <c r="Z431" i="1"/>
  <c r="S431" i="1"/>
  <c r="E430" i="2" s="1"/>
  <c r="E431" i="2" s="1"/>
  <c r="E432" i="2" s="1"/>
  <c r="E433" i="2" s="1"/>
  <c r="P431" i="1"/>
  <c r="B432" i="2" s="1"/>
  <c r="B433" i="2" s="1"/>
  <c r="K431" i="1"/>
  <c r="AP427" i="1"/>
  <c r="AO427" i="1"/>
  <c r="AN427" i="1"/>
  <c r="AG427" i="1"/>
  <c r="AJ427" i="1" s="1"/>
  <c r="L427" i="1" s="1"/>
  <c r="AF427" i="1"/>
  <c r="AI427" i="1" s="1"/>
  <c r="G428" i="2" s="1"/>
  <c r="AD427" i="1"/>
  <c r="AH427" i="1" s="1"/>
  <c r="AK427" i="1" s="1"/>
  <c r="H427" i="1" s="1"/>
  <c r="Z427" i="1"/>
  <c r="S427" i="1"/>
  <c r="E426" i="2" s="1"/>
  <c r="E427" i="2" s="1"/>
  <c r="E428" i="2" s="1"/>
  <c r="E429" i="2" s="1"/>
  <c r="P427" i="1"/>
  <c r="B428" i="2" s="1"/>
  <c r="B429" i="2" s="1"/>
  <c r="K427" i="1"/>
  <c r="AU423" i="1"/>
  <c r="AP423" i="1"/>
  <c r="AO423" i="1"/>
  <c r="AN423" i="1"/>
  <c r="AG423" i="1"/>
  <c r="AJ423" i="1" s="1"/>
  <c r="AF423" i="1"/>
  <c r="AI423" i="1" s="1"/>
  <c r="G424" i="2" s="1"/>
  <c r="AD423" i="1"/>
  <c r="AH423" i="1" s="1"/>
  <c r="AK423" i="1" s="1"/>
  <c r="Z423" i="1"/>
  <c r="S423" i="1"/>
  <c r="E422" i="2" s="1"/>
  <c r="E423" i="2" s="1"/>
  <c r="E424" i="2" s="1"/>
  <c r="E425" i="2" s="1"/>
  <c r="P423" i="1"/>
  <c r="B424" i="2" s="1"/>
  <c r="B425" i="2" s="1"/>
  <c r="K423" i="1"/>
  <c r="AU419" i="1"/>
  <c r="AP419" i="1"/>
  <c r="AO419" i="1"/>
  <c r="AN419" i="1"/>
  <c r="AG419" i="1"/>
  <c r="AJ419" i="1" s="1"/>
  <c r="G419" i="2" s="1"/>
  <c r="AF419" i="1"/>
  <c r="AI419" i="1" s="1"/>
  <c r="G420" i="2" s="1"/>
  <c r="AD419" i="1"/>
  <c r="AH419" i="1" s="1"/>
  <c r="AK419" i="1" s="1"/>
  <c r="H419" i="1" s="1"/>
  <c r="Z419" i="1"/>
  <c r="S419" i="1"/>
  <c r="E418" i="2" s="1"/>
  <c r="E419" i="2" s="1"/>
  <c r="E420" i="2" s="1"/>
  <c r="E421" i="2" s="1"/>
  <c r="P419" i="1"/>
  <c r="B420" i="2" s="1"/>
  <c r="B421" i="2" s="1"/>
  <c r="K419" i="1"/>
  <c r="AU415" i="1"/>
  <c r="AP415" i="1"/>
  <c r="AO415" i="1"/>
  <c r="AN415" i="1"/>
  <c r="AG415" i="1"/>
  <c r="AJ415" i="1" s="1"/>
  <c r="G415" i="2" s="1"/>
  <c r="AF415" i="1"/>
  <c r="AI415" i="1" s="1"/>
  <c r="AD415" i="1"/>
  <c r="AH415" i="1" s="1"/>
  <c r="AK415" i="1" s="1"/>
  <c r="Z415" i="1"/>
  <c r="S415" i="1"/>
  <c r="E414" i="2" s="1"/>
  <c r="E415" i="2" s="1"/>
  <c r="E416" i="2" s="1"/>
  <c r="E417" i="2" s="1"/>
  <c r="P415" i="1"/>
  <c r="B416" i="2" s="1"/>
  <c r="B417" i="2" s="1"/>
  <c r="K415" i="1"/>
  <c r="AU411" i="1"/>
  <c r="AP411" i="1"/>
  <c r="AO411" i="1"/>
  <c r="AN411" i="1"/>
  <c r="AG411" i="1"/>
  <c r="AJ411" i="1" s="1"/>
  <c r="G411" i="2" s="1"/>
  <c r="AF411" i="1"/>
  <c r="AI411" i="1" s="1"/>
  <c r="W411" i="1" s="1"/>
  <c r="AD411" i="1"/>
  <c r="AH411" i="1" s="1"/>
  <c r="AK411" i="1" s="1"/>
  <c r="H411" i="1" s="1"/>
  <c r="Z411" i="1"/>
  <c r="S411" i="1"/>
  <c r="E410" i="2" s="1"/>
  <c r="E411" i="2" s="1"/>
  <c r="E412" i="2" s="1"/>
  <c r="E413" i="2" s="1"/>
  <c r="P411" i="1"/>
  <c r="B412" i="2" s="1"/>
  <c r="B413" i="2" s="1"/>
  <c r="K411" i="1"/>
  <c r="AP407" i="1"/>
  <c r="AO407" i="1"/>
  <c r="AN407" i="1"/>
  <c r="AG407" i="1"/>
  <c r="AJ407" i="1" s="1"/>
  <c r="AF407" i="1"/>
  <c r="AI407" i="1" s="1"/>
  <c r="W407" i="1" s="1"/>
  <c r="AD407" i="1"/>
  <c r="AH407" i="1" s="1"/>
  <c r="AK407" i="1" s="1"/>
  <c r="Z407" i="1"/>
  <c r="S407" i="1"/>
  <c r="E406" i="2" s="1"/>
  <c r="E407" i="2" s="1"/>
  <c r="E408" i="2" s="1"/>
  <c r="E409" i="2" s="1"/>
  <c r="P407" i="1"/>
  <c r="B408" i="2" s="1"/>
  <c r="B409" i="2" s="1"/>
  <c r="K407" i="1"/>
  <c r="AU403" i="1"/>
  <c r="AP403" i="1"/>
  <c r="AO403" i="1"/>
  <c r="AN403" i="1"/>
  <c r="AG403" i="1"/>
  <c r="AJ403" i="1" s="1"/>
  <c r="AF403" i="1"/>
  <c r="AI403" i="1" s="1"/>
  <c r="G404" i="2" s="1"/>
  <c r="AD403" i="1"/>
  <c r="AH403" i="1" s="1"/>
  <c r="AK403" i="1" s="1"/>
  <c r="H403" i="1" s="1"/>
  <c r="Z403" i="1"/>
  <c r="S403" i="1"/>
  <c r="E402" i="2" s="1"/>
  <c r="E403" i="2" s="1"/>
  <c r="E404" i="2" s="1"/>
  <c r="E405" i="2" s="1"/>
  <c r="P403" i="1"/>
  <c r="B404" i="2" s="1"/>
  <c r="B405" i="2" s="1"/>
  <c r="K403" i="1"/>
  <c r="AP399" i="1"/>
  <c r="AO399" i="1"/>
  <c r="AN399" i="1"/>
  <c r="AG399" i="1"/>
  <c r="AJ399" i="1" s="1"/>
  <c r="G399" i="2" s="1"/>
  <c r="AF399" i="1"/>
  <c r="AI399" i="1" s="1"/>
  <c r="G400" i="2" s="1"/>
  <c r="AD399" i="1"/>
  <c r="AH399" i="1" s="1"/>
  <c r="AK399" i="1" s="1"/>
  <c r="Z399" i="1"/>
  <c r="S399" i="1"/>
  <c r="E398" i="2" s="1"/>
  <c r="E399" i="2" s="1"/>
  <c r="E400" i="2" s="1"/>
  <c r="E401" i="2" s="1"/>
  <c r="P399" i="1"/>
  <c r="B400" i="2" s="1"/>
  <c r="B401" i="2" s="1"/>
  <c r="K399" i="1"/>
  <c r="AP395" i="1"/>
  <c r="AO395" i="1"/>
  <c r="AN395" i="1"/>
  <c r="AG395" i="1"/>
  <c r="AJ395" i="1" s="1"/>
  <c r="L395" i="1" s="1"/>
  <c r="AF395" i="1"/>
  <c r="AI395" i="1" s="1"/>
  <c r="AD395" i="1"/>
  <c r="AH395" i="1" s="1"/>
  <c r="AK395" i="1" s="1"/>
  <c r="Z395" i="1"/>
  <c r="S395" i="1"/>
  <c r="E394" i="2" s="1"/>
  <c r="E395" i="2" s="1"/>
  <c r="E396" i="2" s="1"/>
  <c r="E397" i="2" s="1"/>
  <c r="P395" i="1"/>
  <c r="B396" i="2" s="1"/>
  <c r="B397" i="2" s="1"/>
  <c r="K395" i="1"/>
  <c r="AU391" i="1"/>
  <c r="AP391" i="1"/>
  <c r="AO391" i="1"/>
  <c r="AN391" i="1"/>
  <c r="AG391" i="1"/>
  <c r="AJ391" i="1" s="1"/>
  <c r="AF391" i="1"/>
  <c r="AI391" i="1" s="1"/>
  <c r="G392" i="2" s="1"/>
  <c r="AD391" i="1"/>
  <c r="AH391" i="1" s="1"/>
  <c r="AK391" i="1" s="1"/>
  <c r="H391" i="1" s="1"/>
  <c r="Z391" i="1"/>
  <c r="S391" i="1"/>
  <c r="E390" i="2" s="1"/>
  <c r="E391" i="2" s="1"/>
  <c r="E392" i="2" s="1"/>
  <c r="E393" i="2" s="1"/>
  <c r="P391" i="1"/>
  <c r="B392" i="2" s="1"/>
  <c r="B393" i="2" s="1"/>
  <c r="K391" i="1"/>
  <c r="AU387" i="1"/>
  <c r="AP387" i="1"/>
  <c r="AO387" i="1"/>
  <c r="AN387" i="1"/>
  <c r="AG387" i="1"/>
  <c r="AJ387" i="1" s="1"/>
  <c r="G387" i="2" s="1"/>
  <c r="AF387" i="1"/>
  <c r="AI387" i="1" s="1"/>
  <c r="AD387" i="1"/>
  <c r="AH387" i="1" s="1"/>
  <c r="AK387" i="1" s="1"/>
  <c r="H387" i="1" s="1"/>
  <c r="Z387" i="1"/>
  <c r="S387" i="1"/>
  <c r="E386" i="2" s="1"/>
  <c r="E387" i="2" s="1"/>
  <c r="E388" i="2" s="1"/>
  <c r="E389" i="2" s="1"/>
  <c r="P387" i="1"/>
  <c r="B388" i="2" s="1"/>
  <c r="B389" i="2" s="1"/>
  <c r="K387" i="1"/>
  <c r="AU383" i="1"/>
  <c r="AP383" i="1"/>
  <c r="AO383" i="1"/>
  <c r="AN383" i="1"/>
  <c r="AG383" i="1"/>
  <c r="AJ383" i="1" s="1"/>
  <c r="L383" i="1" s="1"/>
  <c r="AF383" i="1"/>
  <c r="AI383" i="1" s="1"/>
  <c r="AD383" i="1"/>
  <c r="AH383" i="1" s="1"/>
  <c r="AK383" i="1" s="1"/>
  <c r="H383" i="1" s="1"/>
  <c r="Z383" i="1"/>
  <c r="S383" i="1"/>
  <c r="E382" i="2" s="1"/>
  <c r="E383" i="2" s="1"/>
  <c r="E384" i="2" s="1"/>
  <c r="E385" i="2" s="1"/>
  <c r="P383" i="1"/>
  <c r="B384" i="2" s="1"/>
  <c r="B385" i="2" s="1"/>
  <c r="K383" i="1"/>
  <c r="AU379" i="1"/>
  <c r="AP379" i="1"/>
  <c r="AO379" i="1"/>
  <c r="AN379" i="1"/>
  <c r="AG379" i="1"/>
  <c r="AJ379" i="1" s="1"/>
  <c r="AF379" i="1"/>
  <c r="AI379" i="1" s="1"/>
  <c r="W379" i="1" s="1"/>
  <c r="AD379" i="1"/>
  <c r="AH379" i="1" s="1"/>
  <c r="AK379" i="1" s="1"/>
  <c r="H379" i="1" s="1"/>
  <c r="Z379" i="1"/>
  <c r="S379" i="1"/>
  <c r="E378" i="2" s="1"/>
  <c r="E379" i="2" s="1"/>
  <c r="E380" i="2" s="1"/>
  <c r="E381" i="2" s="1"/>
  <c r="P379" i="1"/>
  <c r="B380" i="2" s="1"/>
  <c r="B381" i="2" s="1"/>
  <c r="K379" i="1"/>
  <c r="AU375" i="1"/>
  <c r="AP375" i="1"/>
  <c r="AO375" i="1"/>
  <c r="AN375" i="1"/>
  <c r="AG375" i="1"/>
  <c r="AJ375" i="1" s="1"/>
  <c r="G375" i="2" s="1"/>
  <c r="AF375" i="1"/>
  <c r="AI375" i="1" s="1"/>
  <c r="AD375" i="1"/>
  <c r="AH375" i="1" s="1"/>
  <c r="AK375" i="1" s="1"/>
  <c r="Z375" i="1"/>
  <c r="S375" i="1"/>
  <c r="E374" i="2" s="1"/>
  <c r="E375" i="2" s="1"/>
  <c r="E376" i="2" s="1"/>
  <c r="E377" i="2" s="1"/>
  <c r="P375" i="1"/>
  <c r="B376" i="2" s="1"/>
  <c r="B377" i="2" s="1"/>
  <c r="K375" i="1"/>
  <c r="AU371" i="1"/>
  <c r="AP371" i="1"/>
  <c r="AO371" i="1"/>
  <c r="AN371" i="1"/>
  <c r="AG371" i="1"/>
  <c r="AJ371" i="1" s="1"/>
  <c r="L371" i="1" s="1"/>
  <c r="AF371" i="1"/>
  <c r="AI371" i="1" s="1"/>
  <c r="G372" i="2" s="1"/>
  <c r="AD371" i="1"/>
  <c r="I371" i="1" s="1"/>
  <c r="Z371" i="1"/>
  <c r="S371" i="1"/>
  <c r="E370" i="2" s="1"/>
  <c r="E371" i="2" s="1"/>
  <c r="E372" i="2" s="1"/>
  <c r="E373" i="2" s="1"/>
  <c r="P371" i="1"/>
  <c r="B372" i="2" s="1"/>
  <c r="B373" i="2" s="1"/>
  <c r="K371" i="1"/>
  <c r="AP367" i="1"/>
  <c r="AO367" i="1"/>
  <c r="AN367" i="1"/>
  <c r="AG367" i="1"/>
  <c r="AJ367" i="1" s="1"/>
  <c r="AF367" i="1"/>
  <c r="AI367" i="1" s="1"/>
  <c r="G368" i="2" s="1"/>
  <c r="AD367" i="1"/>
  <c r="AH367" i="1" s="1"/>
  <c r="AK367" i="1" s="1"/>
  <c r="Z367" i="1"/>
  <c r="S367" i="1"/>
  <c r="E366" i="2" s="1"/>
  <c r="E367" i="2" s="1"/>
  <c r="E368" i="2" s="1"/>
  <c r="E369" i="2" s="1"/>
  <c r="P367" i="1"/>
  <c r="B368" i="2" s="1"/>
  <c r="B369" i="2" s="1"/>
  <c r="K367" i="1"/>
  <c r="AP363" i="1"/>
  <c r="AO363" i="1"/>
  <c r="AN363" i="1"/>
  <c r="AG363" i="1"/>
  <c r="AJ363" i="1" s="1"/>
  <c r="L363" i="1" s="1"/>
  <c r="AF363" i="1"/>
  <c r="AI363" i="1" s="1"/>
  <c r="G364" i="2" s="1"/>
  <c r="AD363" i="1"/>
  <c r="AH363" i="1" s="1"/>
  <c r="AK363" i="1" s="1"/>
  <c r="Z363" i="1"/>
  <c r="S363" i="1"/>
  <c r="E362" i="2" s="1"/>
  <c r="E363" i="2" s="1"/>
  <c r="E364" i="2" s="1"/>
  <c r="E365" i="2" s="1"/>
  <c r="P363" i="1"/>
  <c r="B364" i="2" s="1"/>
  <c r="B365" i="2" s="1"/>
  <c r="K363" i="1"/>
  <c r="AU359" i="1"/>
  <c r="AP359" i="1"/>
  <c r="AO359" i="1"/>
  <c r="AN359" i="1"/>
  <c r="AG359" i="1"/>
  <c r="AJ359" i="1" s="1"/>
  <c r="G359" i="2" s="1"/>
  <c r="AF359" i="1"/>
  <c r="AI359" i="1" s="1"/>
  <c r="G360" i="2" s="1"/>
  <c r="AD359" i="1"/>
  <c r="AH359" i="1" s="1"/>
  <c r="AK359" i="1" s="1"/>
  <c r="H359" i="1" s="1"/>
  <c r="Z359" i="1"/>
  <c r="S359" i="1"/>
  <c r="E358" i="2" s="1"/>
  <c r="E359" i="2" s="1"/>
  <c r="E360" i="2" s="1"/>
  <c r="E361" i="2" s="1"/>
  <c r="P359" i="1"/>
  <c r="B360" i="2" s="1"/>
  <c r="B361" i="2" s="1"/>
  <c r="K359" i="1"/>
  <c r="AU355" i="1"/>
  <c r="AP355" i="1"/>
  <c r="AO355" i="1"/>
  <c r="AN355" i="1"/>
  <c r="AG355" i="1"/>
  <c r="AJ355" i="1" s="1"/>
  <c r="L355" i="1" s="1"/>
  <c r="AF355" i="1"/>
  <c r="AI355" i="1" s="1"/>
  <c r="W355" i="1" s="1"/>
  <c r="AD355" i="1"/>
  <c r="AH355" i="1" s="1"/>
  <c r="AK355" i="1" s="1"/>
  <c r="G354" i="2" s="1"/>
  <c r="Z355" i="1"/>
  <c r="S355" i="1"/>
  <c r="E354" i="2" s="1"/>
  <c r="E355" i="2" s="1"/>
  <c r="E356" i="2" s="1"/>
  <c r="E357" i="2" s="1"/>
  <c r="P355" i="1"/>
  <c r="B356" i="2" s="1"/>
  <c r="B357" i="2" s="1"/>
  <c r="K355" i="1"/>
  <c r="AU351" i="1"/>
  <c r="AP351" i="1"/>
  <c r="AO351" i="1"/>
  <c r="AN351" i="1"/>
  <c r="AG351" i="1"/>
  <c r="AJ351" i="1" s="1"/>
  <c r="AF351" i="1"/>
  <c r="AI351" i="1" s="1"/>
  <c r="AD351" i="1"/>
  <c r="AH351" i="1" s="1"/>
  <c r="AK351" i="1" s="1"/>
  <c r="G350" i="2" s="1"/>
  <c r="Z351" i="1"/>
  <c r="S351" i="1"/>
  <c r="E350" i="2" s="1"/>
  <c r="E351" i="2" s="1"/>
  <c r="E352" i="2" s="1"/>
  <c r="E353" i="2" s="1"/>
  <c r="P351" i="1"/>
  <c r="B352" i="2" s="1"/>
  <c r="B353" i="2" s="1"/>
  <c r="K351" i="1"/>
  <c r="AS347" i="1"/>
  <c r="AP347" i="1"/>
  <c r="AO347" i="1"/>
  <c r="AN347" i="1"/>
  <c r="AG347" i="1"/>
  <c r="AJ347" i="1" s="1"/>
  <c r="G347" i="2" s="1"/>
  <c r="AF347" i="1"/>
  <c r="AI347" i="1" s="1"/>
  <c r="G348" i="2" s="1"/>
  <c r="AD347" i="1"/>
  <c r="AH347" i="1" s="1"/>
  <c r="AK347" i="1" s="1"/>
  <c r="Z347" i="1"/>
  <c r="S347" i="1"/>
  <c r="E346" i="2" s="1"/>
  <c r="E347" i="2" s="1"/>
  <c r="E348" i="2" s="1"/>
  <c r="E349" i="2" s="1"/>
  <c r="P347" i="1"/>
  <c r="B348" i="2" s="1"/>
  <c r="B349" i="2" s="1"/>
  <c r="K347" i="1"/>
  <c r="AU343" i="1"/>
  <c r="AP343" i="1"/>
  <c r="AO343" i="1"/>
  <c r="AN343" i="1"/>
  <c r="AG343" i="1"/>
  <c r="AJ343" i="1" s="1"/>
  <c r="G343" i="2" s="1"/>
  <c r="AF343" i="1"/>
  <c r="AI343" i="1" s="1"/>
  <c r="G344" i="2" s="1"/>
  <c r="AD343" i="1"/>
  <c r="AH343" i="1" s="1"/>
  <c r="AK343" i="1" s="1"/>
  <c r="Z343" i="1"/>
  <c r="S343" i="1"/>
  <c r="E342" i="2" s="1"/>
  <c r="E343" i="2" s="1"/>
  <c r="E344" i="2" s="1"/>
  <c r="E345" i="2" s="1"/>
  <c r="P343" i="1"/>
  <c r="B344" i="2" s="1"/>
  <c r="B345" i="2" s="1"/>
  <c r="K343" i="1"/>
  <c r="AU339" i="1"/>
  <c r="AP339" i="1"/>
  <c r="AO339" i="1"/>
  <c r="AN339" i="1"/>
  <c r="AG339" i="1"/>
  <c r="AJ339" i="1" s="1"/>
  <c r="G339" i="2" s="1"/>
  <c r="AF339" i="1"/>
  <c r="AI339" i="1" s="1"/>
  <c r="G340" i="2" s="1"/>
  <c r="AD339" i="1"/>
  <c r="AH339" i="1" s="1"/>
  <c r="AK339" i="1" s="1"/>
  <c r="H339" i="1" s="1"/>
  <c r="Z339" i="1"/>
  <c r="S339" i="1"/>
  <c r="E338" i="2" s="1"/>
  <c r="E339" i="2" s="1"/>
  <c r="E340" i="2" s="1"/>
  <c r="E341" i="2" s="1"/>
  <c r="P339" i="1"/>
  <c r="B340" i="2" s="1"/>
  <c r="B341" i="2" s="1"/>
  <c r="K339" i="1"/>
  <c r="AP335" i="1"/>
  <c r="AO335" i="1"/>
  <c r="AN335" i="1"/>
  <c r="AG335" i="1"/>
  <c r="AJ335" i="1" s="1"/>
  <c r="G335" i="2" s="1"/>
  <c r="AF335" i="1"/>
  <c r="AI335" i="1" s="1"/>
  <c r="G336" i="2" s="1"/>
  <c r="AD335" i="1"/>
  <c r="AH335" i="1" s="1"/>
  <c r="AK335" i="1" s="1"/>
  <c r="Z335" i="1"/>
  <c r="S335" i="1"/>
  <c r="E334" i="2" s="1"/>
  <c r="E335" i="2" s="1"/>
  <c r="E336" i="2" s="1"/>
  <c r="E337" i="2" s="1"/>
  <c r="P335" i="1"/>
  <c r="B336" i="2" s="1"/>
  <c r="B337" i="2" s="1"/>
  <c r="K335" i="1"/>
  <c r="AP331" i="1"/>
  <c r="AO331" i="1"/>
  <c r="AN331" i="1"/>
  <c r="AG331" i="1"/>
  <c r="AJ331" i="1" s="1"/>
  <c r="L331" i="1" s="1"/>
  <c r="AF331" i="1"/>
  <c r="AI331" i="1" s="1"/>
  <c r="AD331" i="1"/>
  <c r="AH331" i="1" s="1"/>
  <c r="AK331" i="1" s="1"/>
  <c r="Z331" i="1"/>
  <c r="S331" i="1"/>
  <c r="E330" i="2" s="1"/>
  <c r="E331" i="2" s="1"/>
  <c r="E332" i="2" s="1"/>
  <c r="E333" i="2" s="1"/>
  <c r="P331" i="1"/>
  <c r="B332" i="2" s="1"/>
  <c r="B333" i="2" s="1"/>
  <c r="K331" i="1"/>
  <c r="AU327" i="1"/>
  <c r="AP327" i="1"/>
  <c r="AO327" i="1"/>
  <c r="AN327" i="1"/>
  <c r="AG327" i="1"/>
  <c r="AJ327" i="1" s="1"/>
  <c r="AF327" i="1"/>
  <c r="AI327" i="1" s="1"/>
  <c r="G328" i="2" s="1"/>
  <c r="AD327" i="1"/>
  <c r="AH327" i="1" s="1"/>
  <c r="AK327" i="1" s="1"/>
  <c r="H327" i="1" s="1"/>
  <c r="Z327" i="1"/>
  <c r="S327" i="1"/>
  <c r="E326" i="2" s="1"/>
  <c r="E327" i="2" s="1"/>
  <c r="E328" i="2" s="1"/>
  <c r="E329" i="2" s="1"/>
  <c r="P327" i="1"/>
  <c r="B328" i="2" s="1"/>
  <c r="B329" i="2" s="1"/>
  <c r="K327" i="1"/>
  <c r="AU323" i="1"/>
  <c r="AP323" i="1"/>
  <c r="AO323" i="1"/>
  <c r="AN323" i="1"/>
  <c r="AG323" i="1"/>
  <c r="AJ323" i="1" s="1"/>
  <c r="G323" i="2" s="1"/>
  <c r="AF323" i="1"/>
  <c r="AI323" i="1" s="1"/>
  <c r="G324" i="2" s="1"/>
  <c r="AD323" i="1"/>
  <c r="AH323" i="1" s="1"/>
  <c r="AK323" i="1" s="1"/>
  <c r="Z323" i="1"/>
  <c r="S323" i="1"/>
  <c r="E322" i="2" s="1"/>
  <c r="E323" i="2" s="1"/>
  <c r="E324" i="2" s="1"/>
  <c r="E325" i="2" s="1"/>
  <c r="P323" i="1"/>
  <c r="B324" i="2" s="1"/>
  <c r="B325" i="2" s="1"/>
  <c r="K323" i="1"/>
  <c r="AU319" i="1"/>
  <c r="AP319" i="1"/>
  <c r="AO319" i="1"/>
  <c r="AN319" i="1"/>
  <c r="AG319" i="1"/>
  <c r="AJ319" i="1" s="1"/>
  <c r="G319" i="2" s="1"/>
  <c r="AF319" i="1"/>
  <c r="AI319" i="1" s="1"/>
  <c r="G320" i="2" s="1"/>
  <c r="AD319" i="1"/>
  <c r="AH319" i="1" s="1"/>
  <c r="AK319" i="1" s="1"/>
  <c r="Z319" i="1"/>
  <c r="S319" i="1"/>
  <c r="E318" i="2" s="1"/>
  <c r="E319" i="2" s="1"/>
  <c r="E320" i="2" s="1"/>
  <c r="E321" i="2" s="1"/>
  <c r="P319" i="1"/>
  <c r="B320" i="2" s="1"/>
  <c r="B321" i="2" s="1"/>
  <c r="K319" i="1"/>
  <c r="AU315" i="1"/>
  <c r="AP315" i="1"/>
  <c r="AO315" i="1"/>
  <c r="AN315" i="1"/>
  <c r="AG315" i="1"/>
  <c r="AJ315" i="1" s="1"/>
  <c r="G315" i="2" s="1"/>
  <c r="AF315" i="1"/>
  <c r="AI315" i="1" s="1"/>
  <c r="G316" i="2" s="1"/>
  <c r="AD315" i="1"/>
  <c r="AH315" i="1" s="1"/>
  <c r="AK315" i="1" s="1"/>
  <c r="Z315" i="1"/>
  <c r="S315" i="1"/>
  <c r="E314" i="2" s="1"/>
  <c r="E315" i="2" s="1"/>
  <c r="E316" i="2" s="1"/>
  <c r="E317" i="2" s="1"/>
  <c r="P315" i="1"/>
  <c r="B316" i="2" s="1"/>
  <c r="B317" i="2" s="1"/>
  <c r="K315" i="1"/>
  <c r="AU311" i="1"/>
  <c r="AP311" i="1"/>
  <c r="AO311" i="1"/>
  <c r="AN311" i="1"/>
  <c r="AG311" i="1"/>
  <c r="AJ311" i="1" s="1"/>
  <c r="G311" i="2" s="1"/>
  <c r="AF311" i="1"/>
  <c r="AI311" i="1" s="1"/>
  <c r="G312" i="2" s="1"/>
  <c r="AD311" i="1"/>
  <c r="AH311" i="1" s="1"/>
  <c r="AK311" i="1" s="1"/>
  <c r="Z311" i="1"/>
  <c r="S311" i="1"/>
  <c r="E310" i="2" s="1"/>
  <c r="E311" i="2" s="1"/>
  <c r="E312" i="2" s="1"/>
  <c r="E313" i="2" s="1"/>
  <c r="P311" i="1"/>
  <c r="B312" i="2" s="1"/>
  <c r="B313" i="2" s="1"/>
  <c r="K311" i="1"/>
  <c r="AU307" i="1"/>
  <c r="AP307" i="1"/>
  <c r="AO307" i="1"/>
  <c r="AN307" i="1"/>
  <c r="AG307" i="1"/>
  <c r="AJ307" i="1" s="1"/>
  <c r="AF307" i="1"/>
  <c r="AI307" i="1" s="1"/>
  <c r="G308" i="2" s="1"/>
  <c r="AD307" i="1"/>
  <c r="AH307" i="1" s="1"/>
  <c r="AK307" i="1" s="1"/>
  <c r="H307" i="1" s="1"/>
  <c r="Z307" i="1"/>
  <c r="S307" i="1"/>
  <c r="E306" i="2" s="1"/>
  <c r="E307" i="2" s="1"/>
  <c r="E308" i="2" s="1"/>
  <c r="E309" i="2" s="1"/>
  <c r="P307" i="1"/>
  <c r="B308" i="2" s="1"/>
  <c r="B309" i="2" s="1"/>
  <c r="K307" i="1"/>
  <c r="AP303" i="1"/>
  <c r="AO303" i="1"/>
  <c r="AN303" i="1"/>
  <c r="AG303" i="1"/>
  <c r="AJ303" i="1" s="1"/>
  <c r="G303" i="2" s="1"/>
  <c r="AF303" i="1"/>
  <c r="AI303" i="1" s="1"/>
  <c r="G304" i="2" s="1"/>
  <c r="AD303" i="1"/>
  <c r="AH303" i="1" s="1"/>
  <c r="AK303" i="1" s="1"/>
  <c r="Z303" i="1"/>
  <c r="S303" i="1"/>
  <c r="E302" i="2" s="1"/>
  <c r="E303" i="2" s="1"/>
  <c r="E304" i="2" s="1"/>
  <c r="E305" i="2" s="1"/>
  <c r="P303" i="1"/>
  <c r="B304" i="2" s="1"/>
  <c r="B305" i="2" s="1"/>
  <c r="K303" i="1"/>
  <c r="AP299" i="1"/>
  <c r="AO299" i="1"/>
  <c r="AN299" i="1"/>
  <c r="AG299" i="1"/>
  <c r="AJ299" i="1" s="1"/>
  <c r="G299" i="2" s="1"/>
  <c r="AF299" i="1"/>
  <c r="AI299" i="1" s="1"/>
  <c r="G300" i="2" s="1"/>
  <c r="AD299" i="1"/>
  <c r="AH299" i="1" s="1"/>
  <c r="AK299" i="1" s="1"/>
  <c r="Z299" i="1"/>
  <c r="S299" i="1"/>
  <c r="E298" i="2" s="1"/>
  <c r="E299" i="2" s="1"/>
  <c r="E300" i="2" s="1"/>
  <c r="E301" i="2" s="1"/>
  <c r="P299" i="1"/>
  <c r="B300" i="2" s="1"/>
  <c r="B301" i="2" s="1"/>
  <c r="K299" i="1"/>
  <c r="AU295" i="1"/>
  <c r="AP295" i="1"/>
  <c r="AO295" i="1"/>
  <c r="AN295" i="1"/>
  <c r="AG295" i="1"/>
  <c r="AJ295" i="1" s="1"/>
  <c r="G295" i="2" s="1"/>
  <c r="AF295" i="1"/>
  <c r="AI295" i="1" s="1"/>
  <c r="G296" i="2" s="1"/>
  <c r="AD295" i="1"/>
  <c r="AH295" i="1" s="1"/>
  <c r="AK295" i="1" s="1"/>
  <c r="Z295" i="1"/>
  <c r="S295" i="1"/>
  <c r="E294" i="2" s="1"/>
  <c r="E295" i="2" s="1"/>
  <c r="E296" i="2" s="1"/>
  <c r="E297" i="2" s="1"/>
  <c r="P295" i="1"/>
  <c r="B296" i="2" s="1"/>
  <c r="B297" i="2" s="1"/>
  <c r="K295" i="1"/>
  <c r="AU291" i="1"/>
  <c r="AP291" i="1"/>
  <c r="AO291" i="1"/>
  <c r="AN291" i="1"/>
  <c r="AG291" i="1"/>
  <c r="AJ291" i="1" s="1"/>
  <c r="G291" i="2" s="1"/>
  <c r="AF291" i="1"/>
  <c r="AI291" i="1" s="1"/>
  <c r="G292" i="2" s="1"/>
  <c r="AD291" i="1"/>
  <c r="AH291" i="1" s="1"/>
  <c r="AK291" i="1" s="1"/>
  <c r="H291" i="1" s="1"/>
  <c r="Z291" i="1"/>
  <c r="S291" i="1"/>
  <c r="E290" i="2" s="1"/>
  <c r="E291" i="2" s="1"/>
  <c r="E292" i="2" s="1"/>
  <c r="E293" i="2" s="1"/>
  <c r="P291" i="1"/>
  <c r="B292" i="2" s="1"/>
  <c r="B293" i="2" s="1"/>
  <c r="K291" i="1"/>
  <c r="AT287" i="1"/>
  <c r="AP287" i="1"/>
  <c r="AO287" i="1"/>
  <c r="AN287" i="1"/>
  <c r="AG287" i="1"/>
  <c r="AJ287" i="1" s="1"/>
  <c r="G287" i="2" s="1"/>
  <c r="AF287" i="1"/>
  <c r="AI287" i="1" s="1"/>
  <c r="G288" i="2" s="1"/>
  <c r="AD287" i="1"/>
  <c r="AH287" i="1" s="1"/>
  <c r="AK287" i="1" s="1"/>
  <c r="Z287" i="1"/>
  <c r="S287" i="1"/>
  <c r="E286" i="2" s="1"/>
  <c r="E287" i="2" s="1"/>
  <c r="E288" i="2" s="1"/>
  <c r="E289" i="2" s="1"/>
  <c r="P287" i="1"/>
  <c r="B288" i="2" s="1"/>
  <c r="B289" i="2" s="1"/>
  <c r="K287" i="1"/>
  <c r="AU283" i="1"/>
  <c r="AP283" i="1"/>
  <c r="AO283" i="1"/>
  <c r="AN283" i="1"/>
  <c r="AG283" i="1"/>
  <c r="AJ283" i="1" s="1"/>
  <c r="G283" i="2" s="1"/>
  <c r="AF283" i="1"/>
  <c r="AI283" i="1" s="1"/>
  <c r="G284" i="2" s="1"/>
  <c r="AD283" i="1"/>
  <c r="AH283" i="1" s="1"/>
  <c r="AK283" i="1" s="1"/>
  <c r="H283" i="1" s="1"/>
  <c r="Z283" i="1"/>
  <c r="S283" i="1"/>
  <c r="E282" i="2" s="1"/>
  <c r="E283" i="2" s="1"/>
  <c r="E284" i="2" s="1"/>
  <c r="E285" i="2" s="1"/>
  <c r="P283" i="1"/>
  <c r="B284" i="2" s="1"/>
  <c r="B285" i="2" s="1"/>
  <c r="K283" i="1"/>
  <c r="AU279" i="1"/>
  <c r="AP279" i="1"/>
  <c r="AO279" i="1"/>
  <c r="AN279" i="1"/>
  <c r="AG279" i="1"/>
  <c r="AJ279" i="1" s="1"/>
  <c r="G279" i="2" s="1"/>
  <c r="AF279" i="1"/>
  <c r="AI279" i="1" s="1"/>
  <c r="G280" i="2" s="1"/>
  <c r="AD279" i="1"/>
  <c r="AH279" i="1" s="1"/>
  <c r="AK279" i="1" s="1"/>
  <c r="Z279" i="1"/>
  <c r="S279" i="1"/>
  <c r="E278" i="2" s="1"/>
  <c r="E279" i="2" s="1"/>
  <c r="E280" i="2" s="1"/>
  <c r="E281" i="2" s="1"/>
  <c r="P279" i="1"/>
  <c r="B280" i="2" s="1"/>
  <c r="B281" i="2" s="1"/>
  <c r="K279" i="1"/>
  <c r="AU275" i="1"/>
  <c r="AP275" i="1"/>
  <c r="AO275" i="1"/>
  <c r="AN275" i="1"/>
  <c r="AG275" i="1"/>
  <c r="AJ275" i="1" s="1"/>
  <c r="AF275" i="1"/>
  <c r="AI275" i="1" s="1"/>
  <c r="G276" i="2" s="1"/>
  <c r="AD275" i="1"/>
  <c r="AH275" i="1" s="1"/>
  <c r="AK275" i="1" s="1"/>
  <c r="Z275" i="1"/>
  <c r="S275" i="1"/>
  <c r="E274" i="2" s="1"/>
  <c r="E275" i="2" s="1"/>
  <c r="E276" i="2" s="1"/>
  <c r="E277" i="2" s="1"/>
  <c r="P275" i="1"/>
  <c r="B276" i="2" s="1"/>
  <c r="B277" i="2" s="1"/>
  <c r="K275" i="1"/>
  <c r="AP271" i="1"/>
  <c r="AO271" i="1"/>
  <c r="AN271" i="1"/>
  <c r="AG271" i="1"/>
  <c r="AJ271" i="1" s="1"/>
  <c r="G271" i="2" s="1"/>
  <c r="AF271" i="1"/>
  <c r="AI271" i="1" s="1"/>
  <c r="G272" i="2" s="1"/>
  <c r="AD271" i="1"/>
  <c r="AH271" i="1" s="1"/>
  <c r="AK271" i="1" s="1"/>
  <c r="Z271" i="1"/>
  <c r="S271" i="1"/>
  <c r="E270" i="2" s="1"/>
  <c r="E271" i="2" s="1"/>
  <c r="E272" i="2" s="1"/>
  <c r="E273" i="2" s="1"/>
  <c r="P271" i="1"/>
  <c r="B272" i="2" s="1"/>
  <c r="B273" i="2" s="1"/>
  <c r="K271" i="1"/>
  <c r="AP267" i="1"/>
  <c r="AO267" i="1"/>
  <c r="AN267" i="1"/>
  <c r="AG267" i="1"/>
  <c r="AJ267" i="1" s="1"/>
  <c r="G267" i="2" s="1"/>
  <c r="AF267" i="1"/>
  <c r="AI267" i="1" s="1"/>
  <c r="G268" i="2" s="1"/>
  <c r="AD267" i="1"/>
  <c r="AH267" i="1" s="1"/>
  <c r="AK267" i="1" s="1"/>
  <c r="Z267" i="1"/>
  <c r="S267" i="1"/>
  <c r="E266" i="2" s="1"/>
  <c r="E267" i="2" s="1"/>
  <c r="E268" i="2" s="1"/>
  <c r="E269" i="2" s="1"/>
  <c r="P267" i="1"/>
  <c r="B268" i="2" s="1"/>
  <c r="B269" i="2" s="1"/>
  <c r="K267" i="1"/>
  <c r="AU263" i="1"/>
  <c r="AP263" i="1"/>
  <c r="AO263" i="1"/>
  <c r="AN263" i="1"/>
  <c r="AG263" i="1"/>
  <c r="AJ263" i="1" s="1"/>
  <c r="G263" i="2" s="1"/>
  <c r="AF263" i="1"/>
  <c r="AI263" i="1" s="1"/>
  <c r="G264" i="2" s="1"/>
  <c r="AD263" i="1"/>
  <c r="AH263" i="1" s="1"/>
  <c r="AK263" i="1" s="1"/>
  <c r="Z263" i="1"/>
  <c r="S263" i="1"/>
  <c r="E262" i="2" s="1"/>
  <c r="E263" i="2" s="1"/>
  <c r="E264" i="2" s="1"/>
  <c r="E265" i="2" s="1"/>
  <c r="P263" i="1"/>
  <c r="B264" i="2" s="1"/>
  <c r="B265" i="2" s="1"/>
  <c r="K263" i="1"/>
  <c r="AT259" i="1"/>
  <c r="AP259" i="1"/>
  <c r="AO259" i="1"/>
  <c r="AN259" i="1"/>
  <c r="AG259" i="1"/>
  <c r="AJ259" i="1" s="1"/>
  <c r="G259" i="2" s="1"/>
  <c r="AF259" i="1"/>
  <c r="AI259" i="1" s="1"/>
  <c r="G260" i="2" s="1"/>
  <c r="AD259" i="1"/>
  <c r="AH259" i="1" s="1"/>
  <c r="AK259" i="1" s="1"/>
  <c r="Z259" i="1"/>
  <c r="S259" i="1"/>
  <c r="E258" i="2" s="1"/>
  <c r="E259" i="2" s="1"/>
  <c r="E260" i="2" s="1"/>
  <c r="E261" i="2" s="1"/>
  <c r="P259" i="1"/>
  <c r="B260" i="2" s="1"/>
  <c r="B261" i="2" s="1"/>
  <c r="K259" i="1"/>
  <c r="AT255" i="1"/>
  <c r="AP255" i="1"/>
  <c r="AO255" i="1"/>
  <c r="AN255" i="1"/>
  <c r="AG255" i="1"/>
  <c r="AJ255" i="1" s="1"/>
  <c r="G255" i="2" s="1"/>
  <c r="AF255" i="1"/>
  <c r="AI255" i="1" s="1"/>
  <c r="AD255" i="1"/>
  <c r="AH255" i="1" s="1"/>
  <c r="AK255" i="1" s="1"/>
  <c r="G254" i="2" s="1"/>
  <c r="Z255" i="1"/>
  <c r="S255" i="1"/>
  <c r="E254" i="2" s="1"/>
  <c r="E255" i="2" s="1"/>
  <c r="E256" i="2" s="1"/>
  <c r="E257" i="2" s="1"/>
  <c r="P255" i="1"/>
  <c r="B256" i="2" s="1"/>
  <c r="B257" i="2" s="1"/>
  <c r="K255" i="1"/>
  <c r="AU251" i="1"/>
  <c r="AP251" i="1"/>
  <c r="AO251" i="1"/>
  <c r="AN251" i="1"/>
  <c r="AG251" i="1"/>
  <c r="AJ251" i="1" s="1"/>
  <c r="G251" i="2" s="1"/>
  <c r="AF251" i="1"/>
  <c r="AI251" i="1" s="1"/>
  <c r="G252" i="2" s="1"/>
  <c r="AD251" i="1"/>
  <c r="AH251" i="1" s="1"/>
  <c r="AK251" i="1" s="1"/>
  <c r="H251" i="1" s="1"/>
  <c r="Z251" i="1"/>
  <c r="S251" i="1"/>
  <c r="E250" i="2" s="1"/>
  <c r="E251" i="2" s="1"/>
  <c r="E252" i="2" s="1"/>
  <c r="E253" i="2" s="1"/>
  <c r="P251" i="1"/>
  <c r="B252" i="2" s="1"/>
  <c r="B253" i="2" s="1"/>
  <c r="K251" i="1"/>
  <c r="AS247" i="1"/>
  <c r="AP247" i="1"/>
  <c r="AO247" i="1"/>
  <c r="AN247" i="1"/>
  <c r="AG247" i="1"/>
  <c r="AJ247" i="1" s="1"/>
  <c r="G247" i="2" s="1"/>
  <c r="AF247" i="1"/>
  <c r="AI247" i="1" s="1"/>
  <c r="G248" i="2" s="1"/>
  <c r="AD247" i="1"/>
  <c r="AH247" i="1" s="1"/>
  <c r="AK247" i="1" s="1"/>
  <c r="Z247" i="1"/>
  <c r="S247" i="1"/>
  <c r="E246" i="2" s="1"/>
  <c r="E247" i="2" s="1"/>
  <c r="E248" i="2" s="1"/>
  <c r="E249" i="2" s="1"/>
  <c r="P247" i="1"/>
  <c r="B248" i="2" s="1"/>
  <c r="B249" i="2" s="1"/>
  <c r="K247" i="1"/>
  <c r="AU243" i="1"/>
  <c r="AP243" i="1"/>
  <c r="AO243" i="1"/>
  <c r="AN243" i="1"/>
  <c r="AG243" i="1"/>
  <c r="AJ243" i="1" s="1"/>
  <c r="AF243" i="1"/>
  <c r="AI243" i="1" s="1"/>
  <c r="G244" i="2" s="1"/>
  <c r="AD243" i="1"/>
  <c r="AH243" i="1" s="1"/>
  <c r="AK243" i="1" s="1"/>
  <c r="Z243" i="1"/>
  <c r="S243" i="1"/>
  <c r="E242" i="2" s="1"/>
  <c r="E243" i="2" s="1"/>
  <c r="E244" i="2" s="1"/>
  <c r="E245" i="2" s="1"/>
  <c r="P243" i="1"/>
  <c r="B244" i="2" s="1"/>
  <c r="B245" i="2" s="1"/>
  <c r="K243" i="1"/>
  <c r="AP239" i="1"/>
  <c r="AO239" i="1"/>
  <c r="AN239" i="1"/>
  <c r="AG239" i="1"/>
  <c r="AJ239" i="1" s="1"/>
  <c r="G239" i="2" s="1"/>
  <c r="AF239" i="1"/>
  <c r="AI239" i="1" s="1"/>
  <c r="G240" i="2" s="1"/>
  <c r="AD239" i="1"/>
  <c r="AH239" i="1" s="1"/>
  <c r="AK239" i="1" s="1"/>
  <c r="Z239" i="1"/>
  <c r="S239" i="1"/>
  <c r="E238" i="2" s="1"/>
  <c r="E239" i="2" s="1"/>
  <c r="E240" i="2" s="1"/>
  <c r="E241" i="2" s="1"/>
  <c r="P239" i="1"/>
  <c r="B240" i="2" s="1"/>
  <c r="B241" i="2" s="1"/>
  <c r="K239" i="1"/>
  <c r="AP235" i="1"/>
  <c r="AO235" i="1"/>
  <c r="AN235" i="1"/>
  <c r="AG235" i="1"/>
  <c r="AJ235" i="1" s="1"/>
  <c r="X235" i="1" s="1"/>
  <c r="AF235" i="1"/>
  <c r="AI235" i="1" s="1"/>
  <c r="AD235" i="1"/>
  <c r="AH235" i="1" s="1"/>
  <c r="AK235" i="1" s="1"/>
  <c r="G234" i="2" s="1"/>
  <c r="Z235" i="1"/>
  <c r="S235" i="1"/>
  <c r="E234" i="2" s="1"/>
  <c r="E235" i="2" s="1"/>
  <c r="E236" i="2" s="1"/>
  <c r="E237" i="2" s="1"/>
  <c r="P235" i="1"/>
  <c r="B236" i="2" s="1"/>
  <c r="B237" i="2" s="1"/>
  <c r="K235" i="1"/>
  <c r="AU231" i="1"/>
  <c r="AP231" i="1"/>
  <c r="AO231" i="1"/>
  <c r="AN231" i="1"/>
  <c r="AG231" i="1"/>
  <c r="AJ231" i="1" s="1"/>
  <c r="AF231" i="1"/>
  <c r="AI231" i="1" s="1"/>
  <c r="G232" i="2" s="1"/>
  <c r="AD231" i="1"/>
  <c r="AH231" i="1" s="1"/>
  <c r="AK231" i="1" s="1"/>
  <c r="Z231" i="1"/>
  <c r="S231" i="1"/>
  <c r="E230" i="2" s="1"/>
  <c r="E231" i="2" s="1"/>
  <c r="E232" i="2" s="1"/>
  <c r="E233" i="2" s="1"/>
  <c r="P231" i="1"/>
  <c r="B232" i="2" s="1"/>
  <c r="B233" i="2" s="1"/>
  <c r="K231" i="1"/>
  <c r="AS227" i="1"/>
  <c r="AP227" i="1"/>
  <c r="AO227" i="1"/>
  <c r="AN227" i="1"/>
  <c r="AG227" i="1"/>
  <c r="AJ227" i="1" s="1"/>
  <c r="G227" i="2" s="1"/>
  <c r="AF227" i="1"/>
  <c r="AI227" i="1" s="1"/>
  <c r="G228" i="2" s="1"/>
  <c r="AD227" i="1"/>
  <c r="AH227" i="1" s="1"/>
  <c r="AK227" i="1" s="1"/>
  <c r="H227" i="1" s="1"/>
  <c r="Z227" i="1"/>
  <c r="S227" i="1"/>
  <c r="E226" i="2" s="1"/>
  <c r="E227" i="2" s="1"/>
  <c r="E228" i="2" s="1"/>
  <c r="E229" i="2" s="1"/>
  <c r="P227" i="1"/>
  <c r="B228" i="2" s="1"/>
  <c r="B229" i="2" s="1"/>
  <c r="K227" i="1"/>
  <c r="AS223" i="1"/>
  <c r="AP223" i="1"/>
  <c r="AO223" i="1"/>
  <c r="AN223" i="1"/>
  <c r="AG223" i="1"/>
  <c r="AJ223" i="1" s="1"/>
  <c r="G223" i="2" s="1"/>
  <c r="AF223" i="1"/>
  <c r="AI223" i="1" s="1"/>
  <c r="AD223" i="1"/>
  <c r="AH223" i="1" s="1"/>
  <c r="AK223" i="1" s="1"/>
  <c r="G222" i="2" s="1"/>
  <c r="Z223" i="1"/>
  <c r="S223" i="1"/>
  <c r="E222" i="2" s="1"/>
  <c r="E223" i="2" s="1"/>
  <c r="E224" i="2" s="1"/>
  <c r="E225" i="2" s="1"/>
  <c r="P223" i="1"/>
  <c r="B224" i="2" s="1"/>
  <c r="B225" i="2" s="1"/>
  <c r="K223" i="1"/>
  <c r="AU219" i="1"/>
  <c r="AP219" i="1"/>
  <c r="AO219" i="1"/>
  <c r="AN219" i="1"/>
  <c r="AG219" i="1"/>
  <c r="AJ219" i="1" s="1"/>
  <c r="G219" i="2" s="1"/>
  <c r="AF219" i="1"/>
  <c r="AI219" i="1" s="1"/>
  <c r="G220" i="2" s="1"/>
  <c r="AD219" i="1"/>
  <c r="AH219" i="1" s="1"/>
  <c r="AK219" i="1" s="1"/>
  <c r="Z219" i="1"/>
  <c r="S219" i="1"/>
  <c r="E218" i="2" s="1"/>
  <c r="E219" i="2" s="1"/>
  <c r="E220" i="2" s="1"/>
  <c r="E221" i="2" s="1"/>
  <c r="P219" i="1"/>
  <c r="B220" i="2" s="1"/>
  <c r="B221" i="2" s="1"/>
  <c r="K219" i="1"/>
  <c r="AS215" i="1"/>
  <c r="AP215" i="1"/>
  <c r="AO215" i="1"/>
  <c r="AN215" i="1"/>
  <c r="AG215" i="1"/>
  <c r="AJ215" i="1" s="1"/>
  <c r="G215" i="2" s="1"/>
  <c r="AF215" i="1"/>
  <c r="AI215" i="1" s="1"/>
  <c r="G216" i="2" s="1"/>
  <c r="AD215" i="1"/>
  <c r="AH215" i="1" s="1"/>
  <c r="AK215" i="1" s="1"/>
  <c r="H215" i="1" s="1"/>
  <c r="Z215" i="1"/>
  <c r="S215" i="1"/>
  <c r="E214" i="2" s="1"/>
  <c r="E215" i="2" s="1"/>
  <c r="E216" i="2" s="1"/>
  <c r="E217" i="2" s="1"/>
  <c r="P215" i="1"/>
  <c r="B216" i="2" s="1"/>
  <c r="B217" i="2" s="1"/>
  <c r="K215" i="1"/>
  <c r="AU211" i="1"/>
  <c r="AP211" i="1"/>
  <c r="AO211" i="1"/>
  <c r="AN211" i="1"/>
  <c r="AG211" i="1"/>
  <c r="AJ211" i="1" s="1"/>
  <c r="AF211" i="1"/>
  <c r="AI211" i="1" s="1"/>
  <c r="G212" i="2" s="1"/>
  <c r="AD211" i="1"/>
  <c r="AH211" i="1" s="1"/>
  <c r="AK211" i="1" s="1"/>
  <c r="Z211" i="1"/>
  <c r="S211" i="1"/>
  <c r="E210" i="2" s="1"/>
  <c r="E211" i="2" s="1"/>
  <c r="E212" i="2" s="1"/>
  <c r="E213" i="2" s="1"/>
  <c r="P211" i="1"/>
  <c r="B212" i="2" s="1"/>
  <c r="B213" i="2" s="1"/>
  <c r="K211" i="1"/>
  <c r="AP207" i="1"/>
  <c r="AO207" i="1"/>
  <c r="AN207" i="1"/>
  <c r="AG207" i="1"/>
  <c r="AJ207" i="1" s="1"/>
  <c r="G207" i="2" s="1"/>
  <c r="AF207" i="1"/>
  <c r="AI207" i="1" s="1"/>
  <c r="G208" i="2" s="1"/>
  <c r="AD207" i="1"/>
  <c r="AH207" i="1" s="1"/>
  <c r="AK207" i="1" s="1"/>
  <c r="Z207" i="1"/>
  <c r="S207" i="1"/>
  <c r="E206" i="2" s="1"/>
  <c r="E207" i="2" s="1"/>
  <c r="E208" i="2" s="1"/>
  <c r="E209" i="2" s="1"/>
  <c r="P207" i="1"/>
  <c r="B208" i="2" s="1"/>
  <c r="B209" i="2" s="1"/>
  <c r="K207" i="1"/>
  <c r="AP203" i="1"/>
  <c r="AO203" i="1"/>
  <c r="AN203" i="1"/>
  <c r="AG203" i="1"/>
  <c r="AJ203" i="1" s="1"/>
  <c r="AF203" i="1"/>
  <c r="AI203" i="1" s="1"/>
  <c r="AD203" i="1"/>
  <c r="AH203" i="1" s="1"/>
  <c r="AK203" i="1" s="1"/>
  <c r="G202" i="2" s="1"/>
  <c r="Z203" i="1"/>
  <c r="S203" i="1"/>
  <c r="E202" i="2" s="1"/>
  <c r="E203" i="2" s="1"/>
  <c r="E204" i="2" s="1"/>
  <c r="E205" i="2" s="1"/>
  <c r="P203" i="1"/>
  <c r="B204" i="2" s="1"/>
  <c r="B205" i="2" s="1"/>
  <c r="K203" i="1"/>
  <c r="AU199" i="1"/>
  <c r="AP199" i="1"/>
  <c r="AO199" i="1"/>
  <c r="AN199" i="1"/>
  <c r="AG199" i="1"/>
  <c r="AJ199" i="1" s="1"/>
  <c r="G199" i="2" s="1"/>
  <c r="AF199" i="1"/>
  <c r="AI199" i="1" s="1"/>
  <c r="G200" i="2" s="1"/>
  <c r="AD199" i="1"/>
  <c r="AH199" i="1" s="1"/>
  <c r="AK199" i="1" s="1"/>
  <c r="H199" i="1" s="1"/>
  <c r="Z199" i="1"/>
  <c r="S199" i="1"/>
  <c r="E198" i="2" s="1"/>
  <c r="E199" i="2" s="1"/>
  <c r="E200" i="2" s="1"/>
  <c r="E201" i="2" s="1"/>
  <c r="P199" i="1"/>
  <c r="B200" i="2" s="1"/>
  <c r="B201" i="2" s="1"/>
  <c r="K199" i="1"/>
  <c r="AT195" i="1"/>
  <c r="AP195" i="1"/>
  <c r="AO195" i="1"/>
  <c r="AN195" i="1"/>
  <c r="AG195" i="1"/>
  <c r="AJ195" i="1" s="1"/>
  <c r="G195" i="2" s="1"/>
  <c r="AF195" i="1"/>
  <c r="AI195" i="1" s="1"/>
  <c r="G196" i="2" s="1"/>
  <c r="AD195" i="1"/>
  <c r="AH195" i="1" s="1"/>
  <c r="AK195" i="1" s="1"/>
  <c r="H195" i="1" s="1"/>
  <c r="Z195" i="1"/>
  <c r="S195" i="1"/>
  <c r="E194" i="2" s="1"/>
  <c r="E195" i="2" s="1"/>
  <c r="E196" i="2" s="1"/>
  <c r="E197" i="2" s="1"/>
  <c r="P195" i="1"/>
  <c r="B196" i="2" s="1"/>
  <c r="B197" i="2" s="1"/>
  <c r="K195" i="1"/>
  <c r="AU191" i="1"/>
  <c r="AP191" i="1"/>
  <c r="AO191" i="1"/>
  <c r="AN191" i="1"/>
  <c r="AG191" i="1"/>
  <c r="AJ191" i="1" s="1"/>
  <c r="L191" i="1" s="1"/>
  <c r="AF191" i="1"/>
  <c r="AI191" i="1" s="1"/>
  <c r="G192" i="2" s="1"/>
  <c r="AD191" i="1"/>
  <c r="AH191" i="1" s="1"/>
  <c r="AK191" i="1" s="1"/>
  <c r="Z191" i="1"/>
  <c r="S191" i="1"/>
  <c r="E190" i="2" s="1"/>
  <c r="E191" i="2" s="1"/>
  <c r="E192" i="2" s="1"/>
  <c r="E193" i="2" s="1"/>
  <c r="P191" i="1"/>
  <c r="B192" i="2" s="1"/>
  <c r="B193" i="2" s="1"/>
  <c r="K191" i="1"/>
  <c r="AU187" i="1"/>
  <c r="AP187" i="1"/>
  <c r="AO187" i="1"/>
  <c r="AN187" i="1"/>
  <c r="AG187" i="1"/>
  <c r="AJ187" i="1" s="1"/>
  <c r="L187" i="1" s="1"/>
  <c r="AF187" i="1"/>
  <c r="AI187" i="1" s="1"/>
  <c r="G188" i="2" s="1"/>
  <c r="AD187" i="1"/>
  <c r="AH187" i="1" s="1"/>
  <c r="AK187" i="1" s="1"/>
  <c r="H187" i="1" s="1"/>
  <c r="Z187" i="1"/>
  <c r="S187" i="1"/>
  <c r="E186" i="2" s="1"/>
  <c r="E187" i="2" s="1"/>
  <c r="E188" i="2" s="1"/>
  <c r="E189" i="2" s="1"/>
  <c r="P187" i="1"/>
  <c r="B188" i="2" s="1"/>
  <c r="B189" i="2" s="1"/>
  <c r="K187" i="1"/>
  <c r="AU183" i="1"/>
  <c r="AP183" i="1"/>
  <c r="AO183" i="1"/>
  <c r="AN183" i="1"/>
  <c r="AG183" i="1"/>
  <c r="AJ183" i="1" s="1"/>
  <c r="AF183" i="1"/>
  <c r="AI183" i="1" s="1"/>
  <c r="G184" i="2" s="1"/>
  <c r="AD183" i="1"/>
  <c r="I183" i="1" s="1"/>
  <c r="Z183" i="1"/>
  <c r="S183" i="1"/>
  <c r="E182" i="2" s="1"/>
  <c r="E183" i="2" s="1"/>
  <c r="E184" i="2" s="1"/>
  <c r="E185" i="2" s="1"/>
  <c r="P183" i="1"/>
  <c r="B184" i="2" s="1"/>
  <c r="B185" i="2" s="1"/>
  <c r="K183" i="1"/>
  <c r="AS179" i="1"/>
  <c r="AP179" i="1"/>
  <c r="AO179" i="1"/>
  <c r="AN179" i="1"/>
  <c r="AG179" i="1"/>
  <c r="AJ179" i="1" s="1"/>
  <c r="AF179" i="1"/>
  <c r="AI179" i="1" s="1"/>
  <c r="AD179" i="1"/>
  <c r="AH179" i="1" s="1"/>
  <c r="AK179" i="1" s="1"/>
  <c r="Z179" i="1"/>
  <c r="S179" i="1"/>
  <c r="E178" i="2" s="1"/>
  <c r="E179" i="2" s="1"/>
  <c r="E180" i="2" s="1"/>
  <c r="E181" i="2" s="1"/>
  <c r="P179" i="1"/>
  <c r="B180" i="2" s="1"/>
  <c r="B181" i="2" s="1"/>
  <c r="K179" i="1"/>
  <c r="AP175" i="1"/>
  <c r="AO175" i="1"/>
  <c r="AN175" i="1"/>
  <c r="AG175" i="1"/>
  <c r="AJ175" i="1" s="1"/>
  <c r="G175" i="2" s="1"/>
  <c r="AF175" i="1"/>
  <c r="AI175" i="1" s="1"/>
  <c r="AD175" i="1"/>
  <c r="AH175" i="1" s="1"/>
  <c r="AK175" i="1" s="1"/>
  <c r="Z175" i="1"/>
  <c r="S175" i="1"/>
  <c r="E174" i="2" s="1"/>
  <c r="E175" i="2" s="1"/>
  <c r="E176" i="2" s="1"/>
  <c r="E177" i="2" s="1"/>
  <c r="P175" i="1"/>
  <c r="B176" i="2" s="1"/>
  <c r="B177" i="2" s="1"/>
  <c r="K175" i="1"/>
  <c r="AP171" i="1"/>
  <c r="AO171" i="1"/>
  <c r="AN171" i="1"/>
  <c r="AG171" i="1"/>
  <c r="AJ171" i="1" s="1"/>
  <c r="X171" i="1" s="1"/>
  <c r="AF171" i="1"/>
  <c r="AI171" i="1" s="1"/>
  <c r="G172" i="2" s="1"/>
  <c r="AD171" i="1"/>
  <c r="AH171" i="1" s="1"/>
  <c r="AK171" i="1" s="1"/>
  <c r="Z171" i="1"/>
  <c r="S171" i="1"/>
  <c r="E170" i="2" s="1"/>
  <c r="E171" i="2" s="1"/>
  <c r="E172" i="2" s="1"/>
  <c r="E173" i="2" s="1"/>
  <c r="P171" i="1"/>
  <c r="B172" i="2" s="1"/>
  <c r="B173" i="2" s="1"/>
  <c r="K171" i="1"/>
  <c r="AU167" i="1"/>
  <c r="AP167" i="1"/>
  <c r="AO167" i="1"/>
  <c r="AN167" i="1"/>
  <c r="AG167" i="1"/>
  <c r="AJ167" i="1" s="1"/>
  <c r="G167" i="2" s="1"/>
  <c r="AF167" i="1"/>
  <c r="AI167" i="1" s="1"/>
  <c r="G168" i="2" s="1"/>
  <c r="AD167" i="1"/>
  <c r="AH167" i="1" s="1"/>
  <c r="AK167" i="1" s="1"/>
  <c r="Z167" i="1"/>
  <c r="S167" i="1"/>
  <c r="E166" i="2" s="1"/>
  <c r="E167" i="2" s="1"/>
  <c r="E168" i="2" s="1"/>
  <c r="E169" i="2" s="1"/>
  <c r="P167" i="1"/>
  <c r="B168" i="2" s="1"/>
  <c r="B169" i="2" s="1"/>
  <c r="K167" i="1"/>
  <c r="AU163" i="1"/>
  <c r="AP163" i="1"/>
  <c r="AO163" i="1"/>
  <c r="AN163" i="1"/>
  <c r="AG163" i="1"/>
  <c r="AJ163" i="1" s="1"/>
  <c r="G163" i="2" s="1"/>
  <c r="AF163" i="1"/>
  <c r="AI163" i="1" s="1"/>
  <c r="G164" i="2" s="1"/>
  <c r="AD163" i="1"/>
  <c r="I163" i="1" s="1"/>
  <c r="Z163" i="1"/>
  <c r="S163" i="1"/>
  <c r="E162" i="2" s="1"/>
  <c r="E163" i="2" s="1"/>
  <c r="E164" i="2" s="1"/>
  <c r="E165" i="2" s="1"/>
  <c r="P163" i="1"/>
  <c r="B164" i="2" s="1"/>
  <c r="B165" i="2" s="1"/>
  <c r="K163" i="1"/>
  <c r="AS159" i="1"/>
  <c r="AP159" i="1"/>
  <c r="AO159" i="1"/>
  <c r="AN159" i="1"/>
  <c r="AG159" i="1"/>
  <c r="AJ159" i="1" s="1"/>
  <c r="G159" i="2" s="1"/>
  <c r="AF159" i="1"/>
  <c r="AI159" i="1" s="1"/>
  <c r="G160" i="2" s="1"/>
  <c r="AD159" i="1"/>
  <c r="AH159" i="1" s="1"/>
  <c r="AK159" i="1" s="1"/>
  <c r="Z159" i="1"/>
  <c r="S159" i="1"/>
  <c r="E158" i="2" s="1"/>
  <c r="E159" i="2" s="1"/>
  <c r="E160" i="2" s="1"/>
  <c r="E161" i="2" s="1"/>
  <c r="P159" i="1"/>
  <c r="B160" i="2" s="1"/>
  <c r="B161" i="2" s="1"/>
  <c r="K159" i="1"/>
  <c r="AT155" i="1"/>
  <c r="AP155" i="1"/>
  <c r="AO155" i="1"/>
  <c r="AN155" i="1"/>
  <c r="AG155" i="1"/>
  <c r="AJ155" i="1" s="1"/>
  <c r="L155" i="1" s="1"/>
  <c r="AF155" i="1"/>
  <c r="AI155" i="1" s="1"/>
  <c r="G156" i="2" s="1"/>
  <c r="AD155" i="1"/>
  <c r="AH155" i="1" s="1"/>
  <c r="AK155" i="1" s="1"/>
  <c r="H155" i="1" s="1"/>
  <c r="Z155" i="1"/>
  <c r="S155" i="1"/>
  <c r="E154" i="2" s="1"/>
  <c r="E155" i="2" s="1"/>
  <c r="E156" i="2" s="1"/>
  <c r="E157" i="2" s="1"/>
  <c r="P155" i="1"/>
  <c r="B156" i="2" s="1"/>
  <c r="B157" i="2" s="1"/>
  <c r="K155" i="1"/>
  <c r="AU151" i="1"/>
  <c r="AP151" i="1"/>
  <c r="AO151" i="1"/>
  <c r="AN151" i="1"/>
  <c r="AG151" i="1"/>
  <c r="AJ151" i="1" s="1"/>
  <c r="AF151" i="1"/>
  <c r="AI151" i="1" s="1"/>
  <c r="G152" i="2" s="1"/>
  <c r="AD151" i="1"/>
  <c r="AH151" i="1" s="1"/>
  <c r="AK151" i="1" s="1"/>
  <c r="Z151" i="1"/>
  <c r="S151" i="1"/>
  <c r="E150" i="2" s="1"/>
  <c r="E151" i="2" s="1"/>
  <c r="E152" i="2" s="1"/>
  <c r="E153" i="2" s="1"/>
  <c r="P151" i="1"/>
  <c r="B152" i="2" s="1"/>
  <c r="B153" i="2" s="1"/>
  <c r="K151" i="1"/>
  <c r="AU147" i="1"/>
  <c r="AP147" i="1"/>
  <c r="AO147" i="1"/>
  <c r="AN147" i="1"/>
  <c r="AG147" i="1"/>
  <c r="AJ147" i="1" s="1"/>
  <c r="L147" i="1" s="1"/>
  <c r="AF147" i="1"/>
  <c r="AI147" i="1" s="1"/>
  <c r="G148" i="2" s="1"/>
  <c r="AD147" i="1"/>
  <c r="AH147" i="1" s="1"/>
  <c r="AK147" i="1" s="1"/>
  <c r="H147" i="1" s="1"/>
  <c r="Z147" i="1"/>
  <c r="S147" i="1"/>
  <c r="E146" i="2" s="1"/>
  <c r="E147" i="2" s="1"/>
  <c r="E148" i="2" s="1"/>
  <c r="E149" i="2" s="1"/>
  <c r="P147" i="1"/>
  <c r="B148" i="2" s="1"/>
  <c r="B149" i="2" s="1"/>
  <c r="K147" i="1"/>
  <c r="AP143" i="1"/>
  <c r="AO143" i="1"/>
  <c r="AN143" i="1"/>
  <c r="AG143" i="1"/>
  <c r="AJ143" i="1" s="1"/>
  <c r="G143" i="2" s="1"/>
  <c r="AF143" i="1"/>
  <c r="AI143" i="1" s="1"/>
  <c r="W143" i="1" s="1"/>
  <c r="AD143" i="1"/>
  <c r="AH143" i="1" s="1"/>
  <c r="AK143" i="1" s="1"/>
  <c r="Z143" i="1"/>
  <c r="S143" i="1"/>
  <c r="E142" i="2" s="1"/>
  <c r="E143" i="2" s="1"/>
  <c r="E144" i="2" s="1"/>
  <c r="E145" i="2" s="1"/>
  <c r="P143" i="1"/>
  <c r="B144" i="2" s="1"/>
  <c r="B145" i="2" s="1"/>
  <c r="K143" i="1"/>
  <c r="AP139" i="1"/>
  <c r="AO139" i="1"/>
  <c r="AN139" i="1"/>
  <c r="AG139" i="1"/>
  <c r="AJ139" i="1" s="1"/>
  <c r="G139" i="2" s="1"/>
  <c r="AF139" i="1"/>
  <c r="AI139" i="1" s="1"/>
  <c r="AD139" i="1"/>
  <c r="AH139" i="1" s="1"/>
  <c r="AK139" i="1" s="1"/>
  <c r="Z139" i="1"/>
  <c r="S139" i="1"/>
  <c r="E138" i="2" s="1"/>
  <c r="E139" i="2" s="1"/>
  <c r="E140" i="2" s="1"/>
  <c r="E141" i="2" s="1"/>
  <c r="P139" i="1"/>
  <c r="B140" i="2" s="1"/>
  <c r="B141" i="2" s="1"/>
  <c r="K139" i="1"/>
  <c r="AU135" i="1"/>
  <c r="AP135" i="1"/>
  <c r="AO135" i="1"/>
  <c r="AN135" i="1"/>
  <c r="AG135" i="1"/>
  <c r="AJ135" i="1" s="1"/>
  <c r="AF135" i="1"/>
  <c r="AI135" i="1" s="1"/>
  <c r="G136" i="2" s="1"/>
  <c r="AD135" i="1"/>
  <c r="AH135" i="1" s="1"/>
  <c r="AK135" i="1" s="1"/>
  <c r="H135" i="1" s="1"/>
  <c r="Z135" i="1"/>
  <c r="S135" i="1"/>
  <c r="E134" i="2" s="1"/>
  <c r="E135" i="2" s="1"/>
  <c r="E136" i="2" s="1"/>
  <c r="E137" i="2" s="1"/>
  <c r="P135" i="1"/>
  <c r="B136" i="2" s="1"/>
  <c r="B137" i="2" s="1"/>
  <c r="K135" i="1"/>
  <c r="AU131" i="1"/>
  <c r="AP131" i="1"/>
  <c r="AO131" i="1"/>
  <c r="AN131" i="1"/>
  <c r="AG131" i="1"/>
  <c r="AJ131" i="1" s="1"/>
  <c r="G131" i="2" s="1"/>
  <c r="AF131" i="1"/>
  <c r="AI131" i="1" s="1"/>
  <c r="G132" i="2" s="1"/>
  <c r="AD131" i="1"/>
  <c r="AH131" i="1" s="1"/>
  <c r="AK131" i="1" s="1"/>
  <c r="Z131" i="1"/>
  <c r="S131" i="1"/>
  <c r="E130" i="2" s="1"/>
  <c r="E131" i="2" s="1"/>
  <c r="E132" i="2" s="1"/>
  <c r="E133" i="2" s="1"/>
  <c r="P131" i="1"/>
  <c r="B132" i="2" s="1"/>
  <c r="B133" i="2" s="1"/>
  <c r="K131" i="1"/>
  <c r="AU127" i="1"/>
  <c r="AP127" i="1"/>
  <c r="AO127" i="1"/>
  <c r="AN127" i="1"/>
  <c r="AG127" i="1"/>
  <c r="AJ127" i="1" s="1"/>
  <c r="AF127" i="1"/>
  <c r="AI127" i="1" s="1"/>
  <c r="G128" i="2" s="1"/>
  <c r="AD127" i="1"/>
  <c r="AH127" i="1" s="1"/>
  <c r="AK127" i="1" s="1"/>
  <c r="Z127" i="1"/>
  <c r="S127" i="1"/>
  <c r="E126" i="2" s="1"/>
  <c r="E127" i="2" s="1"/>
  <c r="E128" i="2" s="1"/>
  <c r="E129" i="2" s="1"/>
  <c r="P127" i="1"/>
  <c r="B128" i="2" s="1"/>
  <c r="B129" i="2" s="1"/>
  <c r="K127" i="1"/>
  <c r="AU123" i="1"/>
  <c r="AP123" i="1"/>
  <c r="AO123" i="1"/>
  <c r="AN123" i="1"/>
  <c r="AG123" i="1"/>
  <c r="AJ123" i="1" s="1"/>
  <c r="G123" i="2" s="1"/>
  <c r="AF123" i="1"/>
  <c r="AI123" i="1" s="1"/>
  <c r="G124" i="2" s="1"/>
  <c r="AD123" i="1"/>
  <c r="AH123" i="1" s="1"/>
  <c r="AK123" i="1" s="1"/>
  <c r="Z123" i="1"/>
  <c r="S123" i="1"/>
  <c r="E122" i="2" s="1"/>
  <c r="E123" i="2" s="1"/>
  <c r="E124" i="2" s="1"/>
  <c r="E125" i="2" s="1"/>
  <c r="P123" i="1"/>
  <c r="B124" i="2" s="1"/>
  <c r="B125" i="2" s="1"/>
  <c r="K123" i="1"/>
  <c r="AT119" i="1"/>
  <c r="AP119" i="1"/>
  <c r="AO119" i="1"/>
  <c r="AN119" i="1"/>
  <c r="AG119" i="1"/>
  <c r="AJ119" i="1" s="1"/>
  <c r="X119" i="1" s="1"/>
  <c r="AF119" i="1"/>
  <c r="AI119" i="1" s="1"/>
  <c r="G120" i="2" s="1"/>
  <c r="AD119" i="1"/>
  <c r="AH119" i="1" s="1"/>
  <c r="AK119" i="1" s="1"/>
  <c r="Z119" i="1"/>
  <c r="S119" i="1"/>
  <c r="E118" i="2" s="1"/>
  <c r="E119" i="2" s="1"/>
  <c r="E120" i="2" s="1"/>
  <c r="E121" i="2" s="1"/>
  <c r="P119" i="1"/>
  <c r="B120" i="2" s="1"/>
  <c r="B121" i="2" s="1"/>
  <c r="K119" i="1"/>
  <c r="AU115" i="1"/>
  <c r="AP115" i="1"/>
  <c r="AO115" i="1"/>
  <c r="AN115" i="1"/>
  <c r="AG115" i="1"/>
  <c r="AJ115" i="1" s="1"/>
  <c r="AF115" i="1"/>
  <c r="AI115" i="1" s="1"/>
  <c r="G116" i="2" s="1"/>
  <c r="AD115" i="1"/>
  <c r="AH115" i="1" s="1"/>
  <c r="AK115" i="1" s="1"/>
  <c r="H115" i="1" s="1"/>
  <c r="Z115" i="1"/>
  <c r="S115" i="1"/>
  <c r="E114" i="2" s="1"/>
  <c r="E115" i="2" s="1"/>
  <c r="E116" i="2" s="1"/>
  <c r="E117" i="2" s="1"/>
  <c r="P115" i="1"/>
  <c r="B116" i="2" s="1"/>
  <c r="B117" i="2" s="1"/>
  <c r="K115" i="1"/>
  <c r="AP111" i="1"/>
  <c r="AO111" i="1"/>
  <c r="AN111" i="1"/>
  <c r="AG111" i="1"/>
  <c r="AJ111" i="1" s="1"/>
  <c r="G111" i="2" s="1"/>
  <c r="AF111" i="1"/>
  <c r="AI111" i="1" s="1"/>
  <c r="G112" i="2" s="1"/>
  <c r="AD111" i="1"/>
  <c r="AH111" i="1" s="1"/>
  <c r="AK111" i="1" s="1"/>
  <c r="Z111" i="1"/>
  <c r="S111" i="1"/>
  <c r="E110" i="2" s="1"/>
  <c r="E111" i="2" s="1"/>
  <c r="E112" i="2" s="1"/>
  <c r="E113" i="2" s="1"/>
  <c r="P111" i="1"/>
  <c r="B112" i="2" s="1"/>
  <c r="B113" i="2" s="1"/>
  <c r="K111" i="1"/>
  <c r="AP107" i="1"/>
  <c r="AO107" i="1"/>
  <c r="AN107" i="1"/>
  <c r="AG107" i="1"/>
  <c r="AJ107" i="1" s="1"/>
  <c r="L107" i="1" s="1"/>
  <c r="AF107" i="1"/>
  <c r="AI107" i="1" s="1"/>
  <c r="AD107" i="1"/>
  <c r="AH107" i="1" s="1"/>
  <c r="AK107" i="1" s="1"/>
  <c r="G106" i="2" s="1"/>
  <c r="Z107" i="1"/>
  <c r="S107" i="1"/>
  <c r="E106" i="2" s="1"/>
  <c r="E107" i="2" s="1"/>
  <c r="E108" i="2" s="1"/>
  <c r="E109" i="2" s="1"/>
  <c r="P107" i="1"/>
  <c r="B108" i="2" s="1"/>
  <c r="B109" i="2" s="1"/>
  <c r="K107" i="1"/>
  <c r="AU103" i="1"/>
  <c r="AP103" i="1"/>
  <c r="AO103" i="1"/>
  <c r="AN103" i="1"/>
  <c r="AG103" i="1"/>
  <c r="AJ103" i="1" s="1"/>
  <c r="AF103" i="1"/>
  <c r="AI103" i="1" s="1"/>
  <c r="AD103" i="1"/>
  <c r="AH103" i="1" s="1"/>
  <c r="AK103" i="1" s="1"/>
  <c r="H103" i="1" s="1"/>
  <c r="Z103" i="1"/>
  <c r="S103" i="1"/>
  <c r="E102" i="2" s="1"/>
  <c r="E103" i="2" s="1"/>
  <c r="E104" i="2" s="1"/>
  <c r="E105" i="2" s="1"/>
  <c r="P103" i="1"/>
  <c r="B104" i="2" s="1"/>
  <c r="B105" i="2" s="1"/>
  <c r="K103" i="1"/>
  <c r="AU99" i="1"/>
  <c r="AP99" i="1"/>
  <c r="AO99" i="1"/>
  <c r="AN99" i="1"/>
  <c r="AG99" i="1"/>
  <c r="AJ99" i="1" s="1"/>
  <c r="G99" i="2" s="1"/>
  <c r="AF99" i="1"/>
  <c r="AI99" i="1" s="1"/>
  <c r="G100" i="2" s="1"/>
  <c r="AD99" i="1"/>
  <c r="AH99" i="1" s="1"/>
  <c r="AK99" i="1" s="1"/>
  <c r="Z99" i="1"/>
  <c r="S99" i="1"/>
  <c r="E98" i="2" s="1"/>
  <c r="E99" i="2" s="1"/>
  <c r="E100" i="2" s="1"/>
  <c r="E101" i="2" s="1"/>
  <c r="P99" i="1"/>
  <c r="B100" i="2" s="1"/>
  <c r="B101" i="2" s="1"/>
  <c r="K99" i="1"/>
  <c r="AU95" i="1"/>
  <c r="AP95" i="1"/>
  <c r="AO95" i="1"/>
  <c r="AN95" i="1"/>
  <c r="AG95" i="1"/>
  <c r="AJ95" i="1" s="1"/>
  <c r="G95" i="2" s="1"/>
  <c r="AF95" i="1"/>
  <c r="AI95" i="1" s="1"/>
  <c r="AD95" i="1"/>
  <c r="I95" i="1" s="1"/>
  <c r="Z95" i="1"/>
  <c r="S95" i="1"/>
  <c r="E94" i="2" s="1"/>
  <c r="E95" i="2" s="1"/>
  <c r="E96" i="2" s="1"/>
  <c r="E97" i="2" s="1"/>
  <c r="P95" i="1"/>
  <c r="B96" i="2" s="1"/>
  <c r="B97" i="2" s="1"/>
  <c r="K95" i="1"/>
  <c r="AU91" i="1"/>
  <c r="AP91" i="1"/>
  <c r="AO91" i="1"/>
  <c r="AN91" i="1"/>
  <c r="AG91" i="1"/>
  <c r="AJ91" i="1" s="1"/>
  <c r="G91" i="2" s="1"/>
  <c r="AF91" i="1"/>
  <c r="AI91" i="1" s="1"/>
  <c r="G92" i="2" s="1"/>
  <c r="AD91" i="1"/>
  <c r="AH91" i="1" s="1"/>
  <c r="AK91" i="1" s="1"/>
  <c r="Z91" i="1"/>
  <c r="S91" i="1"/>
  <c r="E90" i="2" s="1"/>
  <c r="E91" i="2" s="1"/>
  <c r="E92" i="2" s="1"/>
  <c r="E93" i="2" s="1"/>
  <c r="P91" i="1"/>
  <c r="B92" i="2" s="1"/>
  <c r="B93" i="2" s="1"/>
  <c r="K91" i="1"/>
  <c r="AT87" i="1"/>
  <c r="AP87" i="1"/>
  <c r="AO87" i="1"/>
  <c r="AN87" i="1"/>
  <c r="AG87" i="1"/>
  <c r="AJ87" i="1" s="1"/>
  <c r="AF87" i="1"/>
  <c r="AI87" i="1" s="1"/>
  <c r="G88" i="2" s="1"/>
  <c r="AD87" i="1"/>
  <c r="AH87" i="1" s="1"/>
  <c r="AK87" i="1" s="1"/>
  <c r="Z87" i="1"/>
  <c r="S87" i="1"/>
  <c r="E86" i="2" s="1"/>
  <c r="E87" i="2" s="1"/>
  <c r="E88" i="2" s="1"/>
  <c r="E89" i="2" s="1"/>
  <c r="P87" i="1"/>
  <c r="B88" i="2" s="1"/>
  <c r="B89" i="2" s="1"/>
  <c r="K87" i="1"/>
  <c r="AU83" i="1"/>
  <c r="AP83" i="1"/>
  <c r="AO83" i="1"/>
  <c r="AN83" i="1"/>
  <c r="AG83" i="1"/>
  <c r="AJ83" i="1" s="1"/>
  <c r="AF83" i="1"/>
  <c r="AI83" i="1" s="1"/>
  <c r="AD83" i="1"/>
  <c r="AH83" i="1" s="1"/>
  <c r="AK83" i="1" s="1"/>
  <c r="H83" i="1" s="1"/>
  <c r="Z83" i="1"/>
  <c r="S83" i="1"/>
  <c r="E82" i="2" s="1"/>
  <c r="E83" i="2" s="1"/>
  <c r="E84" i="2" s="1"/>
  <c r="E85" i="2" s="1"/>
  <c r="P83" i="1"/>
  <c r="B84" i="2" s="1"/>
  <c r="B85" i="2" s="1"/>
  <c r="K83" i="1"/>
  <c r="AP79" i="1"/>
  <c r="AO79" i="1"/>
  <c r="AN79" i="1"/>
  <c r="AG79" i="1"/>
  <c r="AJ79" i="1" s="1"/>
  <c r="G79" i="2" s="1"/>
  <c r="AF79" i="1"/>
  <c r="AI79" i="1" s="1"/>
  <c r="G80" i="2" s="1"/>
  <c r="AD79" i="1"/>
  <c r="AH79" i="1" s="1"/>
  <c r="AK79" i="1" s="1"/>
  <c r="Z79" i="1"/>
  <c r="S79" i="1"/>
  <c r="E78" i="2" s="1"/>
  <c r="E79" i="2" s="1"/>
  <c r="E80" i="2" s="1"/>
  <c r="E81" i="2" s="1"/>
  <c r="P79" i="1"/>
  <c r="B80" i="2" s="1"/>
  <c r="B81" i="2" s="1"/>
  <c r="K79" i="1"/>
  <c r="AP75" i="1"/>
  <c r="AO75" i="1"/>
  <c r="AN75" i="1"/>
  <c r="AG75" i="1"/>
  <c r="AJ75" i="1" s="1"/>
  <c r="G75" i="2" s="1"/>
  <c r="AF75" i="1"/>
  <c r="AI75" i="1" s="1"/>
  <c r="AD75" i="1"/>
  <c r="AH75" i="1" s="1"/>
  <c r="AK75" i="1" s="1"/>
  <c r="G74" i="2" s="1"/>
  <c r="Z75" i="1"/>
  <c r="S75" i="1"/>
  <c r="E74" i="2" s="1"/>
  <c r="E75" i="2" s="1"/>
  <c r="E76" i="2" s="1"/>
  <c r="E77" i="2" s="1"/>
  <c r="P75" i="1"/>
  <c r="B76" i="2" s="1"/>
  <c r="B77" i="2" s="1"/>
  <c r="K75" i="1"/>
  <c r="AS71" i="1"/>
  <c r="AP71" i="1"/>
  <c r="AO71" i="1"/>
  <c r="AN71" i="1"/>
  <c r="AG71" i="1"/>
  <c r="AJ71" i="1" s="1"/>
  <c r="L71" i="1" s="1"/>
  <c r="AF71" i="1"/>
  <c r="AI71" i="1" s="1"/>
  <c r="G72" i="2" s="1"/>
  <c r="AD71" i="1"/>
  <c r="AH71" i="1" s="1"/>
  <c r="AK71" i="1" s="1"/>
  <c r="H71" i="1" s="1"/>
  <c r="Z71" i="1"/>
  <c r="S71" i="1"/>
  <c r="E70" i="2" s="1"/>
  <c r="E71" i="2" s="1"/>
  <c r="E72" i="2" s="1"/>
  <c r="E73" i="2" s="1"/>
  <c r="P71" i="1"/>
  <c r="B72" i="2" s="1"/>
  <c r="B73" i="2" s="1"/>
  <c r="K71" i="1"/>
  <c r="AU67" i="1"/>
  <c r="AP67" i="1"/>
  <c r="AO67" i="1"/>
  <c r="AN67" i="1"/>
  <c r="AG67" i="1"/>
  <c r="AJ67" i="1" s="1"/>
  <c r="G67" i="2" s="1"/>
  <c r="AF67" i="1"/>
  <c r="AI67" i="1" s="1"/>
  <c r="G68" i="2" s="1"/>
  <c r="AD67" i="1"/>
  <c r="AH67" i="1" s="1"/>
  <c r="AK67" i="1" s="1"/>
  <c r="Z67" i="1"/>
  <c r="S67" i="1"/>
  <c r="E66" i="2" s="1"/>
  <c r="E67" i="2" s="1"/>
  <c r="E68" i="2" s="1"/>
  <c r="E69" i="2" s="1"/>
  <c r="P67" i="1"/>
  <c r="B68" i="2" s="1"/>
  <c r="B69" i="2" s="1"/>
  <c r="K67" i="1"/>
  <c r="AU63" i="1"/>
  <c r="AP63" i="1"/>
  <c r="AO63" i="1"/>
  <c r="AN63" i="1"/>
  <c r="AG63" i="1"/>
  <c r="AJ63" i="1" s="1"/>
  <c r="L63" i="1" s="1"/>
  <c r="AF63" i="1"/>
  <c r="AI63" i="1" s="1"/>
  <c r="G64" i="2" s="1"/>
  <c r="AD63" i="1"/>
  <c r="AH63" i="1" s="1"/>
  <c r="AK63" i="1" s="1"/>
  <c r="Z63" i="1"/>
  <c r="S63" i="1"/>
  <c r="E62" i="2" s="1"/>
  <c r="E63" i="2" s="1"/>
  <c r="E64" i="2" s="1"/>
  <c r="E65" i="2" s="1"/>
  <c r="P63" i="1"/>
  <c r="B64" i="2" s="1"/>
  <c r="B65" i="2" s="1"/>
  <c r="K63" i="1"/>
  <c r="AU59" i="1"/>
  <c r="AP59" i="1"/>
  <c r="AO59" i="1"/>
  <c r="AN59" i="1"/>
  <c r="AG59" i="1"/>
  <c r="AJ59" i="1" s="1"/>
  <c r="L59" i="1" s="1"/>
  <c r="AF59" i="1"/>
  <c r="AI59" i="1" s="1"/>
  <c r="AD59" i="1"/>
  <c r="AH59" i="1" s="1"/>
  <c r="AK59" i="1" s="1"/>
  <c r="Z59" i="1"/>
  <c r="S59" i="1"/>
  <c r="E58" i="2" s="1"/>
  <c r="E59" i="2" s="1"/>
  <c r="E60" i="2" s="1"/>
  <c r="E61" i="2" s="1"/>
  <c r="P59" i="1"/>
  <c r="B60" i="2" s="1"/>
  <c r="B61" i="2" s="1"/>
  <c r="K59" i="1"/>
  <c r="AS55" i="1"/>
  <c r="AP55" i="1"/>
  <c r="AO55" i="1"/>
  <c r="AN55" i="1"/>
  <c r="AG55" i="1"/>
  <c r="AJ55" i="1" s="1"/>
  <c r="G55" i="2" s="1"/>
  <c r="AF55" i="1"/>
  <c r="AI55" i="1" s="1"/>
  <c r="G56" i="2" s="1"/>
  <c r="AD55" i="1"/>
  <c r="AH55" i="1" s="1"/>
  <c r="AK55" i="1" s="1"/>
  <c r="Z55" i="1"/>
  <c r="S55" i="1"/>
  <c r="E54" i="2" s="1"/>
  <c r="E55" i="2" s="1"/>
  <c r="E56" i="2" s="1"/>
  <c r="E57" i="2" s="1"/>
  <c r="P55" i="1"/>
  <c r="B56" i="2" s="1"/>
  <c r="B57" i="2" s="1"/>
  <c r="K55" i="1"/>
  <c r="AU51" i="1"/>
  <c r="AP51" i="1"/>
  <c r="AO51" i="1"/>
  <c r="AN51" i="1"/>
  <c r="AG51" i="1"/>
  <c r="AJ51" i="1" s="1"/>
  <c r="G51" i="2" s="1"/>
  <c r="AF51" i="1"/>
  <c r="AI51" i="1" s="1"/>
  <c r="G52" i="2" s="1"/>
  <c r="AD51" i="1"/>
  <c r="AH51" i="1" s="1"/>
  <c r="AK51" i="1" s="1"/>
  <c r="H51" i="1" s="1"/>
  <c r="Z51" i="1"/>
  <c r="S51" i="1"/>
  <c r="E50" i="2" s="1"/>
  <c r="E51" i="2" s="1"/>
  <c r="E52" i="2" s="1"/>
  <c r="E53" i="2" s="1"/>
  <c r="P51" i="1"/>
  <c r="B52" i="2" s="1"/>
  <c r="B53" i="2" s="1"/>
  <c r="K51" i="1"/>
  <c r="AP47" i="1"/>
  <c r="AO47" i="1"/>
  <c r="AN47" i="1"/>
  <c r="AG47" i="1"/>
  <c r="AJ47" i="1" s="1"/>
  <c r="G47" i="2" s="1"/>
  <c r="AF47" i="1"/>
  <c r="AI47" i="1" s="1"/>
  <c r="G48" i="2" s="1"/>
  <c r="AD47" i="1"/>
  <c r="AH47" i="1" s="1"/>
  <c r="AK47" i="1" s="1"/>
  <c r="Z47" i="1"/>
  <c r="S47" i="1"/>
  <c r="E46" i="2" s="1"/>
  <c r="E47" i="2" s="1"/>
  <c r="E48" i="2" s="1"/>
  <c r="E49" i="2" s="1"/>
  <c r="P47" i="1"/>
  <c r="B48" i="2" s="1"/>
  <c r="B49" i="2" s="1"/>
  <c r="K47" i="1"/>
  <c r="AP43" i="1"/>
  <c r="AO43" i="1"/>
  <c r="AN43" i="1"/>
  <c r="AG43" i="1"/>
  <c r="AJ43" i="1" s="1"/>
  <c r="G43" i="2" s="1"/>
  <c r="AF43" i="1"/>
  <c r="AI43" i="1" s="1"/>
  <c r="G44" i="2" s="1"/>
  <c r="AD43" i="1"/>
  <c r="AH43" i="1" s="1"/>
  <c r="AK43" i="1" s="1"/>
  <c r="Z43" i="1"/>
  <c r="S43" i="1"/>
  <c r="E42" i="2" s="1"/>
  <c r="E43" i="2" s="1"/>
  <c r="E44" i="2" s="1"/>
  <c r="E45" i="2" s="1"/>
  <c r="P43" i="1"/>
  <c r="B44" i="2" s="1"/>
  <c r="B45" i="2" s="1"/>
  <c r="K43" i="1"/>
  <c r="AU39" i="1"/>
  <c r="AP39" i="1"/>
  <c r="AO39" i="1"/>
  <c r="AN39" i="1"/>
  <c r="AG39" i="1"/>
  <c r="AJ39" i="1" s="1"/>
  <c r="X39" i="1" s="1"/>
  <c r="AF39" i="1"/>
  <c r="AI39" i="1" s="1"/>
  <c r="G40" i="2" s="1"/>
  <c r="AD39" i="1"/>
  <c r="AH39" i="1" s="1"/>
  <c r="AK39" i="1" s="1"/>
  <c r="H39" i="1" s="1"/>
  <c r="Z39" i="1"/>
  <c r="S39" i="1"/>
  <c r="E38" i="2" s="1"/>
  <c r="E39" i="2" s="1"/>
  <c r="E40" i="2" s="1"/>
  <c r="E41" i="2" s="1"/>
  <c r="P39" i="1"/>
  <c r="B40" i="2" s="1"/>
  <c r="B41" i="2" s="1"/>
  <c r="K39" i="1"/>
  <c r="AS35" i="1"/>
  <c r="AP35" i="1"/>
  <c r="AO35" i="1"/>
  <c r="AN35" i="1"/>
  <c r="AG35" i="1"/>
  <c r="AJ35" i="1" s="1"/>
  <c r="G35" i="2" s="1"/>
  <c r="AF35" i="1"/>
  <c r="AI35" i="1" s="1"/>
  <c r="G36" i="2" s="1"/>
  <c r="AD35" i="1"/>
  <c r="AH35" i="1" s="1"/>
  <c r="AK35" i="1" s="1"/>
  <c r="H35" i="1" s="1"/>
  <c r="Z35" i="1"/>
  <c r="S35" i="1"/>
  <c r="E34" i="2" s="1"/>
  <c r="E35" i="2" s="1"/>
  <c r="E36" i="2" s="1"/>
  <c r="E37" i="2" s="1"/>
  <c r="P35" i="1"/>
  <c r="B36" i="2" s="1"/>
  <c r="B37" i="2" s="1"/>
  <c r="K35" i="1"/>
  <c r="AU31" i="1"/>
  <c r="AP31" i="1"/>
  <c r="AO31" i="1"/>
  <c r="AN31" i="1"/>
  <c r="AG31" i="1"/>
  <c r="AJ31" i="1" s="1"/>
  <c r="AF31" i="1"/>
  <c r="AI31" i="1" s="1"/>
  <c r="W31" i="1" s="1"/>
  <c r="AD31" i="1"/>
  <c r="AH31" i="1" s="1"/>
  <c r="AK31" i="1" s="1"/>
  <c r="Z31" i="1"/>
  <c r="S31" i="1"/>
  <c r="E30" i="2" s="1"/>
  <c r="E31" i="2" s="1"/>
  <c r="E32" i="2" s="1"/>
  <c r="E33" i="2" s="1"/>
  <c r="P31" i="1"/>
  <c r="B32" i="2" s="1"/>
  <c r="B33" i="2" s="1"/>
  <c r="K31" i="1"/>
  <c r="AU27" i="1"/>
  <c r="AP27" i="1"/>
  <c r="AO27" i="1"/>
  <c r="AN27" i="1"/>
  <c r="AG27" i="1"/>
  <c r="AJ27" i="1" s="1"/>
  <c r="G27" i="2" s="1"/>
  <c r="AF27" i="1"/>
  <c r="AI27" i="1" s="1"/>
  <c r="G28" i="2" s="1"/>
  <c r="AD27" i="1"/>
  <c r="AH27" i="1" s="1"/>
  <c r="AK27" i="1" s="1"/>
  <c r="Z27" i="1"/>
  <c r="S27" i="1"/>
  <c r="E26" i="2" s="1"/>
  <c r="E27" i="2" s="1"/>
  <c r="E28" i="2" s="1"/>
  <c r="E29" i="2" s="1"/>
  <c r="P27" i="1"/>
  <c r="B28" i="2" s="1"/>
  <c r="B29" i="2" s="1"/>
  <c r="K27" i="1"/>
  <c r="AU23" i="1"/>
  <c r="AP23" i="1"/>
  <c r="AO23" i="1"/>
  <c r="AN23" i="1"/>
  <c r="AG23" i="1"/>
  <c r="AJ23" i="1" s="1"/>
  <c r="X23" i="1" s="1"/>
  <c r="AF23" i="1"/>
  <c r="AI23" i="1" s="1"/>
  <c r="G24" i="2" s="1"/>
  <c r="AD23" i="1"/>
  <c r="AH23" i="1" s="1"/>
  <c r="AK23" i="1" s="1"/>
  <c r="H23" i="1" s="1"/>
  <c r="Z23" i="1"/>
  <c r="S23" i="1"/>
  <c r="E22" i="2" s="1"/>
  <c r="E23" i="2" s="1"/>
  <c r="E24" i="2" s="1"/>
  <c r="E25" i="2" s="1"/>
  <c r="P23" i="1"/>
  <c r="B24" i="2" s="1"/>
  <c r="B25" i="2" s="1"/>
  <c r="K23" i="1"/>
  <c r="P3" i="1"/>
  <c r="AD19" i="1"/>
  <c r="I19" i="1" s="1"/>
  <c r="AD15" i="1"/>
  <c r="I15" i="1" s="1"/>
  <c r="AD11" i="1"/>
  <c r="I11" i="1" s="1"/>
  <c r="AD7" i="1"/>
  <c r="I7" i="1" s="1"/>
  <c r="S19" i="1"/>
  <c r="E18" i="2" s="1"/>
  <c r="E19" i="2" s="1"/>
  <c r="E20" i="2" s="1"/>
  <c r="E21" i="2" s="1"/>
  <c r="S15" i="1"/>
  <c r="E14" i="2" s="1"/>
  <c r="E15" i="2" s="1"/>
  <c r="E16" i="2" s="1"/>
  <c r="E17" i="2" s="1"/>
  <c r="S11" i="1"/>
  <c r="E10" i="2" s="1"/>
  <c r="E11" i="2" s="1"/>
  <c r="E12" i="2" s="1"/>
  <c r="E13" i="2" s="1"/>
  <c r="S7" i="1"/>
  <c r="S3" i="1"/>
  <c r="P19" i="1"/>
  <c r="B20" i="2" s="1"/>
  <c r="B21" i="2" s="1"/>
  <c r="P15" i="1"/>
  <c r="B16" i="2" s="1"/>
  <c r="B17" i="2" s="1"/>
  <c r="P11" i="1"/>
  <c r="B12" i="2" s="1"/>
  <c r="B13" i="2" s="1"/>
  <c r="P7" i="1"/>
  <c r="G488" i="2" l="1"/>
  <c r="G486" i="2"/>
  <c r="G390" i="2"/>
  <c r="G371" i="2"/>
  <c r="G114" i="2"/>
  <c r="G478" i="2"/>
  <c r="G476" i="2"/>
  <c r="G474" i="2"/>
  <c r="G402" i="2"/>
  <c r="G186" i="2"/>
  <c r="G146" i="2"/>
  <c r="G144" i="2"/>
  <c r="G59" i="2"/>
  <c r="G475" i="2"/>
  <c r="G426" i="2"/>
  <c r="G187" i="2"/>
  <c r="G147" i="2"/>
  <c r="G82" i="2"/>
  <c r="G427" i="2"/>
  <c r="G410" i="2"/>
  <c r="G408" i="2"/>
  <c r="G382" i="2"/>
  <c r="G380" i="2"/>
  <c r="G378" i="2"/>
  <c r="G282" i="2"/>
  <c r="G235" i="2"/>
  <c r="G134" i="2"/>
  <c r="G454" i="2"/>
  <c r="G440" i="2"/>
  <c r="G338" i="2"/>
  <c r="G326" i="2"/>
  <c r="G34" i="2"/>
  <c r="G468" i="2"/>
  <c r="G459" i="2"/>
  <c r="G444" i="2"/>
  <c r="G418" i="2"/>
  <c r="G331" i="2"/>
  <c r="G306" i="2"/>
  <c r="G155" i="2"/>
  <c r="G38" i="2"/>
  <c r="G467" i="2"/>
  <c r="G443" i="2"/>
  <c r="G358" i="2"/>
  <c r="G356" i="2"/>
  <c r="G198" i="2"/>
  <c r="G171" i="2"/>
  <c r="W107" i="1"/>
  <c r="G108" i="2"/>
  <c r="W203" i="1"/>
  <c r="G204" i="2"/>
  <c r="W331" i="1"/>
  <c r="G332" i="2"/>
  <c r="G383" i="2"/>
  <c r="H31" i="1"/>
  <c r="G30" i="2"/>
  <c r="H63" i="1"/>
  <c r="G62" i="2"/>
  <c r="W83" i="1"/>
  <c r="G84" i="2"/>
  <c r="L103" i="1"/>
  <c r="G103" i="2"/>
  <c r="H127" i="1"/>
  <c r="G126" i="2"/>
  <c r="L135" i="1"/>
  <c r="G135" i="2"/>
  <c r="H159" i="1"/>
  <c r="G158" i="2"/>
  <c r="W179" i="1"/>
  <c r="G180" i="2"/>
  <c r="H191" i="1"/>
  <c r="G190" i="2"/>
  <c r="L231" i="1"/>
  <c r="G231" i="2"/>
  <c r="H287" i="1"/>
  <c r="G286" i="2"/>
  <c r="H319" i="1"/>
  <c r="G318" i="2"/>
  <c r="X327" i="1"/>
  <c r="G327" i="2"/>
  <c r="X391" i="1"/>
  <c r="G391" i="2"/>
  <c r="H415" i="1"/>
  <c r="G414" i="2"/>
  <c r="L423" i="1"/>
  <c r="G423" i="2"/>
  <c r="W435" i="1"/>
  <c r="G436" i="2"/>
  <c r="H447" i="1"/>
  <c r="G446" i="2"/>
  <c r="G455" i="2"/>
  <c r="G23" i="2"/>
  <c r="W235" i="1"/>
  <c r="G236" i="2"/>
  <c r="H247" i="1"/>
  <c r="G246" i="2"/>
  <c r="H375" i="1"/>
  <c r="G374" i="2"/>
  <c r="H407" i="1"/>
  <c r="G406" i="2"/>
  <c r="G191" i="2"/>
  <c r="G22" i="2"/>
  <c r="H43" i="1"/>
  <c r="G42" i="2"/>
  <c r="L83" i="1"/>
  <c r="G83" i="2"/>
  <c r="W95" i="1"/>
  <c r="G96" i="2"/>
  <c r="L115" i="1"/>
  <c r="G115" i="2"/>
  <c r="H139" i="1"/>
  <c r="G138" i="2"/>
  <c r="H171" i="1"/>
  <c r="G170" i="2"/>
  <c r="L179" i="1"/>
  <c r="G179" i="2"/>
  <c r="L211" i="1"/>
  <c r="G211" i="2"/>
  <c r="W223" i="1"/>
  <c r="G224" i="2"/>
  <c r="L243" i="1"/>
  <c r="G243" i="2"/>
  <c r="W255" i="1"/>
  <c r="G256" i="2"/>
  <c r="H267" i="1"/>
  <c r="G266" i="2"/>
  <c r="L275" i="1"/>
  <c r="G275" i="2"/>
  <c r="H299" i="1"/>
  <c r="G298" i="2"/>
  <c r="L307" i="1"/>
  <c r="G307" i="2"/>
  <c r="H331" i="1"/>
  <c r="G330" i="2"/>
  <c r="W351" i="1"/>
  <c r="G352" i="2"/>
  <c r="H363" i="1"/>
  <c r="G362" i="2"/>
  <c r="W383" i="1"/>
  <c r="G384" i="2"/>
  <c r="H395" i="1"/>
  <c r="G394" i="2"/>
  <c r="L403" i="1"/>
  <c r="G403" i="2"/>
  <c r="W415" i="1"/>
  <c r="G416" i="2"/>
  <c r="L435" i="1"/>
  <c r="G435" i="2"/>
  <c r="W447" i="1"/>
  <c r="G448" i="2"/>
  <c r="H459" i="1"/>
  <c r="G458" i="2"/>
  <c r="W479" i="1"/>
  <c r="G480" i="2"/>
  <c r="G71" i="2"/>
  <c r="G32" i="2"/>
  <c r="L31" i="1"/>
  <c r="G31" i="2"/>
  <c r="H55" i="1"/>
  <c r="G54" i="2"/>
  <c r="W139" i="1"/>
  <c r="G140" i="2"/>
  <c r="H279" i="1"/>
  <c r="G278" i="2"/>
  <c r="H119" i="1"/>
  <c r="G118" i="2"/>
  <c r="L127" i="1"/>
  <c r="G127" i="2"/>
  <c r="H151" i="1"/>
  <c r="G150" i="2"/>
  <c r="H311" i="1"/>
  <c r="G310" i="2"/>
  <c r="H343" i="1"/>
  <c r="G342" i="2"/>
  <c r="L351" i="1"/>
  <c r="G351" i="2"/>
  <c r="W395" i="1"/>
  <c r="G396" i="2"/>
  <c r="H47" i="1"/>
  <c r="G46" i="2"/>
  <c r="W75" i="1"/>
  <c r="G76" i="2"/>
  <c r="H87" i="1"/>
  <c r="G86" i="2"/>
  <c r="G214" i="2"/>
  <c r="H79" i="1"/>
  <c r="G78" i="2"/>
  <c r="X87" i="1"/>
  <c r="G87" i="2"/>
  <c r="H111" i="1"/>
  <c r="G110" i="2"/>
  <c r="H143" i="1"/>
  <c r="G142" i="2"/>
  <c r="X151" i="1"/>
  <c r="G151" i="2"/>
  <c r="H175" i="1"/>
  <c r="G174" i="2"/>
  <c r="X183" i="1"/>
  <c r="G183" i="2"/>
  <c r="H207" i="1"/>
  <c r="G206" i="2"/>
  <c r="H239" i="1"/>
  <c r="G238" i="2"/>
  <c r="H271" i="1"/>
  <c r="G270" i="2"/>
  <c r="H303" i="1"/>
  <c r="G302" i="2"/>
  <c r="H335" i="1"/>
  <c r="G334" i="2"/>
  <c r="H367" i="1"/>
  <c r="G366" i="2"/>
  <c r="W387" i="1"/>
  <c r="G388" i="2"/>
  <c r="H399" i="1"/>
  <c r="G398" i="2"/>
  <c r="X407" i="1"/>
  <c r="G407" i="2"/>
  <c r="H431" i="1"/>
  <c r="G430" i="2"/>
  <c r="X439" i="1"/>
  <c r="G439" i="2"/>
  <c r="H463" i="1"/>
  <c r="G462" i="2"/>
  <c r="X471" i="1"/>
  <c r="G471" i="2"/>
  <c r="G470" i="2"/>
  <c r="G438" i="2"/>
  <c r="G119" i="2"/>
  <c r="G63" i="2"/>
  <c r="G39" i="2"/>
  <c r="H67" i="1"/>
  <c r="G66" i="2"/>
  <c r="H99" i="1"/>
  <c r="G98" i="2"/>
  <c r="H131" i="1"/>
  <c r="G130" i="2"/>
  <c r="X203" i="1"/>
  <c r="G203" i="2"/>
  <c r="H259" i="1"/>
  <c r="G258" i="2"/>
  <c r="H323" i="1"/>
  <c r="G322" i="2"/>
  <c r="W375" i="1"/>
  <c r="G376" i="2"/>
  <c r="G472" i="2"/>
  <c r="G290" i="2"/>
  <c r="G154" i="2"/>
  <c r="G450" i="2"/>
  <c r="G355" i="2"/>
  <c r="G226" i="2"/>
  <c r="W59" i="1"/>
  <c r="G60" i="2"/>
  <c r="H167" i="1"/>
  <c r="G166" i="2"/>
  <c r="H231" i="1"/>
  <c r="G230" i="2"/>
  <c r="H263" i="1"/>
  <c r="G262" i="2"/>
  <c r="H295" i="1"/>
  <c r="G294" i="2"/>
  <c r="X367" i="1"/>
  <c r="G367" i="2"/>
  <c r="H423" i="1"/>
  <c r="G422" i="2"/>
  <c r="G482" i="2"/>
  <c r="G363" i="2"/>
  <c r="G194" i="2"/>
  <c r="G107" i="2"/>
  <c r="G102" i="2"/>
  <c r="G50" i="2"/>
  <c r="H27" i="1"/>
  <c r="G26" i="2"/>
  <c r="H59" i="1"/>
  <c r="G58" i="2"/>
  <c r="H91" i="1"/>
  <c r="G90" i="2"/>
  <c r="H123" i="1"/>
  <c r="G122" i="2"/>
  <c r="W175" i="1"/>
  <c r="G176" i="2"/>
  <c r="H219" i="1"/>
  <c r="G218" i="2"/>
  <c r="H315" i="1"/>
  <c r="G314" i="2"/>
  <c r="H347" i="1"/>
  <c r="G346" i="2"/>
  <c r="G386" i="2"/>
  <c r="W103" i="1"/>
  <c r="G104" i="2"/>
  <c r="H179" i="1"/>
  <c r="G178" i="2"/>
  <c r="H211" i="1"/>
  <c r="G210" i="2"/>
  <c r="H243" i="1"/>
  <c r="G242" i="2"/>
  <c r="H275" i="1"/>
  <c r="G274" i="2"/>
  <c r="X379" i="1"/>
  <c r="G379" i="2"/>
  <c r="H435" i="1"/>
  <c r="G434" i="2"/>
  <c r="G466" i="2"/>
  <c r="G412" i="2"/>
  <c r="G395" i="2"/>
  <c r="G250" i="2"/>
  <c r="G70" i="2"/>
  <c r="I483" i="1"/>
  <c r="I159" i="1"/>
  <c r="X355" i="1"/>
  <c r="I287" i="1"/>
  <c r="I67" i="1"/>
  <c r="AQ287" i="1"/>
  <c r="E287" i="1" s="1"/>
  <c r="AH371" i="1"/>
  <c r="AK371" i="1" s="1"/>
  <c r="AQ127" i="1"/>
  <c r="E127" i="1" s="1"/>
  <c r="I403" i="1"/>
  <c r="I155" i="1"/>
  <c r="AT395" i="1"/>
  <c r="I467" i="1"/>
  <c r="I23" i="1"/>
  <c r="I411" i="1"/>
  <c r="AQ379" i="1"/>
  <c r="E379" i="1" s="1"/>
  <c r="I63" i="1"/>
  <c r="I71" i="1"/>
  <c r="AT375" i="1"/>
  <c r="AQ423" i="1"/>
  <c r="E423" i="1" s="1"/>
  <c r="AU223" i="1"/>
  <c r="AQ467" i="1"/>
  <c r="E467" i="1" s="1"/>
  <c r="I479" i="1"/>
  <c r="I47" i="1"/>
  <c r="AS127" i="1"/>
  <c r="AS203" i="1"/>
  <c r="I223" i="1"/>
  <c r="AS427" i="1"/>
  <c r="AH95" i="1"/>
  <c r="AK95" i="1" s="1"/>
  <c r="AQ115" i="1"/>
  <c r="E115" i="1" s="1"/>
  <c r="I131" i="1"/>
  <c r="AT203" i="1"/>
  <c r="AT279" i="1"/>
  <c r="AQ283" i="1"/>
  <c r="E283" i="1" s="1"/>
  <c r="AQ427" i="1"/>
  <c r="E427" i="1" s="1"/>
  <c r="AS115" i="1"/>
  <c r="AQ295" i="1"/>
  <c r="E295" i="1" s="1"/>
  <c r="AT55" i="1"/>
  <c r="AS271" i="1"/>
  <c r="AQ275" i="1"/>
  <c r="E275" i="1" s="1"/>
  <c r="AU299" i="1"/>
  <c r="AQ335" i="1"/>
  <c r="E335" i="1" s="1"/>
  <c r="AQ419" i="1"/>
  <c r="E419" i="1" s="1"/>
  <c r="AS471" i="1"/>
  <c r="AQ91" i="1"/>
  <c r="E91" i="1" s="1"/>
  <c r="AT95" i="1"/>
  <c r="AQ99" i="1"/>
  <c r="E99" i="1" s="1"/>
  <c r="AL167" i="1"/>
  <c r="AQ243" i="1"/>
  <c r="E243" i="1" s="1"/>
  <c r="AQ255" i="1"/>
  <c r="E255" i="1" s="1"/>
  <c r="AS383" i="1"/>
  <c r="AT471" i="1"/>
  <c r="AS483" i="1"/>
  <c r="I115" i="1"/>
  <c r="I175" i="1"/>
  <c r="AQ175" i="1"/>
  <c r="E175" i="1" s="1"/>
  <c r="I207" i="1"/>
  <c r="I215" i="1"/>
  <c r="AQ223" i="1"/>
  <c r="E223" i="1" s="1"/>
  <c r="AU235" i="1"/>
  <c r="AS279" i="1"/>
  <c r="I307" i="1"/>
  <c r="AQ307" i="1"/>
  <c r="E307" i="1" s="1"/>
  <c r="I487" i="1"/>
  <c r="I463" i="1"/>
  <c r="AQ43" i="1"/>
  <c r="E43" i="1" s="1"/>
  <c r="AT47" i="1"/>
  <c r="AU55" i="1"/>
  <c r="AQ59" i="1"/>
  <c r="E59" i="1" s="1"/>
  <c r="AQ67" i="1"/>
  <c r="E67" i="1" s="1"/>
  <c r="AU107" i="1"/>
  <c r="AS191" i="1"/>
  <c r="I319" i="1"/>
  <c r="AU363" i="1"/>
  <c r="AU395" i="1"/>
  <c r="AT427" i="1"/>
  <c r="AS443" i="1"/>
  <c r="AQ455" i="1"/>
  <c r="E455" i="1" s="1"/>
  <c r="AT99" i="1"/>
  <c r="I111" i="1"/>
  <c r="AT191" i="1"/>
  <c r="AU255" i="1"/>
  <c r="AQ339" i="1"/>
  <c r="E339" i="1" s="1"/>
  <c r="I351" i="1"/>
  <c r="AQ483" i="1"/>
  <c r="E483" i="1" s="1"/>
  <c r="AU407" i="1"/>
  <c r="I127" i="1"/>
  <c r="AQ179" i="1"/>
  <c r="E179" i="1" s="1"/>
  <c r="AQ211" i="1"/>
  <c r="E211" i="1" s="1"/>
  <c r="AT223" i="1"/>
  <c r="I243" i="1"/>
  <c r="I259" i="1"/>
  <c r="I303" i="1"/>
  <c r="AQ303" i="1"/>
  <c r="E303" i="1" s="1"/>
  <c r="AT423" i="1"/>
  <c r="AH443" i="1"/>
  <c r="AK443" i="1" s="1"/>
  <c r="AS475" i="1"/>
  <c r="X411" i="1"/>
  <c r="L411" i="1"/>
  <c r="L47" i="1"/>
  <c r="X47" i="1"/>
  <c r="L95" i="1"/>
  <c r="X95" i="1"/>
  <c r="AQ47" i="1"/>
  <c r="E47" i="1" s="1"/>
  <c r="AL123" i="1"/>
  <c r="AT179" i="1"/>
  <c r="AU287" i="1"/>
  <c r="AT51" i="1"/>
  <c r="AQ75" i="1"/>
  <c r="E75" i="1" s="1"/>
  <c r="AT79" i="1"/>
  <c r="AS87" i="1"/>
  <c r="AU119" i="1"/>
  <c r="AQ171" i="1"/>
  <c r="E171" i="1" s="1"/>
  <c r="AU179" i="1"/>
  <c r="AS187" i="1"/>
  <c r="AQ195" i="1"/>
  <c r="E195" i="1" s="1"/>
  <c r="AQ207" i="1"/>
  <c r="E207" i="1" s="1"/>
  <c r="AT227" i="1"/>
  <c r="I235" i="1"/>
  <c r="AU259" i="1"/>
  <c r="AS267" i="1"/>
  <c r="I291" i="1"/>
  <c r="I299" i="1"/>
  <c r="I359" i="1"/>
  <c r="AQ371" i="1"/>
  <c r="E371" i="1" s="1"/>
  <c r="AT391" i="1"/>
  <c r="I439" i="1"/>
  <c r="AS447" i="1"/>
  <c r="AQ487" i="1"/>
  <c r="E487" i="1" s="1"/>
  <c r="I59" i="1"/>
  <c r="AU79" i="1"/>
  <c r="AQ83" i="1"/>
  <c r="E83" i="1" s="1"/>
  <c r="AU87" i="1"/>
  <c r="AQ95" i="1"/>
  <c r="E95" i="1" s="1"/>
  <c r="I107" i="1"/>
  <c r="I123" i="1"/>
  <c r="AS131" i="1"/>
  <c r="AH163" i="1"/>
  <c r="AK163" i="1" s="1"/>
  <c r="AQ183" i="1"/>
  <c r="E183" i="1" s="1"/>
  <c r="I191" i="1"/>
  <c r="AU227" i="1"/>
  <c r="AQ263" i="1"/>
  <c r="E263" i="1" s="1"/>
  <c r="AT267" i="1"/>
  <c r="AQ315" i="1"/>
  <c r="E315" i="1" s="1"/>
  <c r="AQ359" i="1"/>
  <c r="E359" i="1" s="1"/>
  <c r="AQ375" i="1"/>
  <c r="E375" i="1" s="1"/>
  <c r="I451" i="1"/>
  <c r="AQ451" i="1"/>
  <c r="E451" i="1" s="1"/>
  <c r="I471" i="1"/>
  <c r="AL471" i="1"/>
  <c r="I475" i="1"/>
  <c r="AQ479" i="1"/>
  <c r="E479" i="1" s="1"/>
  <c r="I31" i="1"/>
  <c r="AS47" i="1"/>
  <c r="I91" i="1"/>
  <c r="AS99" i="1"/>
  <c r="AQ123" i="1"/>
  <c r="E123" i="1" s="1"/>
  <c r="AT131" i="1"/>
  <c r="AQ155" i="1"/>
  <c r="E155" i="1" s="1"/>
  <c r="AQ219" i="1"/>
  <c r="E219" i="1" s="1"/>
  <c r="I231" i="1"/>
  <c r="AU239" i="1"/>
  <c r="I271" i="1"/>
  <c r="AQ271" i="1"/>
  <c r="E271" i="1" s="1"/>
  <c r="AS275" i="1"/>
  <c r="I347" i="1"/>
  <c r="I435" i="1"/>
  <c r="AQ31" i="1"/>
  <c r="E31" i="1" s="1"/>
  <c r="AS63" i="1"/>
  <c r="AU75" i="1"/>
  <c r="AT111" i="1"/>
  <c r="AL115" i="1"/>
  <c r="AT115" i="1"/>
  <c r="AQ119" i="1"/>
  <c r="E119" i="1" s="1"/>
  <c r="AT127" i="1"/>
  <c r="AS155" i="1"/>
  <c r="AU171" i="1"/>
  <c r="AQ187" i="1"/>
  <c r="E187" i="1" s="1"/>
  <c r="AQ227" i="1"/>
  <c r="E227" i="1" s="1"/>
  <c r="AS235" i="1"/>
  <c r="AV235" i="1" s="1"/>
  <c r="G235" i="1" s="1"/>
  <c r="AQ251" i="1"/>
  <c r="E251" i="1" s="1"/>
  <c r="AS299" i="1"/>
  <c r="AQ391" i="1"/>
  <c r="E391" i="1" s="1"/>
  <c r="AQ403" i="1"/>
  <c r="E403" i="1" s="1"/>
  <c r="AS407" i="1"/>
  <c r="AQ415" i="1"/>
  <c r="E415" i="1" s="1"/>
  <c r="AT483" i="1"/>
  <c r="AL43" i="1"/>
  <c r="AT63" i="1"/>
  <c r="AS95" i="1"/>
  <c r="AU111" i="1"/>
  <c r="AQ131" i="1"/>
  <c r="E131" i="1" s="1"/>
  <c r="AU139" i="1"/>
  <c r="AQ143" i="1"/>
  <c r="E143" i="1" s="1"/>
  <c r="AU155" i="1"/>
  <c r="AQ319" i="1"/>
  <c r="E319" i="1" s="1"/>
  <c r="I343" i="1"/>
  <c r="AS375" i="1"/>
  <c r="AQ435" i="1"/>
  <c r="E435" i="1" s="1"/>
  <c r="AU451" i="1"/>
  <c r="AS479" i="1"/>
  <c r="L215" i="1"/>
  <c r="X215" i="1"/>
  <c r="L255" i="1"/>
  <c r="X255" i="1"/>
  <c r="L75" i="1"/>
  <c r="X75" i="1"/>
  <c r="L247" i="1"/>
  <c r="X247" i="1"/>
  <c r="L287" i="1"/>
  <c r="X287" i="1"/>
  <c r="L163" i="1"/>
  <c r="X163" i="1"/>
  <c r="AL275" i="1"/>
  <c r="W275" i="1"/>
  <c r="L319" i="1"/>
  <c r="X319" i="1"/>
  <c r="L223" i="1"/>
  <c r="X223" i="1"/>
  <c r="L487" i="1"/>
  <c r="X487" i="1"/>
  <c r="AL223" i="1"/>
  <c r="X135" i="1"/>
  <c r="X191" i="1"/>
  <c r="X351" i="1"/>
  <c r="X383" i="1"/>
  <c r="L391" i="1"/>
  <c r="AL343" i="1"/>
  <c r="X459" i="1"/>
  <c r="X63" i="1"/>
  <c r="X107" i="1"/>
  <c r="X127" i="1"/>
  <c r="X427" i="1"/>
  <c r="X455" i="1"/>
  <c r="AL447" i="1"/>
  <c r="W371" i="1"/>
  <c r="AL307" i="1"/>
  <c r="W307" i="1"/>
  <c r="AL211" i="1"/>
  <c r="W211" i="1"/>
  <c r="AL243" i="1"/>
  <c r="W243" i="1"/>
  <c r="W403" i="1"/>
  <c r="AL403" i="1"/>
  <c r="I43" i="1"/>
  <c r="I87" i="1"/>
  <c r="I103" i="1"/>
  <c r="I143" i="1"/>
  <c r="I171" i="1"/>
  <c r="I187" i="1"/>
  <c r="I195" i="1"/>
  <c r="I211" i="1"/>
  <c r="I219" i="1"/>
  <c r="I239" i="1"/>
  <c r="I267" i="1"/>
  <c r="I283" i="1"/>
  <c r="I295" i="1"/>
  <c r="I323" i="1"/>
  <c r="I339" i="1"/>
  <c r="I407" i="1"/>
  <c r="I27" i="1"/>
  <c r="I51" i="1"/>
  <c r="I83" i="1"/>
  <c r="I99" i="1"/>
  <c r="I227" i="1"/>
  <c r="I311" i="1"/>
  <c r="I367" i="1"/>
  <c r="I391" i="1"/>
  <c r="I395" i="1"/>
  <c r="I427" i="1"/>
  <c r="I455" i="1"/>
  <c r="I459" i="1"/>
  <c r="I39" i="1"/>
  <c r="I79" i="1"/>
  <c r="W115" i="1"/>
  <c r="I139" i="1"/>
  <c r="I151" i="1"/>
  <c r="I263" i="1"/>
  <c r="I335" i="1"/>
  <c r="I363" i="1"/>
  <c r="I423" i="1"/>
  <c r="I431" i="1"/>
  <c r="I135" i="1"/>
  <c r="I167" i="1"/>
  <c r="I179" i="1"/>
  <c r="I255" i="1"/>
  <c r="I275" i="1"/>
  <c r="I331" i="1"/>
  <c r="I383" i="1"/>
  <c r="I399" i="1"/>
  <c r="I447" i="1"/>
  <c r="I35" i="1"/>
  <c r="I147" i="1"/>
  <c r="I199" i="1"/>
  <c r="I251" i="1"/>
  <c r="I315" i="1"/>
  <c r="I327" i="1"/>
  <c r="I379" i="1"/>
  <c r="I419" i="1"/>
  <c r="AL479" i="1"/>
  <c r="AL199" i="1"/>
  <c r="I375" i="1"/>
  <c r="I415" i="1"/>
  <c r="AL439" i="1"/>
  <c r="AS27" i="1"/>
  <c r="AS39" i="1"/>
  <c r="AS327" i="1"/>
  <c r="AT335" i="1"/>
  <c r="AS339" i="1"/>
  <c r="AS23" i="1"/>
  <c r="AT27" i="1"/>
  <c r="AU35" i="1"/>
  <c r="AT39" i="1"/>
  <c r="AQ51" i="1"/>
  <c r="E51" i="1" s="1"/>
  <c r="AQ139" i="1"/>
  <c r="E139" i="1" s="1"/>
  <c r="AS147" i="1"/>
  <c r="AS151" i="1"/>
  <c r="AS163" i="1"/>
  <c r="AQ191" i="1"/>
  <c r="E191" i="1" s="1"/>
  <c r="AS207" i="1"/>
  <c r="AT211" i="1"/>
  <c r="AT215" i="1"/>
  <c r="AQ235" i="1"/>
  <c r="E235" i="1" s="1"/>
  <c r="AS243" i="1"/>
  <c r="AT247" i="1"/>
  <c r="AQ299" i="1"/>
  <c r="E299" i="1" s="1"/>
  <c r="AS311" i="1"/>
  <c r="AS331" i="1"/>
  <c r="AU335" i="1"/>
  <c r="AT339" i="1"/>
  <c r="AS343" i="1"/>
  <c r="AS351" i="1"/>
  <c r="AS355" i="1"/>
  <c r="AS371" i="1"/>
  <c r="AS379" i="1"/>
  <c r="AQ383" i="1"/>
  <c r="E383" i="1" s="1"/>
  <c r="AS387" i="1"/>
  <c r="AQ447" i="1"/>
  <c r="E447" i="1" s="1"/>
  <c r="AT459" i="1"/>
  <c r="AS59" i="1"/>
  <c r="AT159" i="1"/>
  <c r="AS459" i="1"/>
  <c r="AT23" i="1"/>
  <c r="AT147" i="1"/>
  <c r="AT151" i="1"/>
  <c r="AT163" i="1"/>
  <c r="AQ199" i="1"/>
  <c r="E199" i="1" s="1"/>
  <c r="AT207" i="1"/>
  <c r="AU215" i="1"/>
  <c r="AT243" i="1"/>
  <c r="AU247" i="1"/>
  <c r="AT311" i="1"/>
  <c r="AT343" i="1"/>
  <c r="AT351" i="1"/>
  <c r="AT355" i="1"/>
  <c r="AT387" i="1"/>
  <c r="AQ79" i="1"/>
  <c r="E79" i="1" s="1"/>
  <c r="AS31" i="1"/>
  <c r="AQ63" i="1"/>
  <c r="E63" i="1" s="1"/>
  <c r="AQ71" i="1"/>
  <c r="E71" i="1" s="1"/>
  <c r="AS83" i="1"/>
  <c r="AQ107" i="1"/>
  <c r="E107" i="1" s="1"/>
  <c r="AQ111" i="1"/>
  <c r="E111" i="1" s="1"/>
  <c r="AU143" i="1"/>
  <c r="AS183" i="1"/>
  <c r="AQ239" i="1"/>
  <c r="E239" i="1" s="1"/>
  <c r="AS255" i="1"/>
  <c r="AQ267" i="1"/>
  <c r="E267" i="1" s="1"/>
  <c r="AS287" i="1"/>
  <c r="AS315" i="1"/>
  <c r="AS319" i="1"/>
  <c r="AS419" i="1"/>
  <c r="AS439" i="1"/>
  <c r="AQ27" i="1"/>
  <c r="E27" i="1" s="1"/>
  <c r="AQ35" i="1"/>
  <c r="E35" i="1" s="1"/>
  <c r="AQ39" i="1"/>
  <c r="E39" i="1" s="1"/>
  <c r="AT83" i="1"/>
  <c r="AS119" i="1"/>
  <c r="AQ135" i="1"/>
  <c r="E135" i="1" s="1"/>
  <c r="AQ159" i="1"/>
  <c r="E159" i="1" s="1"/>
  <c r="AU175" i="1"/>
  <c r="AT183" i="1"/>
  <c r="AU195" i="1"/>
  <c r="AQ215" i="1"/>
  <c r="E215" i="1" s="1"/>
  <c r="AQ231" i="1"/>
  <c r="E231" i="1" s="1"/>
  <c r="AQ247" i="1"/>
  <c r="E247" i="1" s="1"/>
  <c r="AT283" i="1"/>
  <c r="AS303" i="1"/>
  <c r="AS307" i="1"/>
  <c r="AT315" i="1"/>
  <c r="AT319" i="1"/>
  <c r="AQ327" i="1"/>
  <c r="E327" i="1" s="1"/>
  <c r="AQ367" i="1"/>
  <c r="E367" i="1" s="1"/>
  <c r="AS411" i="1"/>
  <c r="AS415" i="1"/>
  <c r="AT419" i="1"/>
  <c r="AT439" i="1"/>
  <c r="AS451" i="1"/>
  <c r="AQ459" i="1"/>
  <c r="E459" i="1" s="1"/>
  <c r="AT35" i="1"/>
  <c r="AQ23" i="1"/>
  <c r="E23" i="1" s="1"/>
  <c r="AQ103" i="1"/>
  <c r="E103" i="1" s="1"/>
  <c r="AQ147" i="1"/>
  <c r="E147" i="1" s="1"/>
  <c r="AQ151" i="1"/>
  <c r="E151" i="1" s="1"/>
  <c r="AQ167" i="1"/>
  <c r="E167" i="1" s="1"/>
  <c r="AQ311" i="1"/>
  <c r="E311" i="1" s="1"/>
  <c r="AQ331" i="1"/>
  <c r="E331" i="1" s="1"/>
  <c r="AQ343" i="1"/>
  <c r="E343" i="1" s="1"/>
  <c r="AQ347" i="1"/>
  <c r="E347" i="1" s="1"/>
  <c r="AQ351" i="1"/>
  <c r="E351" i="1" s="1"/>
  <c r="AQ355" i="1"/>
  <c r="E355" i="1" s="1"/>
  <c r="AQ387" i="1"/>
  <c r="E387" i="1" s="1"/>
  <c r="AS211" i="1"/>
  <c r="AT455" i="1"/>
  <c r="AQ55" i="1"/>
  <c r="E55" i="1" s="1"/>
  <c r="AQ87" i="1"/>
  <c r="E87" i="1" s="1"/>
  <c r="AQ163" i="1"/>
  <c r="E163" i="1" s="1"/>
  <c r="AQ203" i="1"/>
  <c r="E203" i="1" s="1"/>
  <c r="AQ259" i="1"/>
  <c r="E259" i="1" s="1"/>
  <c r="AQ279" i="1"/>
  <c r="E279" i="1" s="1"/>
  <c r="AQ291" i="1"/>
  <c r="E291" i="1" s="1"/>
  <c r="AQ323" i="1"/>
  <c r="E323" i="1" s="1"/>
  <c r="W327" i="1"/>
  <c r="AL327" i="1"/>
  <c r="X335" i="1"/>
  <c r="L335" i="1"/>
  <c r="L339" i="1"/>
  <c r="X339" i="1"/>
  <c r="W367" i="1"/>
  <c r="AL367" i="1"/>
  <c r="AL351" i="1"/>
  <c r="H351" i="1"/>
  <c r="AL355" i="1"/>
  <c r="H355" i="1"/>
  <c r="W363" i="1"/>
  <c r="AL363" i="1"/>
  <c r="X375" i="1"/>
  <c r="AL375" i="1"/>
  <c r="L375" i="1"/>
  <c r="AL335" i="1"/>
  <c r="W335" i="1"/>
  <c r="AL331" i="1"/>
  <c r="X343" i="1"/>
  <c r="L343" i="1"/>
  <c r="AL347" i="1"/>
  <c r="W347" i="1"/>
  <c r="AL359" i="1"/>
  <c r="W359" i="1"/>
  <c r="X347" i="1"/>
  <c r="L347" i="1"/>
  <c r="L359" i="1"/>
  <c r="X359" i="1"/>
  <c r="AL339" i="1"/>
  <c r="W339" i="1"/>
  <c r="AL399" i="1"/>
  <c r="W399" i="1"/>
  <c r="L327" i="1"/>
  <c r="X331" i="1"/>
  <c r="AT331" i="1"/>
  <c r="AS359" i="1"/>
  <c r="AS363" i="1"/>
  <c r="L367" i="1"/>
  <c r="AL383" i="1"/>
  <c r="AT383" i="1"/>
  <c r="AQ395" i="1"/>
  <c r="E395" i="1" s="1"/>
  <c r="AQ411" i="1"/>
  <c r="E411" i="1" s="1"/>
  <c r="AQ431" i="1"/>
  <c r="E431" i="1" s="1"/>
  <c r="AQ443" i="1"/>
  <c r="E443" i="1" s="1"/>
  <c r="AQ463" i="1"/>
  <c r="E463" i="1" s="1"/>
  <c r="AQ475" i="1"/>
  <c r="E475" i="1" s="1"/>
  <c r="AT359" i="1"/>
  <c r="L379" i="1"/>
  <c r="X395" i="1"/>
  <c r="AQ399" i="1"/>
  <c r="E399" i="1" s="1"/>
  <c r="AL435" i="1"/>
  <c r="AL467" i="1"/>
  <c r="AL391" i="1"/>
  <c r="AT327" i="1"/>
  <c r="I355" i="1"/>
  <c r="X363" i="1"/>
  <c r="X371" i="1"/>
  <c r="AT371" i="1"/>
  <c r="I387" i="1"/>
  <c r="AL407" i="1"/>
  <c r="AL423" i="1"/>
  <c r="W427" i="1"/>
  <c r="AL427" i="1"/>
  <c r="AU431" i="1"/>
  <c r="AT431" i="1"/>
  <c r="AS431" i="1"/>
  <c r="L439" i="1"/>
  <c r="AQ439" i="1"/>
  <c r="E439" i="1" s="1"/>
  <c r="AL455" i="1"/>
  <c r="W459" i="1"/>
  <c r="AL459" i="1"/>
  <c r="AU463" i="1"/>
  <c r="AT463" i="1"/>
  <c r="AS463" i="1"/>
  <c r="L471" i="1"/>
  <c r="AQ471" i="1"/>
  <c r="E471" i="1" s="1"/>
  <c r="AL475" i="1"/>
  <c r="X387" i="1"/>
  <c r="L387" i="1"/>
  <c r="AQ363" i="1"/>
  <c r="E363" i="1" s="1"/>
  <c r="AL387" i="1"/>
  <c r="AL395" i="1"/>
  <c r="AU399" i="1"/>
  <c r="AT399" i="1"/>
  <c r="AS399" i="1"/>
  <c r="L407" i="1"/>
  <c r="AQ407" i="1"/>
  <c r="E407" i="1" s="1"/>
  <c r="AL411" i="1"/>
  <c r="AL419" i="1"/>
  <c r="W419" i="1"/>
  <c r="AL451" i="1"/>
  <c r="W451" i="1"/>
  <c r="AL483" i="1"/>
  <c r="W483" i="1"/>
  <c r="AU347" i="1"/>
  <c r="AT347" i="1"/>
  <c r="X419" i="1"/>
  <c r="L419" i="1"/>
  <c r="X423" i="1"/>
  <c r="L443" i="1"/>
  <c r="X451" i="1"/>
  <c r="L451" i="1"/>
  <c r="L475" i="1"/>
  <c r="X483" i="1"/>
  <c r="L483" i="1"/>
  <c r="W343" i="1"/>
  <c r="AT367" i="1"/>
  <c r="AS367" i="1"/>
  <c r="AL415" i="1"/>
  <c r="X431" i="1"/>
  <c r="L431" i="1"/>
  <c r="AT435" i="1"/>
  <c r="AS435" i="1"/>
  <c r="X463" i="1"/>
  <c r="L463" i="1"/>
  <c r="AT467" i="1"/>
  <c r="AS467" i="1"/>
  <c r="AL379" i="1"/>
  <c r="X399" i="1"/>
  <c r="L399" i="1"/>
  <c r="AT403" i="1"/>
  <c r="AS403" i="1"/>
  <c r="L415" i="1"/>
  <c r="X415" i="1"/>
  <c r="AL431" i="1"/>
  <c r="W431" i="1"/>
  <c r="AU435" i="1"/>
  <c r="L447" i="1"/>
  <c r="X447" i="1"/>
  <c r="AL463" i="1"/>
  <c r="W463" i="1"/>
  <c r="AU467" i="1"/>
  <c r="L479" i="1"/>
  <c r="X479" i="1"/>
  <c r="AT415" i="1"/>
  <c r="AT447" i="1"/>
  <c r="AT479" i="1"/>
  <c r="W391" i="1"/>
  <c r="AS391" i="1"/>
  <c r="X403" i="1"/>
  <c r="W423" i="1"/>
  <c r="AS423" i="1"/>
  <c r="X435" i="1"/>
  <c r="W455" i="1"/>
  <c r="AS455" i="1"/>
  <c r="X467" i="1"/>
  <c r="AT379" i="1"/>
  <c r="AT411" i="1"/>
  <c r="AT443" i="1"/>
  <c r="AT475" i="1"/>
  <c r="AU487" i="1"/>
  <c r="AS487" i="1"/>
  <c r="AL487" i="1"/>
  <c r="X267" i="1"/>
  <c r="L267" i="1"/>
  <c r="L263" i="1"/>
  <c r="X263" i="1"/>
  <c r="AL295" i="1"/>
  <c r="AL311" i="1"/>
  <c r="W311" i="1"/>
  <c r="AL315" i="1"/>
  <c r="W315" i="1"/>
  <c r="AL279" i="1"/>
  <c r="W279" i="1"/>
  <c r="AL283" i="1"/>
  <c r="W283" i="1"/>
  <c r="W287" i="1"/>
  <c r="AL287" i="1"/>
  <c r="AL291" i="1"/>
  <c r="W291" i="1"/>
  <c r="X311" i="1"/>
  <c r="L311" i="1"/>
  <c r="L315" i="1"/>
  <c r="X315" i="1"/>
  <c r="W319" i="1"/>
  <c r="AL319" i="1"/>
  <c r="AL323" i="1"/>
  <c r="W323" i="1"/>
  <c r="AL263" i="1"/>
  <c r="X279" i="1"/>
  <c r="L279" i="1"/>
  <c r="L283" i="1"/>
  <c r="X283" i="1"/>
  <c r="X291" i="1"/>
  <c r="L291" i="1"/>
  <c r="X323" i="1"/>
  <c r="L323" i="1"/>
  <c r="AL303" i="1"/>
  <c r="W303" i="1"/>
  <c r="W299" i="1"/>
  <c r="AL299" i="1"/>
  <c r="X303" i="1"/>
  <c r="L303" i="1"/>
  <c r="AL271" i="1"/>
  <c r="W271" i="1"/>
  <c r="X299" i="1"/>
  <c r="L299" i="1"/>
  <c r="W267" i="1"/>
  <c r="AL267" i="1"/>
  <c r="L271" i="1"/>
  <c r="X271" i="1"/>
  <c r="L295" i="1"/>
  <c r="X295" i="1"/>
  <c r="W263" i="1"/>
  <c r="AS263" i="1"/>
  <c r="X275" i="1"/>
  <c r="AT275" i="1"/>
  <c r="W295" i="1"/>
  <c r="AS295" i="1"/>
  <c r="X307" i="1"/>
  <c r="AT307" i="1"/>
  <c r="AT263" i="1"/>
  <c r="AS283" i="1"/>
  <c r="AT295" i="1"/>
  <c r="I279" i="1"/>
  <c r="AT271" i="1"/>
  <c r="AS291" i="1"/>
  <c r="AT303" i="1"/>
  <c r="AS323" i="1"/>
  <c r="AT291" i="1"/>
  <c r="AT323" i="1"/>
  <c r="AL207" i="1"/>
  <c r="W207" i="1"/>
  <c r="L219" i="1"/>
  <c r="X219" i="1"/>
  <c r="L251" i="1"/>
  <c r="X251" i="1"/>
  <c r="X207" i="1"/>
  <c r="L207" i="1"/>
  <c r="AL235" i="1"/>
  <c r="H235" i="1"/>
  <c r="AL259" i="1"/>
  <c r="W259" i="1"/>
  <c r="L199" i="1"/>
  <c r="X199" i="1"/>
  <c r="AL219" i="1"/>
  <c r="AL251" i="1"/>
  <c r="X259" i="1"/>
  <c r="L259" i="1"/>
  <c r="AL227" i="1"/>
  <c r="W227" i="1"/>
  <c r="AL239" i="1"/>
  <c r="W239" i="1"/>
  <c r="X239" i="1"/>
  <c r="L239" i="1"/>
  <c r="AL231" i="1"/>
  <c r="AL203" i="1"/>
  <c r="H203" i="1"/>
  <c r="AL215" i="1"/>
  <c r="W215" i="1"/>
  <c r="AL247" i="1"/>
  <c r="W247" i="1"/>
  <c r="X227" i="1"/>
  <c r="L227" i="1"/>
  <c r="AL255" i="1"/>
  <c r="H255" i="1"/>
  <c r="W199" i="1"/>
  <c r="AS199" i="1"/>
  <c r="I203" i="1"/>
  <c r="W231" i="1"/>
  <c r="AT199" i="1"/>
  <c r="W219" i="1"/>
  <c r="AS219" i="1"/>
  <c r="X231" i="1"/>
  <c r="AT231" i="1"/>
  <c r="W251" i="1"/>
  <c r="AS251" i="1"/>
  <c r="I247" i="1"/>
  <c r="H223" i="1"/>
  <c r="AS231" i="1"/>
  <c r="L203" i="1"/>
  <c r="AT219" i="1"/>
  <c r="L235" i="1"/>
  <c r="AS239" i="1"/>
  <c r="AT251" i="1"/>
  <c r="X211" i="1"/>
  <c r="X243" i="1"/>
  <c r="AS259" i="1"/>
  <c r="AL187" i="1"/>
  <c r="W187" i="1"/>
  <c r="AL175" i="1"/>
  <c r="X175" i="1"/>
  <c r="L175" i="1"/>
  <c r="W191" i="1"/>
  <c r="AL191" i="1"/>
  <c r="AL195" i="1"/>
  <c r="W195" i="1"/>
  <c r="AL143" i="1"/>
  <c r="X143" i="1"/>
  <c r="L143" i="1"/>
  <c r="X139" i="1"/>
  <c r="AL139" i="1"/>
  <c r="L139" i="1"/>
  <c r="W171" i="1"/>
  <c r="AL171" i="1"/>
  <c r="X195" i="1"/>
  <c r="L195" i="1"/>
  <c r="W163" i="1"/>
  <c r="AL155" i="1"/>
  <c r="W155" i="1"/>
  <c r="AL135" i="1"/>
  <c r="W147" i="1"/>
  <c r="AL147" i="1"/>
  <c r="AL151" i="1"/>
  <c r="W151" i="1"/>
  <c r="W159" i="1"/>
  <c r="AL159" i="1"/>
  <c r="L159" i="1"/>
  <c r="X159" i="1"/>
  <c r="L167" i="1"/>
  <c r="X167" i="1"/>
  <c r="W183" i="1"/>
  <c r="W135" i="1"/>
  <c r="AS135" i="1"/>
  <c r="X147" i="1"/>
  <c r="AU159" i="1"/>
  <c r="W167" i="1"/>
  <c r="AS167" i="1"/>
  <c r="X179" i="1"/>
  <c r="AT135" i="1"/>
  <c r="L151" i="1"/>
  <c r="AT167" i="1"/>
  <c r="AL179" i="1"/>
  <c r="L183" i="1"/>
  <c r="AS143" i="1"/>
  <c r="X155" i="1"/>
  <c r="L171" i="1"/>
  <c r="AS175" i="1"/>
  <c r="AH183" i="1"/>
  <c r="AK183" i="1" s="1"/>
  <c r="X187" i="1"/>
  <c r="AT187" i="1"/>
  <c r="AS195" i="1"/>
  <c r="AS139" i="1"/>
  <c r="AS171" i="1"/>
  <c r="X99" i="1"/>
  <c r="L99" i="1"/>
  <c r="X131" i="1"/>
  <c r="L131" i="1"/>
  <c r="AL71" i="1"/>
  <c r="AL99" i="1"/>
  <c r="W99" i="1"/>
  <c r="AL131" i="1"/>
  <c r="W131" i="1"/>
  <c r="AL75" i="1"/>
  <c r="H75" i="1"/>
  <c r="AL79" i="1"/>
  <c r="W79" i="1"/>
  <c r="AL87" i="1"/>
  <c r="W87" i="1"/>
  <c r="L91" i="1"/>
  <c r="X91" i="1"/>
  <c r="AL83" i="1"/>
  <c r="AL91" i="1"/>
  <c r="AL119" i="1"/>
  <c r="W119" i="1"/>
  <c r="L123" i="1"/>
  <c r="X123" i="1"/>
  <c r="W127" i="1"/>
  <c r="AL127" i="1"/>
  <c r="L79" i="1"/>
  <c r="X79" i="1"/>
  <c r="AL107" i="1"/>
  <c r="H107" i="1"/>
  <c r="AL111" i="1"/>
  <c r="W111" i="1"/>
  <c r="X111" i="1"/>
  <c r="L111" i="1"/>
  <c r="W71" i="1"/>
  <c r="X115" i="1"/>
  <c r="X71" i="1"/>
  <c r="AT71" i="1"/>
  <c r="L87" i="1"/>
  <c r="W91" i="1"/>
  <c r="AS91" i="1"/>
  <c r="X103" i="1"/>
  <c r="AT103" i="1"/>
  <c r="L119" i="1"/>
  <c r="W123" i="1"/>
  <c r="AS123" i="1"/>
  <c r="I119" i="1"/>
  <c r="I75" i="1"/>
  <c r="AS103" i="1"/>
  <c r="AU71" i="1"/>
  <c r="AT91" i="1"/>
  <c r="AL103" i="1"/>
  <c r="AT123" i="1"/>
  <c r="X83" i="1"/>
  <c r="AS75" i="1"/>
  <c r="AS107" i="1"/>
  <c r="W63" i="1"/>
  <c r="AL63" i="1"/>
  <c r="AL67" i="1"/>
  <c r="W67" i="1"/>
  <c r="AL59" i="1"/>
  <c r="X67" i="1"/>
  <c r="L67" i="1"/>
  <c r="AL55" i="1"/>
  <c r="W55" i="1"/>
  <c r="X55" i="1"/>
  <c r="L55" i="1"/>
  <c r="I55" i="1"/>
  <c r="X59" i="1"/>
  <c r="AT59" i="1"/>
  <c r="AS67" i="1"/>
  <c r="AT67" i="1"/>
  <c r="AL51" i="1"/>
  <c r="W51" i="1"/>
  <c r="X51" i="1"/>
  <c r="L51" i="1"/>
  <c r="AL39" i="1"/>
  <c r="W39" i="1"/>
  <c r="L43" i="1"/>
  <c r="X43" i="1"/>
  <c r="W47" i="1"/>
  <c r="AL47" i="1"/>
  <c r="L39" i="1"/>
  <c r="W43" i="1"/>
  <c r="AS43" i="1"/>
  <c r="AT43" i="1"/>
  <c r="AS51" i="1"/>
  <c r="AL23" i="1"/>
  <c r="W23" i="1"/>
  <c r="AL31" i="1"/>
  <c r="X35" i="1"/>
  <c r="L35" i="1"/>
  <c r="AL27" i="1"/>
  <c r="W27" i="1"/>
  <c r="AL35" i="1"/>
  <c r="W35" i="1"/>
  <c r="L27" i="1"/>
  <c r="X27" i="1"/>
  <c r="X31" i="1"/>
  <c r="AT31" i="1"/>
  <c r="L23" i="1"/>
  <c r="AS19" i="1"/>
  <c r="AP19" i="1"/>
  <c r="AO19" i="1"/>
  <c r="AN19" i="1"/>
  <c r="AU15" i="1"/>
  <c r="AP15" i="1"/>
  <c r="AO15" i="1"/>
  <c r="AN15" i="1"/>
  <c r="AT11" i="1"/>
  <c r="AP11" i="1"/>
  <c r="AO11" i="1"/>
  <c r="AN11" i="1"/>
  <c r="AU7" i="1"/>
  <c r="AP7" i="1"/>
  <c r="AO7" i="1"/>
  <c r="AN7" i="1"/>
  <c r="AU3" i="1"/>
  <c r="AP3" i="1"/>
  <c r="AO3" i="1"/>
  <c r="AN3" i="1"/>
  <c r="H95" i="1" l="1"/>
  <c r="G94" i="2"/>
  <c r="H163" i="1"/>
  <c r="G162" i="2"/>
  <c r="H183" i="1"/>
  <c r="G182" i="2"/>
  <c r="H443" i="1"/>
  <c r="G442" i="2"/>
  <c r="H371" i="1"/>
  <c r="G370" i="2"/>
  <c r="AV471" i="1"/>
  <c r="G471" i="1" s="1"/>
  <c r="AV115" i="1"/>
  <c r="G115" i="1" s="1"/>
  <c r="AV395" i="1"/>
  <c r="G395" i="1" s="1"/>
  <c r="AV339" i="1"/>
  <c r="G339" i="1" s="1"/>
  <c r="AV55" i="1"/>
  <c r="G55" i="1" s="1"/>
  <c r="AL371" i="1"/>
  <c r="AV159" i="1"/>
  <c r="G159" i="1" s="1"/>
  <c r="AV255" i="1"/>
  <c r="G255" i="1" s="1"/>
  <c r="AV27" i="1"/>
  <c r="G27" i="1" s="1"/>
  <c r="AV407" i="1"/>
  <c r="G407" i="1" s="1"/>
  <c r="AV59" i="1"/>
  <c r="G59" i="1" s="1"/>
  <c r="AV307" i="1"/>
  <c r="G307" i="1" s="1"/>
  <c r="AV363" i="1"/>
  <c r="G363" i="1" s="1"/>
  <c r="AV175" i="1"/>
  <c r="G175" i="1" s="1"/>
  <c r="AV275" i="1"/>
  <c r="G275" i="1" s="1"/>
  <c r="AL95" i="1"/>
  <c r="AV427" i="1"/>
  <c r="G427" i="1" s="1"/>
  <c r="AV51" i="1"/>
  <c r="G51" i="1" s="1"/>
  <c r="AV443" i="1"/>
  <c r="G443" i="1" s="1"/>
  <c r="AV223" i="1"/>
  <c r="G223" i="1" s="1"/>
  <c r="AV95" i="1"/>
  <c r="G95" i="1" s="1"/>
  <c r="AV127" i="1"/>
  <c r="G127" i="1" s="1"/>
  <c r="AV487" i="1"/>
  <c r="G487" i="1" s="1"/>
  <c r="AV447" i="1"/>
  <c r="G447" i="1" s="1"/>
  <c r="AV371" i="1"/>
  <c r="G371" i="1" s="1"/>
  <c r="AV299" i="1"/>
  <c r="G299" i="1" s="1"/>
  <c r="AV279" i="1"/>
  <c r="G279" i="1" s="1"/>
  <c r="AV259" i="1"/>
  <c r="G259" i="1" s="1"/>
  <c r="AV343" i="1"/>
  <c r="G343" i="1" s="1"/>
  <c r="AV119" i="1"/>
  <c r="G119" i="1" s="1"/>
  <c r="AV179" i="1"/>
  <c r="G179" i="1" s="1"/>
  <c r="AV375" i="1"/>
  <c r="G375" i="1" s="1"/>
  <c r="AL443" i="1"/>
  <c r="AV267" i="1"/>
  <c r="G267" i="1" s="1"/>
  <c r="AV191" i="1"/>
  <c r="G191" i="1" s="1"/>
  <c r="AV439" i="1"/>
  <c r="G439" i="1" s="1"/>
  <c r="AV111" i="1"/>
  <c r="G111" i="1" s="1"/>
  <c r="AV475" i="1"/>
  <c r="G475" i="1" s="1"/>
  <c r="AV87" i="1"/>
  <c r="G87" i="1" s="1"/>
  <c r="AV99" i="1"/>
  <c r="G99" i="1" s="1"/>
  <c r="AV227" i="1"/>
  <c r="G227" i="1" s="1"/>
  <c r="AV271" i="1"/>
  <c r="G271" i="1" s="1"/>
  <c r="AV383" i="1"/>
  <c r="G383" i="1" s="1"/>
  <c r="AV195" i="1"/>
  <c r="G195" i="1" s="1"/>
  <c r="AV71" i="1"/>
  <c r="G71" i="1" s="1"/>
  <c r="AV31" i="1"/>
  <c r="G31" i="1" s="1"/>
  <c r="AV47" i="1"/>
  <c r="G47" i="1" s="1"/>
  <c r="AV387" i="1"/>
  <c r="G387" i="1" s="1"/>
  <c r="AV79" i="1"/>
  <c r="G79" i="1" s="1"/>
  <c r="AV43" i="1"/>
  <c r="G43" i="1" s="1"/>
  <c r="AV187" i="1"/>
  <c r="G187" i="1" s="1"/>
  <c r="AV207" i="1"/>
  <c r="G207" i="1" s="1"/>
  <c r="AV35" i="1"/>
  <c r="G35" i="1" s="1"/>
  <c r="AV459" i="1"/>
  <c r="G459" i="1" s="1"/>
  <c r="AV479" i="1"/>
  <c r="G479" i="1" s="1"/>
  <c r="AV203" i="1"/>
  <c r="G203" i="1" s="1"/>
  <c r="AV107" i="1"/>
  <c r="G107" i="1" s="1"/>
  <c r="AV355" i="1"/>
  <c r="G355" i="1" s="1"/>
  <c r="AV419" i="1"/>
  <c r="G419" i="1" s="1"/>
  <c r="AV151" i="1"/>
  <c r="G151" i="1" s="1"/>
  <c r="AV483" i="1"/>
  <c r="G483" i="1" s="1"/>
  <c r="AV243" i="1"/>
  <c r="G243" i="1" s="1"/>
  <c r="AV303" i="1"/>
  <c r="G303" i="1" s="1"/>
  <c r="AV63" i="1"/>
  <c r="G63" i="1" s="1"/>
  <c r="AV155" i="1"/>
  <c r="G155" i="1" s="1"/>
  <c r="AV39" i="1"/>
  <c r="G39" i="1" s="1"/>
  <c r="AV131" i="1"/>
  <c r="G131" i="1" s="1"/>
  <c r="AV423" i="1"/>
  <c r="G423" i="1" s="1"/>
  <c r="AL163" i="1"/>
  <c r="AV435" i="1"/>
  <c r="G435" i="1" s="1"/>
  <c r="AV211" i="1"/>
  <c r="G211" i="1" s="1"/>
  <c r="AV315" i="1"/>
  <c r="G315" i="1" s="1"/>
  <c r="AV319" i="1"/>
  <c r="G319" i="1" s="1"/>
  <c r="AV103" i="1"/>
  <c r="G103" i="1" s="1"/>
  <c r="AV239" i="1"/>
  <c r="G239" i="1" s="1"/>
  <c r="AV199" i="1"/>
  <c r="G199" i="1" s="1"/>
  <c r="AV287" i="1"/>
  <c r="G287" i="1" s="1"/>
  <c r="AV247" i="1"/>
  <c r="G247" i="1" s="1"/>
  <c r="AV75" i="1"/>
  <c r="G75" i="1" s="1"/>
  <c r="AV171" i="1"/>
  <c r="G171" i="1" s="1"/>
  <c r="AV451" i="1"/>
  <c r="G451" i="1" s="1"/>
  <c r="AV391" i="1"/>
  <c r="G391" i="1" s="1"/>
  <c r="AV139" i="1"/>
  <c r="G139" i="1" s="1"/>
  <c r="AV215" i="1"/>
  <c r="G215" i="1" s="1"/>
  <c r="AV367" i="1"/>
  <c r="G367" i="1" s="1"/>
  <c r="AV335" i="1"/>
  <c r="G335" i="1" s="1"/>
  <c r="AV327" i="1"/>
  <c r="G327" i="1" s="1"/>
  <c r="AV143" i="1"/>
  <c r="G143" i="1" s="1"/>
  <c r="AV163" i="1"/>
  <c r="G163" i="1" s="1"/>
  <c r="AV415" i="1"/>
  <c r="G415" i="1" s="1"/>
  <c r="AV67" i="1"/>
  <c r="G67" i="1" s="1"/>
  <c r="AV347" i="1"/>
  <c r="G347" i="1" s="1"/>
  <c r="AV83" i="1"/>
  <c r="G83" i="1" s="1"/>
  <c r="AV411" i="1"/>
  <c r="G411" i="1" s="1"/>
  <c r="AV351" i="1"/>
  <c r="G351" i="1" s="1"/>
  <c r="AV311" i="1"/>
  <c r="G311" i="1" s="1"/>
  <c r="AV123" i="1"/>
  <c r="G123" i="1" s="1"/>
  <c r="AV379" i="1"/>
  <c r="G379" i="1" s="1"/>
  <c r="AV455" i="1"/>
  <c r="G455" i="1" s="1"/>
  <c r="AV331" i="1"/>
  <c r="G331" i="1" s="1"/>
  <c r="AV147" i="1"/>
  <c r="G147" i="1" s="1"/>
  <c r="AV23" i="1"/>
  <c r="G23" i="1" s="1"/>
  <c r="AV135" i="1"/>
  <c r="G135" i="1" s="1"/>
  <c r="AV251" i="1"/>
  <c r="G251" i="1" s="1"/>
  <c r="AV283" i="1"/>
  <c r="G283" i="1" s="1"/>
  <c r="AV263" i="1"/>
  <c r="G263" i="1" s="1"/>
  <c r="AV183" i="1"/>
  <c r="G183" i="1" s="1"/>
  <c r="AV399" i="1"/>
  <c r="G399" i="1" s="1"/>
  <c r="AV467" i="1"/>
  <c r="G467" i="1" s="1"/>
  <c r="AV463" i="1"/>
  <c r="G463" i="1" s="1"/>
  <c r="AV431" i="1"/>
  <c r="G431" i="1" s="1"/>
  <c r="AV359" i="1"/>
  <c r="G359" i="1" s="1"/>
  <c r="AV403" i="1"/>
  <c r="G403" i="1" s="1"/>
  <c r="AV323" i="1"/>
  <c r="G323" i="1" s="1"/>
  <c r="AV291" i="1"/>
  <c r="G291" i="1" s="1"/>
  <c r="AV295" i="1"/>
  <c r="G295" i="1" s="1"/>
  <c r="AV219" i="1"/>
  <c r="G219" i="1" s="1"/>
  <c r="AV231" i="1"/>
  <c r="G231" i="1" s="1"/>
  <c r="AL183" i="1"/>
  <c r="AV167" i="1"/>
  <c r="G167" i="1" s="1"/>
  <c r="AV91" i="1"/>
  <c r="G91" i="1" s="1"/>
  <c r="AQ7" i="1"/>
  <c r="E7" i="1" s="1"/>
  <c r="AQ15" i="1"/>
  <c r="E15" i="1" s="1"/>
  <c r="AQ3" i="1"/>
  <c r="E3" i="1" s="1"/>
  <c r="AQ11" i="1"/>
  <c r="E11" i="1" s="1"/>
  <c r="AQ19" i="1"/>
  <c r="E19" i="1" s="1"/>
  <c r="AT19" i="1"/>
  <c r="AU19" i="1"/>
  <c r="AS15" i="1"/>
  <c r="AT15" i="1"/>
  <c r="AU11" i="1"/>
  <c r="AS7" i="1"/>
  <c r="AT7" i="1"/>
  <c r="AS11" i="1"/>
  <c r="AS3" i="1"/>
  <c r="AT3" i="1"/>
  <c r="AV19" i="1" l="1"/>
  <c r="G19" i="1" s="1"/>
  <c r="AV15" i="1"/>
  <c r="G15" i="1" s="1"/>
  <c r="AV11" i="1"/>
  <c r="G11" i="1" s="1"/>
  <c r="AV3" i="1"/>
  <c r="G3" i="1" s="1"/>
  <c r="AV7" i="1"/>
  <c r="G7" i="1" s="1"/>
  <c r="B2" i="2" l="1"/>
  <c r="C2" i="2"/>
  <c r="C3" i="2" s="1"/>
  <c r="C4" i="2" s="1"/>
  <c r="C5" i="2" s="1"/>
  <c r="D2" i="2"/>
  <c r="D3" i="2" s="1"/>
  <c r="D4" i="2" s="1"/>
  <c r="D5" i="2" s="1"/>
  <c r="J2" i="2"/>
  <c r="J3" i="2" s="1"/>
  <c r="K2" i="2"/>
  <c r="K3" i="2" s="1"/>
  <c r="K4" i="2" s="1"/>
  <c r="K5" i="2" s="1"/>
  <c r="L2" i="2"/>
  <c r="L3" i="2" s="1"/>
  <c r="L4" i="2" s="1"/>
  <c r="L5" i="2" s="1"/>
  <c r="M2" i="2"/>
  <c r="M3" i="2" s="1"/>
  <c r="M4" i="2" s="1"/>
  <c r="M5" i="2" s="1"/>
  <c r="B3" i="2"/>
  <c r="B4" i="2"/>
  <c r="B5" i="2" s="1"/>
  <c r="J4" i="2"/>
  <c r="G5" i="2"/>
  <c r="J5" i="2"/>
  <c r="B6" i="2"/>
  <c r="C6" i="2"/>
  <c r="C7" i="2" s="1"/>
  <c r="C8" i="2" s="1"/>
  <c r="C9" i="2" s="1"/>
  <c r="D6" i="2"/>
  <c r="D7" i="2" s="1"/>
  <c r="D8" i="2" s="1"/>
  <c r="D9" i="2" s="1"/>
  <c r="J6" i="2"/>
  <c r="J7" i="2" s="1"/>
  <c r="L6" i="2"/>
  <c r="L7" i="2" s="1"/>
  <c r="L8" i="2" s="1"/>
  <c r="L9" i="2" s="1"/>
  <c r="M6" i="2"/>
  <c r="M7" i="2" s="1"/>
  <c r="M8" i="2" s="1"/>
  <c r="M9" i="2" s="1"/>
  <c r="B7" i="2"/>
  <c r="J8" i="2"/>
  <c r="G9" i="2"/>
  <c r="J9" i="2"/>
  <c r="A2" i="2" l="1"/>
  <c r="A6" i="2" s="1"/>
  <c r="A10" i="2" s="1"/>
  <c r="A14" i="2" s="1"/>
  <c r="A18" i="2" s="1"/>
  <c r="A22" i="2" s="1"/>
  <c r="A26" i="2" s="1"/>
  <c r="A30" i="2" s="1"/>
  <c r="A34" i="2" s="1"/>
  <c r="A38" i="2" s="1"/>
  <c r="A42" i="2" s="1"/>
  <c r="A46" i="2" s="1"/>
  <c r="A50" i="2" s="1"/>
  <c r="A54" i="2" s="1"/>
  <c r="A58" i="2" s="1"/>
  <c r="A62" i="2" s="1"/>
  <c r="A66" i="2" s="1"/>
  <c r="A70" i="2" s="1"/>
  <c r="A74" i="2" s="1"/>
  <c r="A78" i="2" s="1"/>
  <c r="A82" i="2" s="1"/>
  <c r="A86" i="2" s="1"/>
  <c r="A90" i="2" s="1"/>
  <c r="A94" i="2" s="1"/>
  <c r="A98" i="2" s="1"/>
  <c r="A102" i="2" s="1"/>
  <c r="A106" i="2" s="1"/>
  <c r="A110" i="2" s="1"/>
  <c r="A114" i="2" s="1"/>
  <c r="A118" i="2" s="1"/>
  <c r="A122" i="2" s="1"/>
  <c r="A126" i="2" s="1"/>
  <c r="A130" i="2" s="1"/>
  <c r="A134" i="2" s="1"/>
  <c r="A138" i="2" s="1"/>
  <c r="A142" i="2" s="1"/>
  <c r="A146" i="2" s="1"/>
  <c r="A150" i="2" s="1"/>
  <c r="A154" i="2" s="1"/>
  <c r="A158" i="2" s="1"/>
  <c r="A162" i="2" s="1"/>
  <c r="A166" i="2" s="1"/>
  <c r="A170" i="2" s="1"/>
  <c r="A174" i="2" s="1"/>
  <c r="A178" i="2" s="1"/>
  <c r="A182" i="2" s="1"/>
  <c r="A186" i="2" s="1"/>
  <c r="A190" i="2" s="1"/>
  <c r="A194" i="2" s="1"/>
  <c r="A198" i="2" s="1"/>
  <c r="A202" i="2" s="1"/>
  <c r="A206" i="2" s="1"/>
  <c r="A210" i="2" s="1"/>
  <c r="A214" i="2" s="1"/>
  <c r="A218" i="2" s="1"/>
  <c r="A222" i="2" s="1"/>
  <c r="A226" i="2" s="1"/>
  <c r="A230" i="2" s="1"/>
  <c r="A234" i="2" s="1"/>
  <c r="A238" i="2" s="1"/>
  <c r="A242" i="2" s="1"/>
  <c r="A246" i="2" s="1"/>
  <c r="A250" i="2" s="1"/>
  <c r="A254" i="2" s="1"/>
  <c r="A258" i="2" s="1"/>
  <c r="A262" i="2" s="1"/>
  <c r="A266" i="2" s="1"/>
  <c r="A270" i="2" s="1"/>
  <c r="A274" i="2" s="1"/>
  <c r="A278" i="2" s="1"/>
  <c r="A282" i="2" s="1"/>
  <c r="A286" i="2" s="1"/>
  <c r="A290" i="2" s="1"/>
  <c r="A294" i="2" s="1"/>
  <c r="A298" i="2" s="1"/>
  <c r="A302" i="2" s="1"/>
  <c r="A306" i="2" s="1"/>
  <c r="A310" i="2" s="1"/>
  <c r="A314" i="2" s="1"/>
  <c r="A318" i="2" s="1"/>
  <c r="A322" i="2" s="1"/>
  <c r="A326" i="2" s="1"/>
  <c r="A330" i="2" s="1"/>
  <c r="A334" i="2" s="1"/>
  <c r="A338" i="2" s="1"/>
  <c r="A342" i="2" s="1"/>
  <c r="A346" i="2" s="1"/>
  <c r="A350" i="2" s="1"/>
  <c r="A354" i="2" s="1"/>
  <c r="A358" i="2" s="1"/>
  <c r="A362" i="2" s="1"/>
  <c r="A366" i="2" s="1"/>
  <c r="A370" i="2" s="1"/>
  <c r="A374" i="2" s="1"/>
  <c r="A378" i="2" s="1"/>
  <c r="A382" i="2" s="1"/>
  <c r="A386" i="2" s="1"/>
  <c r="A390" i="2" s="1"/>
  <c r="A394" i="2" s="1"/>
  <c r="A398" i="2" s="1"/>
  <c r="A402" i="2" s="1"/>
  <c r="A406" i="2" s="1"/>
  <c r="A410" i="2" s="1"/>
  <c r="A414" i="2" s="1"/>
  <c r="A418" i="2" s="1"/>
  <c r="A422" i="2" s="1"/>
  <c r="A426" i="2" s="1"/>
  <c r="A430" i="2" s="1"/>
  <c r="A434" i="2" s="1"/>
  <c r="A438" i="2" s="1"/>
  <c r="A442" i="2" s="1"/>
  <c r="A446" i="2" s="1"/>
  <c r="A450" i="2" s="1"/>
  <c r="A454" i="2" s="1"/>
  <c r="A458" i="2" s="1"/>
  <c r="A462" i="2" s="1"/>
  <c r="A466" i="2" s="1"/>
  <c r="A470" i="2" s="1"/>
  <c r="A474" i="2" s="1"/>
  <c r="A478" i="2" s="1"/>
  <c r="A482" i="2" s="1"/>
  <c r="A486" i="2" s="1"/>
  <c r="A4" i="2" l="1"/>
  <c r="A5" i="2" s="1"/>
  <c r="A9" i="2" s="1"/>
  <c r="A13" i="2" s="1"/>
  <c r="A17" i="2" s="1"/>
  <c r="A21" i="2" s="1"/>
  <c r="A25" i="2" s="1"/>
  <c r="A29" i="2" s="1"/>
  <c r="A33" i="2" s="1"/>
  <c r="A37" i="2" s="1"/>
  <c r="A41" i="2" s="1"/>
  <c r="A45" i="2" s="1"/>
  <c r="A49" i="2" s="1"/>
  <c r="A53" i="2" s="1"/>
  <c r="A57" i="2" s="1"/>
  <c r="A61" i="2" s="1"/>
  <c r="A65" i="2" s="1"/>
  <c r="A69" i="2" s="1"/>
  <c r="A73" i="2" s="1"/>
  <c r="A77" i="2" s="1"/>
  <c r="A81" i="2" s="1"/>
  <c r="A85" i="2" s="1"/>
  <c r="A89" i="2" s="1"/>
  <c r="A93" i="2" s="1"/>
  <c r="A97" i="2" s="1"/>
  <c r="A101" i="2" s="1"/>
  <c r="A105" i="2" s="1"/>
  <c r="A109" i="2" s="1"/>
  <c r="A113" i="2" s="1"/>
  <c r="A117" i="2" s="1"/>
  <c r="A121" i="2" s="1"/>
  <c r="A125" i="2" s="1"/>
  <c r="A129" i="2" s="1"/>
  <c r="A133" i="2" s="1"/>
  <c r="A137" i="2" s="1"/>
  <c r="A141" i="2" s="1"/>
  <c r="A145" i="2" s="1"/>
  <c r="A149" i="2" s="1"/>
  <c r="A153" i="2" s="1"/>
  <c r="A157" i="2" s="1"/>
  <c r="A161" i="2" s="1"/>
  <c r="A165" i="2" s="1"/>
  <c r="A169" i="2" s="1"/>
  <c r="A173" i="2" s="1"/>
  <c r="A177" i="2" s="1"/>
  <c r="A181" i="2" s="1"/>
  <c r="A185" i="2" s="1"/>
  <c r="A189" i="2" s="1"/>
  <c r="A193" i="2" s="1"/>
  <c r="A197" i="2" s="1"/>
  <c r="A201" i="2" s="1"/>
  <c r="A205" i="2" s="1"/>
  <c r="A209" i="2" s="1"/>
  <c r="A213" i="2" s="1"/>
  <c r="A217" i="2" s="1"/>
  <c r="A221" i="2" s="1"/>
  <c r="A225" i="2" s="1"/>
  <c r="A229" i="2" s="1"/>
  <c r="A233" i="2" s="1"/>
  <c r="A237" i="2" s="1"/>
  <c r="A241" i="2" s="1"/>
  <c r="A245" i="2" s="1"/>
  <c r="A249" i="2" s="1"/>
  <c r="A253" i="2" s="1"/>
  <c r="A257" i="2" s="1"/>
  <c r="A261" i="2" s="1"/>
  <c r="A265" i="2" s="1"/>
  <c r="A269" i="2" s="1"/>
  <c r="A273" i="2" s="1"/>
  <c r="A277" i="2" s="1"/>
  <c r="A281" i="2" s="1"/>
  <c r="A285" i="2" s="1"/>
  <c r="A289" i="2" s="1"/>
  <c r="A293" i="2" s="1"/>
  <c r="A297" i="2" s="1"/>
  <c r="A301" i="2" s="1"/>
  <c r="A305" i="2" s="1"/>
  <c r="A309" i="2" s="1"/>
  <c r="A313" i="2" s="1"/>
  <c r="A317" i="2" s="1"/>
  <c r="A321" i="2" s="1"/>
  <c r="A325" i="2" s="1"/>
  <c r="A329" i="2" s="1"/>
  <c r="A333" i="2" s="1"/>
  <c r="A337" i="2" s="1"/>
  <c r="A341" i="2" s="1"/>
  <c r="A345" i="2" s="1"/>
  <c r="A349" i="2" s="1"/>
  <c r="A353" i="2" s="1"/>
  <c r="A357" i="2" s="1"/>
  <c r="A361" i="2" s="1"/>
  <c r="A365" i="2" s="1"/>
  <c r="A369" i="2" s="1"/>
  <c r="A373" i="2" s="1"/>
  <c r="A377" i="2" s="1"/>
  <c r="A381" i="2" s="1"/>
  <c r="A385" i="2" s="1"/>
  <c r="A389" i="2" s="1"/>
  <c r="A393" i="2" s="1"/>
  <c r="A397" i="2" s="1"/>
  <c r="A401" i="2" s="1"/>
  <c r="A405" i="2" s="1"/>
  <c r="A409" i="2" s="1"/>
  <c r="A413" i="2" s="1"/>
  <c r="A417" i="2" s="1"/>
  <c r="A421" i="2" s="1"/>
  <c r="A425" i="2" s="1"/>
  <c r="A429" i="2" s="1"/>
  <c r="A433" i="2" s="1"/>
  <c r="A437" i="2" s="1"/>
  <c r="A441" i="2" s="1"/>
  <c r="A445" i="2" s="1"/>
  <c r="A449" i="2" s="1"/>
  <c r="A453" i="2" s="1"/>
  <c r="A457" i="2" s="1"/>
  <c r="A461" i="2" s="1"/>
  <c r="A465" i="2" s="1"/>
  <c r="A469" i="2" s="1"/>
  <c r="A473" i="2" s="1"/>
  <c r="A477" i="2" s="1"/>
  <c r="A481" i="2" s="1"/>
  <c r="A485" i="2" s="1"/>
  <c r="A489" i="2" s="1"/>
  <c r="A3" i="2"/>
  <c r="A7" i="2" s="1"/>
  <c r="A11" i="2" s="1"/>
  <c r="A15" i="2" s="1"/>
  <c r="A19" i="2" s="1"/>
  <c r="A23" i="2" s="1"/>
  <c r="A27" i="2" s="1"/>
  <c r="A31" i="2" s="1"/>
  <c r="A35" i="2" s="1"/>
  <c r="A39" i="2" s="1"/>
  <c r="A43" i="2" s="1"/>
  <c r="A47" i="2" s="1"/>
  <c r="A51" i="2" s="1"/>
  <c r="A55" i="2" s="1"/>
  <c r="A59" i="2" s="1"/>
  <c r="A63" i="2" s="1"/>
  <c r="A67" i="2" s="1"/>
  <c r="A71" i="2" s="1"/>
  <c r="A75" i="2" s="1"/>
  <c r="A79" i="2" s="1"/>
  <c r="A83" i="2" s="1"/>
  <c r="A87" i="2" s="1"/>
  <c r="A91" i="2" s="1"/>
  <c r="A95" i="2" s="1"/>
  <c r="A99" i="2" s="1"/>
  <c r="A103" i="2" s="1"/>
  <c r="A107" i="2" s="1"/>
  <c r="A111" i="2" s="1"/>
  <c r="A115" i="2" s="1"/>
  <c r="A119" i="2" s="1"/>
  <c r="A123" i="2" s="1"/>
  <c r="A127" i="2" s="1"/>
  <c r="A131" i="2" s="1"/>
  <c r="A135" i="2" s="1"/>
  <c r="A139" i="2" s="1"/>
  <c r="A143" i="2" s="1"/>
  <c r="A147" i="2" s="1"/>
  <c r="A151" i="2" s="1"/>
  <c r="A155" i="2" s="1"/>
  <c r="A159" i="2" s="1"/>
  <c r="A163" i="2" s="1"/>
  <c r="A167" i="2" s="1"/>
  <c r="A171" i="2" s="1"/>
  <c r="A175" i="2" s="1"/>
  <c r="A179" i="2" s="1"/>
  <c r="A183" i="2" s="1"/>
  <c r="A187" i="2" s="1"/>
  <c r="A191" i="2" s="1"/>
  <c r="A195" i="2" s="1"/>
  <c r="A199" i="2" s="1"/>
  <c r="A203" i="2" s="1"/>
  <c r="A207" i="2" s="1"/>
  <c r="A211" i="2" s="1"/>
  <c r="A215" i="2" s="1"/>
  <c r="A219" i="2" s="1"/>
  <c r="A223" i="2" s="1"/>
  <c r="A227" i="2" s="1"/>
  <c r="A231" i="2" s="1"/>
  <c r="A235" i="2" s="1"/>
  <c r="A239" i="2" s="1"/>
  <c r="A243" i="2" s="1"/>
  <c r="A247" i="2" s="1"/>
  <c r="A251" i="2" s="1"/>
  <c r="A255" i="2" s="1"/>
  <c r="A259" i="2" s="1"/>
  <c r="A263" i="2" s="1"/>
  <c r="A267" i="2" s="1"/>
  <c r="A271" i="2" s="1"/>
  <c r="A275" i="2" s="1"/>
  <c r="A279" i="2" s="1"/>
  <c r="A283" i="2" s="1"/>
  <c r="A287" i="2" s="1"/>
  <c r="A291" i="2" s="1"/>
  <c r="A295" i="2" s="1"/>
  <c r="A299" i="2" s="1"/>
  <c r="A303" i="2" s="1"/>
  <c r="A307" i="2" s="1"/>
  <c r="A311" i="2" s="1"/>
  <c r="A315" i="2" s="1"/>
  <c r="A319" i="2" s="1"/>
  <c r="A323" i="2" s="1"/>
  <c r="A327" i="2" s="1"/>
  <c r="A331" i="2" s="1"/>
  <c r="A335" i="2" s="1"/>
  <c r="A339" i="2" s="1"/>
  <c r="A343" i="2" s="1"/>
  <c r="A347" i="2" s="1"/>
  <c r="A351" i="2" s="1"/>
  <c r="A355" i="2" s="1"/>
  <c r="A359" i="2" s="1"/>
  <c r="A363" i="2" s="1"/>
  <c r="A367" i="2" s="1"/>
  <c r="A371" i="2" s="1"/>
  <c r="A375" i="2" s="1"/>
  <c r="A379" i="2" s="1"/>
  <c r="A383" i="2" s="1"/>
  <c r="A387" i="2" s="1"/>
  <c r="A391" i="2" s="1"/>
  <c r="A395" i="2" s="1"/>
  <c r="A399" i="2" s="1"/>
  <c r="A403" i="2" s="1"/>
  <c r="A407" i="2" s="1"/>
  <c r="A411" i="2" s="1"/>
  <c r="A415" i="2" s="1"/>
  <c r="A419" i="2" s="1"/>
  <c r="A423" i="2" s="1"/>
  <c r="A427" i="2" s="1"/>
  <c r="A431" i="2" s="1"/>
  <c r="A435" i="2" s="1"/>
  <c r="A439" i="2" s="1"/>
  <c r="A443" i="2" s="1"/>
  <c r="A447" i="2" s="1"/>
  <c r="A451" i="2" s="1"/>
  <c r="A455" i="2" s="1"/>
  <c r="A459" i="2" s="1"/>
  <c r="A463" i="2" s="1"/>
  <c r="A467" i="2" s="1"/>
  <c r="A471" i="2" s="1"/>
  <c r="A475" i="2" s="1"/>
  <c r="A479" i="2" s="1"/>
  <c r="A483" i="2" s="1"/>
  <c r="A487" i="2" s="1"/>
  <c r="A8" i="2" l="1"/>
  <c r="A12" i="2" s="1"/>
  <c r="A16" i="2" s="1"/>
  <c r="A20" i="2" s="1"/>
  <c r="A24" i="2" s="1"/>
  <c r="A28" i="2" s="1"/>
  <c r="A32" i="2" s="1"/>
  <c r="A36" i="2" s="1"/>
  <c r="A40" i="2" s="1"/>
  <c r="A44" i="2" s="1"/>
  <c r="A48" i="2" s="1"/>
  <c r="A52" i="2" s="1"/>
  <c r="A56" i="2" s="1"/>
  <c r="A60" i="2" s="1"/>
  <c r="A64" i="2" s="1"/>
  <c r="A68" i="2" s="1"/>
  <c r="A72" i="2" s="1"/>
  <c r="A76" i="2" s="1"/>
  <c r="A80" i="2" s="1"/>
  <c r="A84" i="2" s="1"/>
  <c r="A88" i="2" s="1"/>
  <c r="A92" i="2" s="1"/>
  <c r="A96" i="2" s="1"/>
  <c r="A100" i="2" s="1"/>
  <c r="A104" i="2" s="1"/>
  <c r="A108" i="2" s="1"/>
  <c r="A112" i="2" s="1"/>
  <c r="A116" i="2" s="1"/>
  <c r="A120" i="2" s="1"/>
  <c r="A124" i="2" s="1"/>
  <c r="A128" i="2" s="1"/>
  <c r="A132" i="2" s="1"/>
  <c r="A136" i="2" s="1"/>
  <c r="A140" i="2" s="1"/>
  <c r="A144" i="2" s="1"/>
  <c r="A148" i="2" s="1"/>
  <c r="A152" i="2" s="1"/>
  <c r="A156" i="2" s="1"/>
  <c r="A160" i="2" s="1"/>
  <c r="A164" i="2" s="1"/>
  <c r="A168" i="2" s="1"/>
  <c r="A172" i="2" s="1"/>
  <c r="A176" i="2" s="1"/>
  <c r="A180" i="2" s="1"/>
  <c r="A184" i="2" s="1"/>
  <c r="A188" i="2" s="1"/>
  <c r="A192" i="2" s="1"/>
  <c r="A196" i="2" s="1"/>
  <c r="A200" i="2" s="1"/>
  <c r="A204" i="2" s="1"/>
  <c r="A208" i="2" s="1"/>
  <c r="A212" i="2" s="1"/>
  <c r="A216" i="2" s="1"/>
  <c r="A220" i="2" s="1"/>
  <c r="A224" i="2" s="1"/>
  <c r="A228" i="2" s="1"/>
  <c r="A232" i="2" s="1"/>
  <c r="A236" i="2" s="1"/>
  <c r="A240" i="2" s="1"/>
  <c r="A244" i="2" s="1"/>
  <c r="A248" i="2" s="1"/>
  <c r="A252" i="2" s="1"/>
  <c r="A256" i="2" s="1"/>
  <c r="A260" i="2" s="1"/>
  <c r="A264" i="2" s="1"/>
  <c r="A268" i="2" s="1"/>
  <c r="A272" i="2" s="1"/>
  <c r="A276" i="2" s="1"/>
  <c r="A280" i="2" s="1"/>
  <c r="A284" i="2" s="1"/>
  <c r="A288" i="2" s="1"/>
  <c r="A292" i="2" s="1"/>
  <c r="A296" i="2" s="1"/>
  <c r="A300" i="2" s="1"/>
  <c r="A304" i="2" s="1"/>
  <c r="A308" i="2" s="1"/>
  <c r="A312" i="2" s="1"/>
  <c r="A316" i="2" s="1"/>
  <c r="A320" i="2" s="1"/>
  <c r="A324" i="2" s="1"/>
  <c r="A328" i="2" s="1"/>
  <c r="A332" i="2" s="1"/>
  <c r="A336" i="2" s="1"/>
  <c r="A340" i="2" s="1"/>
  <c r="A344" i="2" s="1"/>
  <c r="A348" i="2" s="1"/>
  <c r="A352" i="2" s="1"/>
  <c r="A356" i="2" s="1"/>
  <c r="A360" i="2" s="1"/>
  <c r="A364" i="2" s="1"/>
  <c r="A368" i="2" s="1"/>
  <c r="A372" i="2" s="1"/>
  <c r="A376" i="2" s="1"/>
  <c r="A380" i="2" s="1"/>
  <c r="A384" i="2" s="1"/>
  <c r="A388" i="2" s="1"/>
  <c r="A392" i="2" s="1"/>
  <c r="A396" i="2" s="1"/>
  <c r="A400" i="2" s="1"/>
  <c r="A404" i="2" s="1"/>
  <c r="A408" i="2" s="1"/>
  <c r="A412" i="2" s="1"/>
  <c r="A416" i="2" s="1"/>
  <c r="A420" i="2" s="1"/>
  <c r="A424" i="2" s="1"/>
  <c r="A428" i="2" s="1"/>
  <c r="A432" i="2" s="1"/>
  <c r="A436" i="2" s="1"/>
  <c r="A440" i="2" s="1"/>
  <c r="A444" i="2" s="1"/>
  <c r="A448" i="2" s="1"/>
  <c r="A452" i="2" s="1"/>
  <c r="A456" i="2" s="1"/>
  <c r="A460" i="2" s="1"/>
  <c r="A464" i="2" s="1"/>
  <c r="A468" i="2" s="1"/>
  <c r="A472" i="2" s="1"/>
  <c r="A476" i="2" s="1"/>
  <c r="A480" i="2" s="1"/>
  <c r="A484" i="2" s="1"/>
  <c r="A488" i="2" s="1"/>
  <c r="B8" i="2" l="1"/>
  <c r="B9" i="2" s="1"/>
  <c r="K19" i="1"/>
  <c r="K15" i="1"/>
  <c r="K11" i="1"/>
  <c r="E6" i="2"/>
  <c r="E7" i="2" s="1"/>
  <c r="E8" i="2" s="1"/>
  <c r="E9" i="2" s="1"/>
  <c r="K7" i="1"/>
  <c r="E2" i="2"/>
  <c r="E3" i="2" s="1"/>
  <c r="E4" i="2" s="1"/>
  <c r="E5" i="2" s="1"/>
  <c r="K3" i="1"/>
  <c r="AG19" i="1" l="1"/>
  <c r="AJ19" i="1" s="1"/>
  <c r="G19" i="2" s="1"/>
  <c r="AF19" i="1"/>
  <c r="AI19" i="1" s="1"/>
  <c r="G20" i="2" s="1"/>
  <c r="AG15" i="1"/>
  <c r="AJ15" i="1" s="1"/>
  <c r="G15" i="2" s="1"/>
  <c r="AF15" i="1"/>
  <c r="AI15" i="1" s="1"/>
  <c r="G16" i="2" s="1"/>
  <c r="AG11" i="1"/>
  <c r="AJ11" i="1" s="1"/>
  <c r="G11" i="2" s="1"/>
  <c r="AF11" i="1"/>
  <c r="AI11" i="1" s="1"/>
  <c r="G12" i="2" s="1"/>
  <c r="AG7" i="1"/>
  <c r="AJ7" i="1" s="1"/>
  <c r="G7" i="2" s="1"/>
  <c r="AF7" i="1"/>
  <c r="AI7" i="1" s="1"/>
  <c r="AG3" i="1"/>
  <c r="AJ3" i="1" s="1"/>
  <c r="G3" i="2" s="1"/>
  <c r="AF3" i="1"/>
  <c r="AI3" i="1" s="1"/>
  <c r="G8" i="2" l="1"/>
  <c r="G4" i="2"/>
  <c r="K6" i="2"/>
  <c r="K7" i="2" s="1"/>
  <c r="K8" i="2" s="1"/>
  <c r="K9" i="2" s="1"/>
  <c r="Z3" i="1"/>
  <c r="X3" i="1"/>
  <c r="L3" i="1"/>
  <c r="X15" i="1"/>
  <c r="L15" i="1"/>
  <c r="X19" i="1"/>
  <c r="L19" i="1"/>
  <c r="X7" i="1"/>
  <c r="L7" i="1"/>
  <c r="L11" i="1"/>
  <c r="X11" i="1"/>
  <c r="W19" i="1"/>
  <c r="W15" i="1"/>
  <c r="W11" i="1"/>
  <c r="W7" i="1"/>
  <c r="W3" i="1"/>
  <c r="Z7" i="1" l="1"/>
  <c r="AD3" i="1"/>
  <c r="A7" i="1"/>
  <c r="A11" i="1" s="1"/>
  <c r="A15" i="1" s="1"/>
  <c r="A19" i="1" s="1"/>
  <c r="A23" i="1" s="1"/>
  <c r="A27" i="1" s="1"/>
  <c r="A31" i="1" s="1"/>
  <c r="A35" i="1" s="1"/>
  <c r="A39" i="1" s="1"/>
  <c r="A43" i="1" s="1"/>
  <c r="A47" i="1" s="1"/>
  <c r="A51" i="1" s="1"/>
  <c r="A55" i="1" s="1"/>
  <c r="A59" i="1" s="1"/>
  <c r="A63" i="1" s="1"/>
  <c r="A67" i="1" s="1"/>
  <c r="A71" i="1" s="1"/>
  <c r="A75" i="1" s="1"/>
  <c r="A79" i="1" s="1"/>
  <c r="A83" i="1" s="1"/>
  <c r="A87" i="1" s="1"/>
  <c r="A91" i="1" s="1"/>
  <c r="A95" i="1" s="1"/>
  <c r="A99" i="1" s="1"/>
  <c r="A103" i="1" s="1"/>
  <c r="A107" i="1" s="1"/>
  <c r="A111" i="1" s="1"/>
  <c r="A115" i="1" s="1"/>
  <c r="A119" i="1" s="1"/>
  <c r="A123" i="1" s="1"/>
  <c r="A127" i="1" s="1"/>
  <c r="A131" i="1" s="1"/>
  <c r="A135" i="1" s="1"/>
  <c r="A139" i="1" s="1"/>
  <c r="A143" i="1" s="1"/>
  <c r="A147" i="1" s="1"/>
  <c r="A151" i="1" s="1"/>
  <c r="A155" i="1" s="1"/>
  <c r="A159" i="1" s="1"/>
  <c r="A163" i="1" s="1"/>
  <c r="A167" i="1" s="1"/>
  <c r="A171" i="1" s="1"/>
  <c r="A175" i="1" s="1"/>
  <c r="A179" i="1" s="1"/>
  <c r="A183" i="1" s="1"/>
  <c r="A187" i="1" s="1"/>
  <c r="A191" i="1" s="1"/>
  <c r="A195" i="1" s="1"/>
  <c r="A199" i="1" s="1"/>
  <c r="A203" i="1" s="1"/>
  <c r="A207" i="1" s="1"/>
  <c r="A211" i="1" s="1"/>
  <c r="A215" i="1" s="1"/>
  <c r="A219" i="1" s="1"/>
  <c r="A223" i="1" s="1"/>
  <c r="A227" i="1" s="1"/>
  <c r="A231" i="1" s="1"/>
  <c r="A235" i="1" s="1"/>
  <c r="A239" i="1" s="1"/>
  <c r="A243" i="1" s="1"/>
  <c r="A247" i="1" s="1"/>
  <c r="A251" i="1" s="1"/>
  <c r="A255" i="1" s="1"/>
  <c r="A259" i="1" s="1"/>
  <c r="A263" i="1" s="1"/>
  <c r="A267" i="1" s="1"/>
  <c r="A271" i="1" s="1"/>
  <c r="A275" i="1" s="1"/>
  <c r="A279" i="1" s="1"/>
  <c r="A283" i="1" s="1"/>
  <c r="A287" i="1" s="1"/>
  <c r="A291" i="1" s="1"/>
  <c r="A295" i="1" s="1"/>
  <c r="A299" i="1" s="1"/>
  <c r="A303" i="1" s="1"/>
  <c r="A307" i="1" s="1"/>
  <c r="A311" i="1" s="1"/>
  <c r="A315" i="1" s="1"/>
  <c r="A319" i="1" s="1"/>
  <c r="A323" i="1" s="1"/>
  <c r="A327" i="1" s="1"/>
  <c r="A331" i="1" s="1"/>
  <c r="A335" i="1" s="1"/>
  <c r="A339" i="1" s="1"/>
  <c r="A343" i="1" s="1"/>
  <c r="A347" i="1" s="1"/>
  <c r="A351" i="1" s="1"/>
  <c r="A355" i="1" s="1"/>
  <c r="A359" i="1" s="1"/>
  <c r="A363" i="1" s="1"/>
  <c r="A367" i="1" s="1"/>
  <c r="A371" i="1" s="1"/>
  <c r="A375" i="1" s="1"/>
  <c r="A379" i="1" s="1"/>
  <c r="A383" i="1" s="1"/>
  <c r="A387" i="1" s="1"/>
  <c r="A391" i="1" s="1"/>
  <c r="A395" i="1" s="1"/>
  <c r="A399" i="1" s="1"/>
  <c r="A403" i="1" s="1"/>
  <c r="A407" i="1" s="1"/>
  <c r="A411" i="1" s="1"/>
  <c r="A415" i="1" s="1"/>
  <c r="A419" i="1" s="1"/>
  <c r="A423" i="1" s="1"/>
  <c r="A427" i="1" s="1"/>
  <c r="A431" i="1" s="1"/>
  <c r="A435" i="1" s="1"/>
  <c r="A439" i="1" s="1"/>
  <c r="A443" i="1" s="1"/>
  <c r="A447" i="1" s="1"/>
  <c r="A451" i="1" s="1"/>
  <c r="A455" i="1" s="1"/>
  <c r="A459" i="1" s="1"/>
  <c r="A463" i="1" s="1"/>
  <c r="A467" i="1" s="1"/>
  <c r="A471" i="1" s="1"/>
  <c r="A475" i="1" s="1"/>
  <c r="A479" i="1" s="1"/>
  <c r="A483" i="1" s="1"/>
  <c r="A487" i="1" s="1"/>
  <c r="Z11" i="1" l="1"/>
  <c r="AH19" i="1"/>
  <c r="AK19" i="1" s="1"/>
  <c r="G18" i="2" s="1"/>
  <c r="AH15" i="1"/>
  <c r="AK15" i="1" s="1"/>
  <c r="AH11" i="1"/>
  <c r="AK11" i="1" s="1"/>
  <c r="G10" i="2" s="1"/>
  <c r="AH7" i="1"/>
  <c r="AK7" i="1" s="1"/>
  <c r="H7" i="1" s="1"/>
  <c r="I3" i="1"/>
  <c r="AH3" i="1"/>
  <c r="AK3" i="1" s="1"/>
  <c r="AL3" i="1" s="1"/>
  <c r="H15" i="1" l="1"/>
  <c r="G14" i="2"/>
  <c r="H11" i="1"/>
  <c r="H19" i="1"/>
  <c r="AL15" i="1"/>
  <c r="AL11" i="1"/>
  <c r="AL19" i="1"/>
  <c r="G6" i="2"/>
  <c r="AL7" i="1"/>
  <c r="G2" i="2"/>
  <c r="H3" i="1"/>
  <c r="Z15" i="1"/>
  <c r="K1" i="1"/>
  <c r="Z1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tc={9ADA7041-2890-4AA0-8BC6-00993757297D}</author>
  </authors>
  <commentList>
    <comment ref="N2" authorId="0" shapeId="0" xr:uid="{9ADA7041-2890-4AA0-8BC6-00993757297D}">
      <text>
        <t>[Threaded comment]
Your version of Excel allows you to read this threaded comment; however, any edits to it will get removed if the file is opened in a newer version of Excel. Learn more: https://go.microsoft.com/fwlink/?linkid=870924
Comment:
    91 - FACTURA
91 - NC</t>
      </text>
    </comment>
  </commentList>
</comments>
</file>

<file path=xl/sharedStrings.xml><?xml version="1.0" encoding="utf-8"?>
<sst xmlns="http://schemas.openxmlformats.org/spreadsheetml/2006/main" count="1722" uniqueCount="131">
  <si>
    <t>S/.</t>
  </si>
  <si>
    <t>$</t>
  </si>
  <si>
    <t>TIPO DOC SUNAT</t>
  </si>
  <si>
    <t>TIPO DOC ISCALA</t>
  </si>
  <si>
    <t>0136</t>
  </si>
  <si>
    <t>281110</t>
  </si>
  <si>
    <t>401110</t>
  </si>
  <si>
    <t>431202</t>
  </si>
  <si>
    <t>NUMERO DE FACTURA</t>
  </si>
  <si>
    <t>FECHA FACT</t>
  </si>
  <si>
    <t>FECHA CONT</t>
  </si>
  <si>
    <t>FECHA VENC</t>
  </si>
  <si>
    <t>Importe Facturado</t>
  </si>
  <si>
    <t>Importe Facturado Org</t>
  </si>
  <si>
    <t>COD MONEDA</t>
  </si>
  <si>
    <t>Tipo de cambio</t>
  </si>
  <si>
    <t>IVA</t>
  </si>
  <si>
    <t>Código Banco Central</t>
  </si>
  <si>
    <t>Cód. de Autorización</t>
  </si>
  <si>
    <t>Comentarios</t>
  </si>
  <si>
    <t>CADENA DE CONT</t>
  </si>
  <si>
    <t>TIPO DE FACTURA</t>
  </si>
  <si>
    <t>CODIGO CARGA FISCAL</t>
  </si>
  <si>
    <t>Tipo IVA Código impuest</t>
  </si>
  <si>
    <t>Base imponible Registro impues</t>
  </si>
  <si>
    <t>Importe IVA Código impuest</t>
  </si>
  <si>
    <t>Tipo IVA Registro impuest</t>
  </si>
  <si>
    <t>Fecha Transacción Registro Impues</t>
  </si>
  <si>
    <t>V.V</t>
  </si>
  <si>
    <t>IGV</t>
  </si>
  <si>
    <t>P.V</t>
  </si>
  <si>
    <t>TC</t>
  </si>
  <si>
    <t>DIFERENCIA</t>
  </si>
  <si>
    <t>FECHA FACTURA</t>
  </si>
  <si>
    <t>FECHA PAGO</t>
  </si>
  <si>
    <t>5BE</t>
  </si>
  <si>
    <t>01</t>
  </si>
  <si>
    <t>101</t>
  </si>
  <si>
    <t>103</t>
  </si>
  <si>
    <t>RC100</t>
  </si>
  <si>
    <t>C001</t>
  </si>
  <si>
    <t>1</t>
  </si>
  <si>
    <t>SEI</t>
  </si>
  <si>
    <t>cta</t>
  </si>
  <si>
    <t>cc</t>
  </si>
  <si>
    <t>linea</t>
  </si>
  <si>
    <t>nit</t>
  </si>
  <si>
    <t>TDW</t>
  </si>
  <si>
    <t>importe soles</t>
  </si>
  <si>
    <t>importe dol</t>
  </si>
  <si>
    <t>cod moneda</t>
  </si>
  <si>
    <t>glosa</t>
  </si>
  <si>
    <t>fecha</t>
  </si>
  <si>
    <t>nit cliente</t>
  </si>
  <si>
    <t>serie y correlatico</t>
  </si>
  <si>
    <t>cod trans</t>
  </si>
  <si>
    <t>00</t>
  </si>
  <si>
    <t>FC_LC</t>
  </si>
  <si>
    <t>0132</t>
  </si>
  <si>
    <t>51092775</t>
  </si>
  <si>
    <t>7DQ</t>
  </si>
  <si>
    <t>US1239</t>
  </si>
  <si>
    <t>5EX</t>
  </si>
  <si>
    <t>GEODIS</t>
  </si>
  <si>
    <t>5NN</t>
  </si>
  <si>
    <t>5JU</t>
  </si>
  <si>
    <t>5KW</t>
  </si>
  <si>
    <t>5WY</t>
  </si>
  <si>
    <t>5DL</t>
  </si>
  <si>
    <t>5GB</t>
  </si>
  <si>
    <t>5DU</t>
  </si>
  <si>
    <t>NINGBO HUA</t>
  </si>
  <si>
    <t>SGE</t>
  </si>
  <si>
    <t>GOLONG</t>
  </si>
  <si>
    <t>CLH</t>
  </si>
  <si>
    <t>HUBEI</t>
  </si>
  <si>
    <t>7JR</t>
  </si>
  <si>
    <t>BRR</t>
  </si>
  <si>
    <t>FOSHAN_SHU</t>
  </si>
  <si>
    <t>WUHUMIDEA</t>
  </si>
  <si>
    <t>0232025</t>
  </si>
  <si>
    <t>0242025</t>
  </si>
  <si>
    <t>0252025</t>
  </si>
  <si>
    <t>0262025</t>
  </si>
  <si>
    <t>2024680</t>
  </si>
  <si>
    <t>2024682</t>
  </si>
  <si>
    <t>2024683</t>
  </si>
  <si>
    <t>2024684</t>
  </si>
  <si>
    <t>2024685</t>
  </si>
  <si>
    <t>2024687</t>
  </si>
  <si>
    <t>2024688</t>
  </si>
  <si>
    <t>2024692</t>
  </si>
  <si>
    <t>2025008</t>
  </si>
  <si>
    <t>2025010</t>
  </si>
  <si>
    <t>2025013</t>
  </si>
  <si>
    <t>2025020</t>
  </si>
  <si>
    <t>2025024</t>
  </si>
  <si>
    <t>2025034</t>
  </si>
  <si>
    <t>2025105</t>
  </si>
  <si>
    <t>2025324</t>
  </si>
  <si>
    <t>2025332</t>
  </si>
  <si>
    <t>2025333</t>
  </si>
  <si>
    <t>2025377</t>
  </si>
  <si>
    <t>2025378</t>
  </si>
  <si>
    <t>2025381</t>
  </si>
  <si>
    <t>2025382</t>
  </si>
  <si>
    <t>2025383</t>
  </si>
  <si>
    <t>2025384</t>
  </si>
  <si>
    <t>2025385</t>
  </si>
  <si>
    <t>2025386</t>
  </si>
  <si>
    <t>2025387</t>
  </si>
  <si>
    <t>2025388</t>
  </si>
  <si>
    <t>2025389</t>
  </si>
  <si>
    <t>2025391</t>
  </si>
  <si>
    <t>2025392</t>
  </si>
  <si>
    <t>2025393</t>
  </si>
  <si>
    <t>2025394</t>
  </si>
  <si>
    <t>2025403</t>
  </si>
  <si>
    <t>2025404</t>
  </si>
  <si>
    <t>2025405</t>
  </si>
  <si>
    <t>2025406</t>
  </si>
  <si>
    <t>2025407</t>
  </si>
  <si>
    <t>2025408</t>
  </si>
  <si>
    <t>2025409</t>
  </si>
  <si>
    <t>CODPRVEEDOR</t>
  </si>
  <si>
    <t>MSC</t>
  </si>
  <si>
    <t>CNV</t>
  </si>
  <si>
    <t>SNOWKY</t>
  </si>
  <si>
    <t>COA</t>
  </si>
  <si>
    <t>ASSIENTO</t>
  </si>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</sst>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Calibri"/>
      <family val="2"/>
    </font>
    <font>
      <b/>
      <sz val="8"/>
      <name val="Calibri"/>
      <family val="2"/>
    </font>
    <font>
      <sz val="10"/>
      <color theme="1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49" fontId="0" fillId="0" borderId="1" xfId="0" applyNumberFormat="1" applyBorder="1"/>
    <xf numFmtId="43" fontId="0" fillId="0" borderId="1" xfId="1" applyFont="1" applyBorder="1"/>
    <xf numFmtId="43" fontId="0" fillId="0" borderId="0" xfId="1" applyFont="1"/>
    <xf numFmtId="43" fontId="2" fillId="0" borderId="1" xfId="1" applyFont="1" applyBorder="1" applyAlignment="1">
      <alignment horizontal="center" vertical="center"/>
    </xf>
    <xf numFmtId="49" fontId="0" fillId="0" borderId="1" xfId="1" applyNumberFormat="1" applyFont="1" applyBorder="1"/>
    <xf numFmtId="49" fontId="0" fillId="3" borderId="1" xfId="0" applyNumberFormat="1" applyFill="1" applyBorder="1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0" fillId="0" borderId="1" xfId="0" applyNumberFormat="1" applyBorder="1"/>
    <xf numFmtId="49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6" fillId="0" borderId="1" xfId="1" applyNumberFormat="1" applyFont="1" applyBorder="1"/>
    <xf numFmtId="0" fontId="6" fillId="0" borderId="0" xfId="0" applyFont="1"/>
    <xf numFmtId="49" fontId="6" fillId="0" borderId="1" xfId="0" applyNumberFormat="1" applyFont="1" applyBorder="1" applyAlignment="1">
      <alignment vertical="center"/>
    </xf>
    <xf numFmtId="0" fontId="6" fillId="0" borderId="1" xfId="0" applyFont="1" applyBorder="1"/>
    <xf numFmtId="0" fontId="6" fillId="0" borderId="1" xfId="1" applyNumberFormat="1" applyFont="1" applyBorder="1"/>
    <xf numFmtId="0" fontId="6" fillId="0" borderId="1" xfId="1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2" borderId="0" xfId="0" applyFill="1"/>
    <xf numFmtId="43" fontId="4" fillId="2" borderId="1" xfId="1" applyFont="1" applyFill="1" applyBorder="1" applyAlignment="1">
      <alignment horizontal="center" vertical="center" wrapText="1"/>
    </xf>
    <xf numFmtId="43" fontId="4" fillId="0" borderId="0" xfId="1" applyFont="1" applyFill="1" applyAlignment="1">
      <alignment horizontal="center" vertical="center" wrapText="1"/>
    </xf>
    <xf numFmtId="164" fontId="4" fillId="0" borderId="0" xfId="1" applyNumberFormat="1" applyFont="1" applyFill="1" applyAlignment="1">
      <alignment horizontal="center" vertical="center" wrapText="1"/>
    </xf>
    <xf numFmtId="49" fontId="4" fillId="0" borderId="0" xfId="1" applyNumberFormat="1" applyFont="1" applyFill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3" fontId="0" fillId="0" borderId="1" xfId="1" applyFont="1" applyFill="1" applyBorder="1"/>
    <xf numFmtId="164" fontId="0" fillId="0" borderId="1" xfId="1" applyNumberFormat="1" applyFont="1" applyFill="1" applyBorder="1"/>
    <xf numFmtId="49" fontId="0" fillId="0" borderId="1" xfId="1" applyNumberFormat="1" applyFont="1" applyFill="1" applyBorder="1"/>
    <xf numFmtId="49" fontId="0" fillId="0" borderId="0" xfId="0" applyNumberFormat="1"/>
    <xf numFmtId="14" fontId="4" fillId="2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/>
    </xf>
    <xf numFmtId="43" fontId="7" fillId="0" borderId="1" xfId="1" applyFont="1" applyFill="1" applyBorder="1" applyAlignment="1">
      <alignment horizontal="center" vertical="center"/>
    </xf>
    <xf numFmtId="43" fontId="7" fillId="0" borderId="1" xfId="1" applyFont="1" applyFill="1" applyBorder="1" applyAlignment="1">
      <alignment vertical="center"/>
    </xf>
    <xf numFmtId="164" fontId="7" fillId="0" borderId="1" xfId="1" applyNumberFormat="1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1" applyNumberFormat="1" applyFont="1" applyFill="1" applyBorder="1" applyAlignment="1">
      <alignment horizontal="center" vertical="center"/>
    </xf>
    <xf numFmtId="49" fontId="7" fillId="0" borderId="1" xfId="1" applyNumberFormat="1" applyFont="1" applyFill="1" applyBorder="1" applyAlignment="1">
      <alignment vertical="center"/>
    </xf>
    <xf numFmtId="49" fontId="7" fillId="3" borderId="1" xfId="0" applyNumberFormat="1" applyFont="1" applyFill="1" applyBorder="1" applyAlignment="1">
      <alignment vertical="center"/>
    </xf>
    <xf numFmtId="14" fontId="7" fillId="0" borderId="1" xfId="1" applyNumberFormat="1" applyFont="1" applyFill="1" applyBorder="1" applyAlignment="1">
      <alignment vertical="center"/>
    </xf>
    <xf numFmtId="165" fontId="7" fillId="0" borderId="1" xfId="1" applyNumberFormat="1" applyFont="1" applyFill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1" xfId="1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3" fontId="7" fillId="0" borderId="0" xfId="1" applyFont="1" applyFill="1" applyAlignment="1">
      <alignment vertical="center"/>
    </xf>
    <xf numFmtId="164" fontId="7" fillId="0" borderId="0" xfId="1" applyNumberFormat="1" applyFont="1" applyFill="1" applyAlignment="1">
      <alignment vertical="center"/>
    </xf>
    <xf numFmtId="49" fontId="7" fillId="3" borderId="0" xfId="0" applyNumberFormat="1" applyFont="1" applyFill="1" applyAlignment="1">
      <alignment vertical="center"/>
    </xf>
    <xf numFmtId="14" fontId="7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164" fontId="4" fillId="4" borderId="1" xfId="1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49" fontId="4" fillId="4" borderId="0" xfId="0" applyNumberFormat="1" applyFont="1" applyFill="1" applyAlignment="1">
      <alignment horizontal="center" vertical="center" wrapText="1"/>
    </xf>
    <xf numFmtId="49" fontId="7" fillId="2" borderId="1" xfId="0" applyNumberFormat="1" applyFont="1" applyFill="1" applyBorder="1" applyAlignment="1">
      <alignment vertical="center"/>
    </xf>
    <xf numFmtId="0" fontId="7" fillId="2" borderId="1" xfId="1" applyNumberFormat="1" applyFont="1" applyFill="1" applyBorder="1" applyAlignment="1">
      <alignment horizontal="left" vertical="center"/>
    </xf>
    <xf numFmtId="49" fontId="7" fillId="2" borderId="0" xfId="0" applyNumberFormat="1" applyFont="1" applyFill="1" applyAlignment="1">
      <alignment vertical="center"/>
    </xf>
    <xf numFmtId="49" fontId="7" fillId="2" borderId="1" xfId="1" applyNumberFormat="1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14" fontId="7" fillId="2" borderId="1" xfId="0" quotePrefix="1" applyNumberFormat="1" applyFont="1" applyFill="1" applyBorder="1" applyAlignment="1">
      <alignment vertical="center"/>
    </xf>
    <xf numFmtId="14" fontId="7" fillId="2" borderId="1" xfId="0" applyNumberFormat="1" applyFont="1" applyFill="1" applyBorder="1" applyAlignment="1">
      <alignment vertical="center"/>
    </xf>
    <xf numFmtId="14" fontId="7" fillId="2" borderId="0" xfId="0" applyNumberFormat="1" applyFont="1" applyFill="1" applyAlignment="1">
      <alignment vertical="center"/>
    </xf>
    <xf numFmtId="43" fontId="7" fillId="2" borderId="1" xfId="1" applyFont="1" applyFill="1" applyBorder="1" applyAlignment="1">
      <alignment vertical="center"/>
    </xf>
    <xf numFmtId="43" fontId="7" fillId="2" borderId="0" xfId="1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iago Farias" id="{780E85C9-391F-46A6-9B6D-41520FBCAFEE}" userId="S::thiago.farias@electrolux.com::9837ee5a-6299-4daf-a6d3-ef6b901b236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5-05-20T20:09:56.32" personId="{780E85C9-391F-46A6-9B6D-41520FBCAFEE}" id="{9ADA7041-2890-4AA0-8BC6-00993757297D}">
    <text>91 - FACTURA
91 - NC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374C-19B4-438A-9A30-B29BCADE8204}">
  <sheetPr codeName="Sheet1" filterMode="1"/>
  <dimension ref="A1:AV490"/>
  <sheetViews>
    <sheetView tabSelected="1" topLeftCell="V1" zoomScale="115" zoomScaleNormal="115" workbookViewId="0">
      <selection activeCell="AR3" sqref="AR3:AR487"/>
    </sheetView>
  </sheetViews>
  <sheetFormatPr defaultColWidth="10.5703125" defaultRowHeight="10.15" customHeight="1" x14ac:dyDescent="0.25"/>
  <cols>
    <col min="1" max="1" width="3.140625" style="45" bestFit="1" customWidth="1"/>
    <col min="2" max="2" width="7.28515625" style="45" bestFit="1" customWidth="1"/>
    <col min="3" max="3" width="10.140625" style="59" bestFit="1" customWidth="1"/>
    <col min="4" max="4" width="16.42578125" style="59" bestFit="1" customWidth="1"/>
    <col min="5" max="5" width="8.28515625" style="45" bestFit="1" customWidth="1"/>
    <col min="6" max="6" width="8.5703125" style="61" bestFit="1" customWidth="1"/>
    <col min="7" max="7" width="8.42578125" style="45" bestFit="1" customWidth="1"/>
    <col min="8" max="8" width="12.28515625" style="46" bestFit="1" customWidth="1"/>
    <col min="9" max="9" width="15.140625" style="46" bestFit="1" customWidth="1"/>
    <col min="10" max="10" width="9.5703125" style="59" bestFit="1" customWidth="1"/>
    <col min="11" max="11" width="10.28515625" style="47" bestFit="1" customWidth="1"/>
    <col min="12" max="12" width="3.7109375" style="46" bestFit="1" customWidth="1"/>
    <col min="13" max="13" width="13.7109375" style="45" bestFit="1" customWidth="1"/>
    <col min="14" max="14" width="12.85546875" style="61" bestFit="1" customWidth="1"/>
    <col min="15" max="15" width="11.42578125" style="59" bestFit="1" customWidth="1"/>
    <col min="16" max="17" width="11.7109375" style="45" bestFit="1" customWidth="1"/>
    <col min="18" max="18" width="11.7109375" style="61" bestFit="1" customWidth="1"/>
    <col min="19" max="19" width="11.7109375" style="43" bestFit="1" customWidth="1"/>
    <col min="20" max="20" width="11.7109375" style="61" bestFit="1" customWidth="1"/>
    <col min="21" max="21" width="14.85546875" style="45" bestFit="1" customWidth="1"/>
    <col min="22" max="22" width="15.42578125" style="45" bestFit="1" customWidth="1"/>
    <col min="23" max="23" width="20.7109375" style="46" bestFit="1" customWidth="1"/>
    <col min="24" max="24" width="18" style="46" bestFit="1" customWidth="1"/>
    <col min="25" max="25" width="16.28515625" style="43" bestFit="1" customWidth="1"/>
    <col min="26" max="26" width="21.85546875" style="43" bestFit="1" customWidth="1"/>
    <col min="27" max="27" width="2" style="48" customWidth="1"/>
    <col min="28" max="28" width="8.5703125" style="66" customWidth="1"/>
    <col min="29" max="29" width="3.7109375" style="46" bestFit="1" customWidth="1"/>
    <col min="30" max="30" width="8.5703125" style="46" customWidth="1"/>
    <col min="31" max="31" width="4.7109375" style="59" bestFit="1" customWidth="1"/>
    <col min="32" max="32" width="8.5703125" style="43" customWidth="1"/>
    <col min="33" max="33" width="3.7109375" style="43" bestFit="1" customWidth="1"/>
    <col min="34" max="35" width="8.5703125" style="43" customWidth="1"/>
    <col min="36" max="36" width="5.42578125" style="43" customWidth="1"/>
    <col min="37" max="37" width="8.5703125" style="43" customWidth="1"/>
    <col min="38" max="38" width="8" style="43" customWidth="1"/>
    <col min="39" max="39" width="10.7109375" style="64" bestFit="1" customWidth="1"/>
    <col min="40" max="42" width="3.28515625" style="43" customWidth="1"/>
    <col min="43" max="43" width="10.7109375" style="43" bestFit="1" customWidth="1"/>
    <col min="44" max="44" width="9" style="49" bestFit="1" customWidth="1"/>
    <col min="45" max="45" width="3.28515625" style="43" bestFit="1" customWidth="1"/>
    <col min="46" max="46" width="4.28515625" style="43" customWidth="1"/>
    <col min="47" max="47" width="7" style="43" customWidth="1"/>
    <col min="48" max="48" width="8.7109375" style="43" bestFit="1" customWidth="1"/>
    <col min="49" max="16384" width="10.5703125" style="43"/>
  </cols>
  <sheetData>
    <row r="1" spans="1:48" s="69" customFormat="1" ht="22.5" x14ac:dyDescent="0.25">
      <c r="H1" s="24" t="s">
        <v>0</v>
      </c>
      <c r="I1" s="24" t="s">
        <v>1</v>
      </c>
      <c r="K1" s="25" t="e">
        <f>+#REF!*#REF!</f>
        <v>#REF!</v>
      </c>
      <c r="L1" s="24"/>
      <c r="N1" s="69" t="s">
        <v>2</v>
      </c>
      <c r="T1" s="69" t="s">
        <v>3</v>
      </c>
      <c r="W1" s="24"/>
      <c r="X1" s="24"/>
      <c r="AB1" s="26" t="s">
        <v>4</v>
      </c>
      <c r="AC1" s="24"/>
      <c r="AD1" s="24"/>
      <c r="AI1" s="69" t="s">
        <v>5</v>
      </c>
      <c r="AJ1" s="69" t="s">
        <v>6</v>
      </c>
      <c r="AK1" s="69" t="s">
        <v>7</v>
      </c>
      <c r="AM1" s="70"/>
      <c r="AR1" s="70"/>
    </row>
    <row r="2" spans="1:48" s="56" customFormat="1" ht="22.5" x14ac:dyDescent="0.25">
      <c r="A2" s="51" t="s">
        <v>130</v>
      </c>
      <c r="B2" s="51" t="s">
        <v>129</v>
      </c>
      <c r="C2" s="13" t="s">
        <v>124</v>
      </c>
      <c r="D2" s="13" t="s">
        <v>8</v>
      </c>
      <c r="E2" s="51" t="s">
        <v>9</v>
      </c>
      <c r="F2" s="13" t="s">
        <v>10</v>
      </c>
      <c r="G2" s="51" t="s">
        <v>11</v>
      </c>
      <c r="H2" s="52" t="s">
        <v>12</v>
      </c>
      <c r="I2" s="52" t="s">
        <v>13</v>
      </c>
      <c r="J2" s="13" t="s">
        <v>14</v>
      </c>
      <c r="K2" s="53" t="s">
        <v>15</v>
      </c>
      <c r="L2" s="52" t="s">
        <v>16</v>
      </c>
      <c r="M2" s="54" t="s">
        <v>17</v>
      </c>
      <c r="N2" s="14" t="s">
        <v>18</v>
      </c>
      <c r="O2" s="14" t="s">
        <v>19</v>
      </c>
      <c r="P2" s="51" t="s">
        <v>20</v>
      </c>
      <c r="Q2" s="51" t="s">
        <v>20</v>
      </c>
      <c r="R2" s="13" t="s">
        <v>20</v>
      </c>
      <c r="S2" s="51" t="s">
        <v>20</v>
      </c>
      <c r="T2" s="13" t="s">
        <v>21</v>
      </c>
      <c r="U2" s="51" t="s">
        <v>22</v>
      </c>
      <c r="V2" s="51" t="s">
        <v>23</v>
      </c>
      <c r="W2" s="52" t="s">
        <v>24</v>
      </c>
      <c r="X2" s="52" t="s">
        <v>25</v>
      </c>
      <c r="Y2" s="51" t="s">
        <v>26</v>
      </c>
      <c r="Z2" s="51" t="s">
        <v>27</v>
      </c>
      <c r="AA2" s="51"/>
      <c r="AB2" s="23" t="s">
        <v>28</v>
      </c>
      <c r="AC2" s="52" t="s">
        <v>29</v>
      </c>
      <c r="AD2" s="52" t="s">
        <v>30</v>
      </c>
      <c r="AE2" s="13" t="s">
        <v>31</v>
      </c>
      <c r="AF2" s="52" t="s">
        <v>28</v>
      </c>
      <c r="AG2" s="52" t="s">
        <v>29</v>
      </c>
      <c r="AH2" s="52" t="s">
        <v>30</v>
      </c>
      <c r="AI2" s="52" t="s">
        <v>28</v>
      </c>
      <c r="AJ2" s="52" t="s">
        <v>29</v>
      </c>
      <c r="AK2" s="52" t="s">
        <v>30</v>
      </c>
      <c r="AL2" s="51" t="s">
        <v>32</v>
      </c>
      <c r="AM2" s="32" t="s">
        <v>33</v>
      </c>
      <c r="AN2" s="51"/>
      <c r="AO2" s="51"/>
      <c r="AP2" s="51"/>
      <c r="AQ2" s="55" t="s">
        <v>33</v>
      </c>
      <c r="AR2" s="55" t="s">
        <v>34</v>
      </c>
      <c r="AS2" s="51"/>
      <c r="AT2" s="51"/>
      <c r="AU2" s="51"/>
      <c r="AV2" s="51" t="s">
        <v>34</v>
      </c>
    </row>
    <row r="3" spans="1:48" ht="10.15" customHeight="1" x14ac:dyDescent="0.25">
      <c r="A3" s="38">
        <v>1</v>
      </c>
      <c r="B3" s="38"/>
      <c r="C3" s="57"/>
      <c r="D3" s="58"/>
      <c r="E3" s="34" t="str">
        <f>+AQ3</f>
        <v/>
      </c>
      <c r="F3" s="60"/>
      <c r="G3" s="34" t="str">
        <f>+AV3</f>
        <v>000100</v>
      </c>
      <c r="H3" s="35">
        <f>+AK3</f>
        <v>0</v>
      </c>
      <c r="I3" s="35">
        <f>+ROUND(AD3,2)</f>
        <v>0</v>
      </c>
      <c r="J3" s="57"/>
      <c r="K3" s="36">
        <f>+AE3</f>
        <v>0</v>
      </c>
      <c r="L3" s="35">
        <f>+AJ3</f>
        <v>0</v>
      </c>
      <c r="M3" s="37" t="s">
        <v>37</v>
      </c>
      <c r="N3" s="68"/>
      <c r="O3" s="57"/>
      <c r="P3" s="38" t="e">
        <f>+VLOOKUP(C3,Hoja1!$A$4:$C$57,3,FALSE)</f>
        <v>#N/A</v>
      </c>
      <c r="Q3" s="37" t="s">
        <v>38</v>
      </c>
      <c r="R3" s="68"/>
      <c r="S3" s="35" t="str">
        <f>(RIGHT(O3,7))</f>
        <v/>
      </c>
      <c r="T3" s="68"/>
      <c r="U3" s="37" t="s">
        <v>39</v>
      </c>
      <c r="V3" s="37" t="s">
        <v>40</v>
      </c>
      <c r="W3" s="35">
        <f>+AI3</f>
        <v>0</v>
      </c>
      <c r="X3" s="35">
        <f>+AJ3</f>
        <v>0</v>
      </c>
      <c r="Y3" s="33" t="s">
        <v>41</v>
      </c>
      <c r="Z3" s="39">
        <f>+F3</f>
        <v>0</v>
      </c>
      <c r="AA3" s="40"/>
      <c r="AB3" s="65"/>
      <c r="AC3" s="35">
        <v>0</v>
      </c>
      <c r="AD3" s="35">
        <f t="shared" ref="AD3" si="0">+AB3+AC3</f>
        <v>0</v>
      </c>
      <c r="AE3" s="67"/>
      <c r="AF3" s="35">
        <f>+AB3*AE3</f>
        <v>0</v>
      </c>
      <c r="AG3" s="35">
        <f>+AC3*AE3</f>
        <v>0</v>
      </c>
      <c r="AH3" s="35">
        <f>+AD3*AE3</f>
        <v>0</v>
      </c>
      <c r="AI3" s="35">
        <f t="shared" ref="AI3" si="1">+ROUND(AF3,2)</f>
        <v>0</v>
      </c>
      <c r="AJ3" s="35">
        <f t="shared" ref="AJ3" si="2">+ROUND(AG3,2)</f>
        <v>0</v>
      </c>
      <c r="AK3" s="35">
        <f t="shared" ref="AK3" si="3">+ROUND(AH3,2)</f>
        <v>0</v>
      </c>
      <c r="AL3" s="35">
        <f>+AI3+AJ3-AK3</f>
        <v>0</v>
      </c>
      <c r="AM3" s="62"/>
      <c r="AN3" s="35" t="str">
        <f>+LEFT(AM3,2)</f>
        <v/>
      </c>
      <c r="AO3" s="35" t="str">
        <f>+MID(AM3,4,2)</f>
        <v/>
      </c>
      <c r="AP3" s="35" t="str">
        <f>+RIGHT(AM3,2)</f>
        <v/>
      </c>
      <c r="AQ3" s="35" t="str">
        <f>+CONCATENATE(AN3,AO3,AP3)</f>
        <v/>
      </c>
      <c r="AR3" s="41">
        <f>AM3+_xlfn.XLOOKUP(C3,Hoja1!A:A,Hoja1!B:B)</f>
        <v>0</v>
      </c>
      <c r="AS3" s="42">
        <f>+DAY(AR3)</f>
        <v>0</v>
      </c>
      <c r="AT3" s="35">
        <f>+MONTH(AR3)</f>
        <v>1</v>
      </c>
      <c r="AU3" s="35">
        <f>+YEAR(AR3)</f>
        <v>1900</v>
      </c>
      <c r="AV3" s="35" t="str">
        <f>+CONCATENATE(TEXT(AS3,"00"),TEXT(AT3,"00"),RIGHT(AU3,2))</f>
        <v>000100</v>
      </c>
    </row>
    <row r="4" spans="1:48" s="31" customFormat="1" ht="10.15" hidden="1" customHeight="1" x14ac:dyDescent="0.25">
      <c r="A4" s="27"/>
      <c r="B4" s="27"/>
      <c r="C4" s="1"/>
      <c r="D4" s="1"/>
      <c r="E4" s="1"/>
      <c r="F4" s="1"/>
      <c r="G4" s="1"/>
      <c r="H4" s="28"/>
      <c r="I4" s="28"/>
      <c r="J4" s="1"/>
      <c r="K4" s="29"/>
      <c r="L4" s="28"/>
      <c r="M4" s="1"/>
      <c r="N4" s="1"/>
      <c r="O4" s="1"/>
      <c r="P4" s="1"/>
      <c r="Q4" s="1"/>
      <c r="R4" s="1"/>
      <c r="S4" s="28"/>
      <c r="T4" s="1"/>
      <c r="U4" s="1"/>
      <c r="V4" s="1"/>
      <c r="W4" s="28"/>
      <c r="X4" s="28"/>
      <c r="Y4" s="1"/>
      <c r="Z4" s="30"/>
      <c r="AA4" s="6"/>
      <c r="AB4" s="28"/>
      <c r="AC4" s="28"/>
      <c r="AD4" s="28"/>
      <c r="AE4" s="7"/>
      <c r="AF4" s="28"/>
      <c r="AG4" s="28"/>
      <c r="AH4" s="28"/>
      <c r="AI4" s="28"/>
      <c r="AJ4" s="28"/>
      <c r="AK4" s="28"/>
      <c r="AL4" s="28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s="31" customFormat="1" ht="10.15" hidden="1" customHeight="1" x14ac:dyDescent="0.25">
      <c r="A5" s="27"/>
      <c r="B5" s="27"/>
      <c r="C5" s="1"/>
      <c r="D5" s="1"/>
      <c r="E5" s="1"/>
      <c r="F5" s="1"/>
      <c r="G5" s="1"/>
      <c r="H5" s="28"/>
      <c r="I5" s="28"/>
      <c r="J5" s="1"/>
      <c r="K5" s="29"/>
      <c r="L5" s="28"/>
      <c r="M5" s="1"/>
      <c r="N5" s="1"/>
      <c r="O5" s="1"/>
      <c r="P5" s="1"/>
      <c r="Q5" s="1"/>
      <c r="R5" s="1"/>
      <c r="S5" s="28"/>
      <c r="T5" s="1"/>
      <c r="U5" s="1"/>
      <c r="V5" s="1"/>
      <c r="W5" s="28"/>
      <c r="X5" s="28"/>
      <c r="Y5" s="1"/>
      <c r="Z5" s="30"/>
      <c r="AA5" s="6"/>
      <c r="AB5" s="28"/>
      <c r="AC5" s="28"/>
      <c r="AD5" s="28"/>
      <c r="AE5" s="7"/>
      <c r="AF5" s="28"/>
      <c r="AG5" s="28"/>
      <c r="AH5" s="28"/>
      <c r="AI5" s="28"/>
      <c r="AJ5" s="28"/>
      <c r="AK5" s="28"/>
      <c r="AL5" s="28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s="31" customFormat="1" ht="10.15" hidden="1" customHeight="1" x14ac:dyDescent="0.25">
      <c r="A6" s="27"/>
      <c r="B6" s="27"/>
      <c r="C6" s="1"/>
      <c r="D6" s="1"/>
      <c r="E6" s="1"/>
      <c r="F6" s="1"/>
      <c r="G6" s="1"/>
      <c r="H6" s="28"/>
      <c r="I6" s="28"/>
      <c r="J6" s="1"/>
      <c r="K6" s="29"/>
      <c r="L6" s="28"/>
      <c r="M6" s="1"/>
      <c r="N6" s="1"/>
      <c r="O6" s="1"/>
      <c r="P6" s="1"/>
      <c r="Q6" s="1"/>
      <c r="R6" s="1"/>
      <c r="S6" s="28"/>
      <c r="T6" s="1"/>
      <c r="U6" s="1"/>
      <c r="V6" s="1"/>
      <c r="W6" s="28"/>
      <c r="X6" s="28"/>
      <c r="Y6" s="1"/>
      <c r="Z6" s="30"/>
      <c r="AA6" s="6"/>
      <c r="AB6" s="28"/>
      <c r="AC6" s="28"/>
      <c r="AD6" s="28"/>
      <c r="AE6" s="7"/>
      <c r="AF6" s="28"/>
      <c r="AG6" s="28"/>
      <c r="AH6" s="28"/>
      <c r="AI6" s="28"/>
      <c r="AJ6" s="28"/>
      <c r="AK6" s="28"/>
      <c r="AL6" s="28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ht="10.15" customHeight="1" x14ac:dyDescent="0.25">
      <c r="A7" s="44">
        <f>1+A3</f>
        <v>2</v>
      </c>
      <c r="B7" s="38"/>
      <c r="C7" s="57"/>
      <c r="D7" s="57"/>
      <c r="E7" s="34" t="str">
        <f>+AQ7</f>
        <v/>
      </c>
      <c r="F7" s="60"/>
      <c r="G7" s="34" t="str">
        <f>+AV7</f>
        <v>000100</v>
      </c>
      <c r="H7" s="35">
        <f>+AK7</f>
        <v>0</v>
      </c>
      <c r="I7" s="35">
        <f>+ROUND(AD7,2)</f>
        <v>0</v>
      </c>
      <c r="J7" s="57"/>
      <c r="K7" s="36">
        <f>+AE7</f>
        <v>0</v>
      </c>
      <c r="L7" s="35">
        <f>+AJ7</f>
        <v>0</v>
      </c>
      <c r="M7" s="37" t="s">
        <v>37</v>
      </c>
      <c r="N7" s="68"/>
      <c r="O7" s="57"/>
      <c r="P7" s="38" t="e">
        <f>+VLOOKUP(C7,Hoja1!$A$4:$C$57,3,FALSE)</f>
        <v>#N/A</v>
      </c>
      <c r="Q7" s="37" t="s">
        <v>38</v>
      </c>
      <c r="R7" s="68"/>
      <c r="S7" s="35" t="str">
        <f>(RIGHT(O7,7))</f>
        <v/>
      </c>
      <c r="T7" s="68"/>
      <c r="U7" s="37" t="s">
        <v>39</v>
      </c>
      <c r="V7" s="37" t="s">
        <v>40</v>
      </c>
      <c r="W7" s="35">
        <f>+AI7</f>
        <v>0</v>
      </c>
      <c r="X7" s="35">
        <f>+AJ7</f>
        <v>0</v>
      </c>
      <c r="Y7" s="33" t="s">
        <v>41</v>
      </c>
      <c r="Z7" s="39">
        <f>+F7</f>
        <v>0</v>
      </c>
      <c r="AA7" s="40"/>
      <c r="AB7" s="65"/>
      <c r="AC7" s="35">
        <v>0</v>
      </c>
      <c r="AD7" s="35">
        <f t="shared" ref="AD7" si="4">+AB7+AC7</f>
        <v>0</v>
      </c>
      <c r="AE7" s="67"/>
      <c r="AF7" s="35">
        <f>+AB7*AE7</f>
        <v>0</v>
      </c>
      <c r="AG7" s="35">
        <f>+AC7*AE7</f>
        <v>0</v>
      </c>
      <c r="AH7" s="35">
        <f>+AD7*AE7</f>
        <v>0</v>
      </c>
      <c r="AI7" s="35">
        <f t="shared" ref="AI7" si="5">+ROUND(AF7,2)</f>
        <v>0</v>
      </c>
      <c r="AJ7" s="35">
        <f t="shared" ref="AJ7" si="6">+ROUND(AG7,2)</f>
        <v>0</v>
      </c>
      <c r="AK7" s="35">
        <f t="shared" ref="AK7" si="7">+ROUND(AH7,2)</f>
        <v>0</v>
      </c>
      <c r="AL7" s="35">
        <f>+AI7+AJ7-AK7</f>
        <v>0</v>
      </c>
      <c r="AM7" s="62"/>
      <c r="AN7" s="35" t="str">
        <f>+LEFT(AM7,2)</f>
        <v/>
      </c>
      <c r="AO7" s="35" t="str">
        <f>+MID(AM7,4,2)</f>
        <v/>
      </c>
      <c r="AP7" s="35" t="str">
        <f>+RIGHT(AM7,2)</f>
        <v/>
      </c>
      <c r="AQ7" s="35" t="str">
        <f>+CONCATENATE(AN7,AO7,AP7)</f>
        <v/>
      </c>
      <c r="AR7" s="41">
        <f>AM7+_xlfn.XLOOKUP(C7,Hoja1!A:A,Hoja1!B:B)</f>
        <v>0</v>
      </c>
      <c r="AS7" s="42">
        <f>+DAY(AR7)</f>
        <v>0</v>
      </c>
      <c r="AT7" s="35">
        <f>+MONTH(AR7)</f>
        <v>1</v>
      </c>
      <c r="AU7" s="35">
        <f>+YEAR(AR7)</f>
        <v>1900</v>
      </c>
      <c r="AV7" s="35" t="str">
        <f>+CONCATENATE(TEXT(AS7,"00"),TEXT(AT7,"00"),RIGHT(AU7,2))</f>
        <v>000100</v>
      </c>
    </row>
    <row r="8" spans="1:48" s="31" customFormat="1" ht="10.15" hidden="1" customHeight="1" x14ac:dyDescent="0.25">
      <c r="A8" s="27"/>
      <c r="B8" s="27"/>
      <c r="C8" s="1"/>
      <c r="D8" s="1"/>
      <c r="E8" s="1"/>
      <c r="F8" s="1"/>
      <c r="G8" s="1"/>
      <c r="H8" s="28"/>
      <c r="I8" s="28"/>
      <c r="J8" s="1"/>
      <c r="K8" s="29"/>
      <c r="L8" s="28"/>
      <c r="M8" s="1"/>
      <c r="N8" s="1"/>
      <c r="O8" s="1"/>
      <c r="P8" s="1"/>
      <c r="Q8" s="1"/>
      <c r="R8" s="1"/>
      <c r="S8" s="28"/>
      <c r="T8" s="1"/>
      <c r="U8" s="1"/>
      <c r="V8" s="1"/>
      <c r="W8" s="28"/>
      <c r="X8" s="28"/>
      <c r="Y8" s="1"/>
      <c r="Z8" s="30"/>
      <c r="AA8" s="6"/>
      <c r="AB8" s="28"/>
      <c r="AC8" s="28"/>
      <c r="AD8" s="28"/>
      <c r="AE8" s="7"/>
      <c r="AF8" s="28"/>
      <c r="AG8" s="28"/>
      <c r="AH8" s="28"/>
      <c r="AI8" s="28"/>
      <c r="AJ8" s="28"/>
      <c r="AK8" s="28"/>
      <c r="AL8" s="28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s="31" customFormat="1" ht="10.15" hidden="1" customHeight="1" x14ac:dyDescent="0.25">
      <c r="A9" s="27"/>
      <c r="B9" s="27"/>
      <c r="C9" s="1"/>
      <c r="D9" s="1"/>
      <c r="E9" s="1"/>
      <c r="F9" s="1"/>
      <c r="G9" s="1"/>
      <c r="H9" s="28"/>
      <c r="I9" s="28"/>
      <c r="J9" s="1"/>
      <c r="K9" s="29"/>
      <c r="L9" s="28"/>
      <c r="M9" s="1"/>
      <c r="N9" s="1"/>
      <c r="O9" s="1"/>
      <c r="P9" s="1"/>
      <c r="Q9" s="1"/>
      <c r="R9" s="1"/>
      <c r="S9" s="28"/>
      <c r="T9" s="1"/>
      <c r="U9" s="1"/>
      <c r="V9" s="1"/>
      <c r="W9" s="28"/>
      <c r="X9" s="28"/>
      <c r="Y9" s="1"/>
      <c r="Z9" s="30"/>
      <c r="AA9" s="6"/>
      <c r="AB9" s="28"/>
      <c r="AC9" s="28"/>
      <c r="AD9" s="28"/>
      <c r="AE9" s="7"/>
      <c r="AF9" s="28"/>
      <c r="AG9" s="28"/>
      <c r="AH9" s="28"/>
      <c r="AI9" s="28"/>
      <c r="AJ9" s="28"/>
      <c r="AK9" s="28"/>
      <c r="AL9" s="28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s="31" customFormat="1" ht="10.15" hidden="1" customHeight="1" x14ac:dyDescent="0.25">
      <c r="A10" s="27"/>
      <c r="B10" s="27"/>
      <c r="C10" s="1"/>
      <c r="D10" s="1"/>
      <c r="E10" s="1"/>
      <c r="F10" s="1"/>
      <c r="G10" s="1"/>
      <c r="H10" s="28"/>
      <c r="I10" s="28"/>
      <c r="J10" s="1"/>
      <c r="K10" s="29"/>
      <c r="L10" s="28"/>
      <c r="M10" s="1"/>
      <c r="N10" s="1"/>
      <c r="O10" s="1"/>
      <c r="P10" s="1"/>
      <c r="Q10" s="1"/>
      <c r="R10" s="1"/>
      <c r="S10" s="28"/>
      <c r="T10" s="1"/>
      <c r="U10" s="1"/>
      <c r="V10" s="1"/>
      <c r="W10" s="28"/>
      <c r="X10" s="28"/>
      <c r="Y10" s="1"/>
      <c r="Z10" s="30"/>
      <c r="AA10" s="6"/>
      <c r="AB10" s="28"/>
      <c r="AC10" s="28"/>
      <c r="AD10" s="28"/>
      <c r="AE10" s="7"/>
      <c r="AF10" s="28"/>
      <c r="AG10" s="28"/>
      <c r="AH10" s="28"/>
      <c r="AI10" s="28"/>
      <c r="AJ10" s="28"/>
      <c r="AK10" s="28"/>
      <c r="AL10" s="28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ht="10.15" customHeight="1" x14ac:dyDescent="0.25">
      <c r="A11" s="44">
        <f>1+A7</f>
        <v>3</v>
      </c>
      <c r="B11" s="38"/>
      <c r="C11" s="57"/>
      <c r="D11" s="57"/>
      <c r="E11" s="34" t="str">
        <f>+AQ11</f>
        <v/>
      </c>
      <c r="F11" s="60"/>
      <c r="G11" s="34" t="str">
        <f>+AV11</f>
        <v>000100</v>
      </c>
      <c r="H11" s="35">
        <f>+AK11</f>
        <v>0</v>
      </c>
      <c r="I11" s="35">
        <f>+ROUND(AD11,2)</f>
        <v>0</v>
      </c>
      <c r="J11" s="57"/>
      <c r="K11" s="36">
        <f>+AE11</f>
        <v>0</v>
      </c>
      <c r="L11" s="35">
        <f>+AJ11</f>
        <v>0</v>
      </c>
      <c r="M11" s="37" t="s">
        <v>37</v>
      </c>
      <c r="N11" s="68"/>
      <c r="O11" s="57"/>
      <c r="P11" s="38" t="e">
        <f>+VLOOKUP(C11,Hoja1!$A$4:$C$57,3,FALSE)</f>
        <v>#N/A</v>
      </c>
      <c r="Q11" s="37" t="s">
        <v>38</v>
      </c>
      <c r="R11" s="68"/>
      <c r="S11" s="35" t="str">
        <f>(RIGHT(O11,7))</f>
        <v/>
      </c>
      <c r="T11" s="68"/>
      <c r="U11" s="37" t="s">
        <v>39</v>
      </c>
      <c r="V11" s="37" t="s">
        <v>40</v>
      </c>
      <c r="W11" s="35">
        <f>+AI11</f>
        <v>0</v>
      </c>
      <c r="X11" s="35">
        <f>+AJ11</f>
        <v>0</v>
      </c>
      <c r="Y11" s="33" t="s">
        <v>41</v>
      </c>
      <c r="Z11" s="39">
        <f>+F11</f>
        <v>0</v>
      </c>
      <c r="AA11" s="40"/>
      <c r="AB11" s="65"/>
      <c r="AC11" s="35">
        <v>0</v>
      </c>
      <c r="AD11" s="35">
        <f t="shared" ref="AD11" si="8">+AB11+AC11</f>
        <v>0</v>
      </c>
      <c r="AE11" s="67"/>
      <c r="AF11" s="35">
        <f>+AB11*AE11</f>
        <v>0</v>
      </c>
      <c r="AG11" s="35">
        <f>+AC11*AE11</f>
        <v>0</v>
      </c>
      <c r="AH11" s="35">
        <f>+AD11*AE11</f>
        <v>0</v>
      </c>
      <c r="AI11" s="35">
        <f t="shared" ref="AI11" si="9">+ROUND(AF11,2)</f>
        <v>0</v>
      </c>
      <c r="AJ11" s="35">
        <f t="shared" ref="AJ11" si="10">+ROUND(AG11,2)</f>
        <v>0</v>
      </c>
      <c r="AK11" s="35">
        <f t="shared" ref="AK11" si="11">+ROUND(AH11,2)</f>
        <v>0</v>
      </c>
      <c r="AL11" s="35">
        <f>+AI11+AJ11-AK11</f>
        <v>0</v>
      </c>
      <c r="AM11" s="63"/>
      <c r="AN11" s="35" t="str">
        <f>+LEFT(AM11,2)</f>
        <v/>
      </c>
      <c r="AO11" s="35" t="str">
        <f>+MID(AM11,4,2)</f>
        <v/>
      </c>
      <c r="AP11" s="35" t="str">
        <f>+RIGHT(AM11,2)</f>
        <v/>
      </c>
      <c r="AQ11" s="35" t="str">
        <f>+CONCATENATE(AN11,AO11,AP11)</f>
        <v/>
      </c>
      <c r="AR11" s="41">
        <f>AM11+_xlfn.XLOOKUP(C11,Hoja1!A:A,Hoja1!B:B)</f>
        <v>0</v>
      </c>
      <c r="AS11" s="42">
        <f>+DAY(AR11)</f>
        <v>0</v>
      </c>
      <c r="AT11" s="35">
        <f>+MONTH(AR11)</f>
        <v>1</v>
      </c>
      <c r="AU11" s="35">
        <f>+YEAR(AR11)</f>
        <v>1900</v>
      </c>
      <c r="AV11" s="35" t="str">
        <f>+CONCATENATE(TEXT(AS11,"00"),TEXT(AT11,"00"),RIGHT(AU11,2))</f>
        <v>000100</v>
      </c>
    </row>
    <row r="12" spans="1:48" s="31" customFormat="1" ht="10.15" hidden="1" customHeight="1" x14ac:dyDescent="0.25">
      <c r="A12" s="27"/>
      <c r="B12" s="27"/>
      <c r="C12" s="1"/>
      <c r="D12" s="1"/>
      <c r="E12" s="1"/>
      <c r="F12" s="1"/>
      <c r="G12" s="1"/>
      <c r="H12" s="28"/>
      <c r="I12" s="28"/>
      <c r="J12" s="1"/>
      <c r="K12" s="29"/>
      <c r="L12" s="28"/>
      <c r="M12" s="1"/>
      <c r="N12" s="1"/>
      <c r="O12" s="1"/>
      <c r="P12" s="1"/>
      <c r="Q12" s="1"/>
      <c r="R12" s="1"/>
      <c r="S12" s="28"/>
      <c r="T12" s="1"/>
      <c r="U12" s="1"/>
      <c r="V12" s="1"/>
      <c r="W12" s="28"/>
      <c r="X12" s="28"/>
      <c r="Y12" s="1"/>
      <c r="Z12" s="30"/>
      <c r="AA12" s="6"/>
      <c r="AB12" s="28"/>
      <c r="AC12" s="28"/>
      <c r="AD12" s="28"/>
      <c r="AE12" s="7"/>
      <c r="AF12" s="28"/>
      <c r="AG12" s="28"/>
      <c r="AH12" s="28"/>
      <c r="AI12" s="28"/>
      <c r="AJ12" s="28"/>
      <c r="AK12" s="28"/>
      <c r="AL12" s="28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s="31" customFormat="1" ht="10.15" hidden="1" customHeight="1" x14ac:dyDescent="0.25">
      <c r="A13" s="27"/>
      <c r="B13" s="27"/>
      <c r="C13" s="1"/>
      <c r="D13" s="1"/>
      <c r="E13" s="1"/>
      <c r="F13" s="1"/>
      <c r="G13" s="1"/>
      <c r="H13" s="28"/>
      <c r="I13" s="28"/>
      <c r="J13" s="1"/>
      <c r="K13" s="29"/>
      <c r="L13" s="28"/>
      <c r="M13" s="1"/>
      <c r="N13" s="1"/>
      <c r="O13" s="1"/>
      <c r="P13" s="1"/>
      <c r="Q13" s="1"/>
      <c r="R13" s="1"/>
      <c r="S13" s="28"/>
      <c r="T13" s="1"/>
      <c r="U13" s="1"/>
      <c r="V13" s="1"/>
      <c r="W13" s="28"/>
      <c r="X13" s="28"/>
      <c r="Y13" s="1"/>
      <c r="Z13" s="30"/>
      <c r="AA13" s="6"/>
      <c r="AB13" s="28"/>
      <c r="AC13" s="28"/>
      <c r="AD13" s="28"/>
      <c r="AE13" s="7"/>
      <c r="AF13" s="28"/>
      <c r="AG13" s="28"/>
      <c r="AH13" s="28"/>
      <c r="AI13" s="28"/>
      <c r="AJ13" s="28"/>
      <c r="AK13" s="28"/>
      <c r="AL13" s="28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s="31" customFormat="1" ht="10.15" hidden="1" customHeight="1" x14ac:dyDescent="0.25">
      <c r="A14" s="27"/>
      <c r="B14" s="27"/>
      <c r="C14" s="1"/>
      <c r="D14" s="1"/>
      <c r="E14" s="1"/>
      <c r="F14" s="1"/>
      <c r="G14" s="1"/>
      <c r="H14" s="28"/>
      <c r="I14" s="28"/>
      <c r="J14" s="1"/>
      <c r="K14" s="29"/>
      <c r="L14" s="28"/>
      <c r="M14" s="1"/>
      <c r="N14" s="1"/>
      <c r="O14" s="1"/>
      <c r="P14" s="1"/>
      <c r="Q14" s="1"/>
      <c r="R14" s="1"/>
      <c r="S14" s="28"/>
      <c r="T14" s="1"/>
      <c r="U14" s="1"/>
      <c r="V14" s="1"/>
      <c r="W14" s="28"/>
      <c r="X14" s="28"/>
      <c r="Y14" s="1"/>
      <c r="Z14" s="30"/>
      <c r="AA14" s="6"/>
      <c r="AB14" s="28"/>
      <c r="AC14" s="28"/>
      <c r="AD14" s="28"/>
      <c r="AE14" s="7"/>
      <c r="AF14" s="28"/>
      <c r="AG14" s="28"/>
      <c r="AH14" s="28"/>
      <c r="AI14" s="28"/>
      <c r="AJ14" s="28"/>
      <c r="AK14" s="28"/>
      <c r="AL14" s="28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ht="10.15" customHeight="1" x14ac:dyDescent="0.25">
      <c r="A15" s="44">
        <f>1+A11</f>
        <v>4</v>
      </c>
      <c r="B15" s="50"/>
      <c r="C15" s="57"/>
      <c r="D15" s="57"/>
      <c r="E15" s="34" t="str">
        <f>+AQ15</f>
        <v/>
      </c>
      <c r="F15" s="60"/>
      <c r="G15" s="34" t="str">
        <f>+AV15</f>
        <v>000100</v>
      </c>
      <c r="H15" s="35">
        <f>+AK15</f>
        <v>0</v>
      </c>
      <c r="I15" s="35">
        <f>+ROUND(AD15,2)</f>
        <v>0</v>
      </c>
      <c r="J15" s="57"/>
      <c r="K15" s="36">
        <f>+AE15</f>
        <v>0</v>
      </c>
      <c r="L15" s="35">
        <f>+AJ15</f>
        <v>0</v>
      </c>
      <c r="M15" s="37" t="s">
        <v>37</v>
      </c>
      <c r="N15" s="68"/>
      <c r="O15" s="57"/>
      <c r="P15" s="38" t="e">
        <f>+VLOOKUP(C15,Hoja1!$A$4:$C$57,3,FALSE)</f>
        <v>#N/A</v>
      </c>
      <c r="Q15" s="37" t="s">
        <v>38</v>
      </c>
      <c r="R15" s="68"/>
      <c r="S15" s="35" t="str">
        <f>(RIGHT(O15,7))</f>
        <v/>
      </c>
      <c r="T15" s="68"/>
      <c r="U15" s="37" t="s">
        <v>39</v>
      </c>
      <c r="V15" s="37" t="s">
        <v>40</v>
      </c>
      <c r="W15" s="35">
        <f>+AI15</f>
        <v>0</v>
      </c>
      <c r="X15" s="35">
        <f>+AJ15</f>
        <v>0</v>
      </c>
      <c r="Y15" s="33" t="s">
        <v>41</v>
      </c>
      <c r="Z15" s="39">
        <f>+F15</f>
        <v>0</v>
      </c>
      <c r="AA15" s="40"/>
      <c r="AB15" s="65"/>
      <c r="AC15" s="35">
        <v>0</v>
      </c>
      <c r="AD15" s="35">
        <f t="shared" ref="AD15" si="12">+AB15+AC15</f>
        <v>0</v>
      </c>
      <c r="AE15" s="67"/>
      <c r="AF15" s="35">
        <f>+AB15*AE15</f>
        <v>0</v>
      </c>
      <c r="AG15" s="35">
        <f>+AC15*AE15</f>
        <v>0</v>
      </c>
      <c r="AH15" s="35">
        <f>+AD15*AE15</f>
        <v>0</v>
      </c>
      <c r="AI15" s="35">
        <f t="shared" ref="AI15" si="13">+ROUND(AF15,2)</f>
        <v>0</v>
      </c>
      <c r="AJ15" s="35">
        <f t="shared" ref="AJ15" si="14">+ROUND(AG15,2)</f>
        <v>0</v>
      </c>
      <c r="AK15" s="35">
        <f t="shared" ref="AK15" si="15">+ROUND(AH15,2)</f>
        <v>0</v>
      </c>
      <c r="AL15" s="35">
        <f>+AI15+AJ15-AK15</f>
        <v>0</v>
      </c>
      <c r="AM15" s="63"/>
      <c r="AN15" s="35" t="str">
        <f>+LEFT(AM15,2)</f>
        <v/>
      </c>
      <c r="AO15" s="35" t="str">
        <f>+MID(AM15,4,2)</f>
        <v/>
      </c>
      <c r="AP15" s="35" t="str">
        <f>+RIGHT(AM15,2)</f>
        <v/>
      </c>
      <c r="AQ15" s="35" t="str">
        <f>+CONCATENATE(AN15,AO15,AP15)</f>
        <v/>
      </c>
      <c r="AR15" s="41">
        <f>AM15+_xlfn.XLOOKUP(C15,Hoja1!A:A,Hoja1!B:B)</f>
        <v>0</v>
      </c>
      <c r="AS15" s="42">
        <f>+DAY(AR15)</f>
        <v>0</v>
      </c>
      <c r="AT15" s="35">
        <f>+MONTH(AR15)</f>
        <v>1</v>
      </c>
      <c r="AU15" s="35">
        <f>+YEAR(AR15)</f>
        <v>1900</v>
      </c>
      <c r="AV15" s="35" t="str">
        <f>+CONCATENATE(TEXT(AS15,"00"),TEXT(AT15,"00"),RIGHT(AU15,2))</f>
        <v>000100</v>
      </c>
    </row>
    <row r="16" spans="1:48" s="31" customFormat="1" ht="10.15" hidden="1" customHeight="1" x14ac:dyDescent="0.25">
      <c r="A16" s="27"/>
      <c r="B16" s="27"/>
      <c r="C16" s="1"/>
      <c r="D16" s="1"/>
      <c r="E16" s="1"/>
      <c r="F16" s="1"/>
      <c r="G16" s="1"/>
      <c r="H16" s="28"/>
      <c r="I16" s="28"/>
      <c r="J16" s="1"/>
      <c r="K16" s="29"/>
      <c r="L16" s="28"/>
      <c r="M16" s="1"/>
      <c r="N16" s="1"/>
      <c r="O16" s="1"/>
      <c r="P16" s="1"/>
      <c r="Q16" s="1"/>
      <c r="R16" s="1"/>
      <c r="S16" s="28"/>
      <c r="T16" s="1"/>
      <c r="U16" s="1"/>
      <c r="V16" s="1"/>
      <c r="W16" s="28"/>
      <c r="X16" s="28"/>
      <c r="Y16" s="1"/>
      <c r="Z16" s="30"/>
      <c r="AA16" s="6"/>
      <c r="AB16" s="28"/>
      <c r="AC16" s="28"/>
      <c r="AD16" s="28"/>
      <c r="AE16" s="7"/>
      <c r="AF16" s="28"/>
      <c r="AG16" s="28"/>
      <c r="AH16" s="28"/>
      <c r="AI16" s="28"/>
      <c r="AJ16" s="28"/>
      <c r="AK16" s="28"/>
      <c r="AL16" s="28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s="31" customFormat="1" ht="10.15" hidden="1" customHeight="1" x14ac:dyDescent="0.25">
      <c r="A17" s="27"/>
      <c r="B17" s="27"/>
      <c r="C17" s="1"/>
      <c r="D17" s="1"/>
      <c r="E17" s="1"/>
      <c r="F17" s="1"/>
      <c r="G17" s="1"/>
      <c r="H17" s="28"/>
      <c r="I17" s="28"/>
      <c r="J17" s="1"/>
      <c r="K17" s="29"/>
      <c r="L17" s="28"/>
      <c r="M17" s="1"/>
      <c r="N17" s="1"/>
      <c r="O17" s="1"/>
      <c r="P17" s="1"/>
      <c r="Q17" s="1"/>
      <c r="R17" s="1"/>
      <c r="S17" s="28"/>
      <c r="T17" s="1"/>
      <c r="U17" s="1"/>
      <c r="V17" s="1"/>
      <c r="W17" s="28"/>
      <c r="X17" s="28"/>
      <c r="Y17" s="1"/>
      <c r="Z17" s="30"/>
      <c r="AA17" s="6"/>
      <c r="AB17" s="28"/>
      <c r="AC17" s="28"/>
      <c r="AD17" s="28"/>
      <c r="AE17" s="7"/>
      <c r="AF17" s="28"/>
      <c r="AG17" s="28"/>
      <c r="AH17" s="28"/>
      <c r="AI17" s="28"/>
      <c r="AJ17" s="28"/>
      <c r="AK17" s="28"/>
      <c r="AL17" s="28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s="31" customFormat="1" ht="10.15" hidden="1" customHeight="1" x14ac:dyDescent="0.25">
      <c r="A18" s="27"/>
      <c r="B18" s="27"/>
      <c r="C18" s="1"/>
      <c r="D18" s="1"/>
      <c r="E18" s="1"/>
      <c r="F18" s="1"/>
      <c r="G18" s="1"/>
      <c r="H18" s="28"/>
      <c r="I18" s="28"/>
      <c r="J18" s="1"/>
      <c r="K18" s="29"/>
      <c r="L18" s="28"/>
      <c r="M18" s="1"/>
      <c r="N18" s="1"/>
      <c r="O18" s="1"/>
      <c r="P18" s="1"/>
      <c r="Q18" s="1"/>
      <c r="R18" s="1"/>
      <c r="S18" s="28"/>
      <c r="T18" s="1"/>
      <c r="U18" s="1"/>
      <c r="V18" s="1"/>
      <c r="W18" s="28"/>
      <c r="X18" s="28"/>
      <c r="Y18" s="1"/>
      <c r="Z18" s="30"/>
      <c r="AA18" s="6"/>
      <c r="AB18" s="28"/>
      <c r="AC18" s="28"/>
      <c r="AD18" s="28"/>
      <c r="AE18" s="7"/>
      <c r="AF18" s="28"/>
      <c r="AG18" s="28"/>
      <c r="AH18" s="28"/>
      <c r="AI18" s="28"/>
      <c r="AJ18" s="28"/>
      <c r="AK18" s="28"/>
      <c r="AL18" s="28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ht="10.15" customHeight="1" x14ac:dyDescent="0.25">
      <c r="A19" s="44">
        <f>1+A15</f>
        <v>5</v>
      </c>
      <c r="B19" s="50"/>
      <c r="C19" s="57"/>
      <c r="D19" s="57"/>
      <c r="E19" s="34" t="str">
        <f>+AQ19</f>
        <v/>
      </c>
      <c r="F19" s="60"/>
      <c r="G19" s="34" t="str">
        <f>+AV19</f>
        <v>000100</v>
      </c>
      <c r="H19" s="35">
        <f>+AK19</f>
        <v>0</v>
      </c>
      <c r="I19" s="35">
        <f>+ROUND(AD19,2)</f>
        <v>0</v>
      </c>
      <c r="J19" s="57"/>
      <c r="K19" s="36">
        <f>+AE19</f>
        <v>0</v>
      </c>
      <c r="L19" s="35">
        <f>+AJ19</f>
        <v>0</v>
      </c>
      <c r="M19" s="37" t="s">
        <v>37</v>
      </c>
      <c r="N19" s="68"/>
      <c r="O19" s="57"/>
      <c r="P19" s="38" t="e">
        <f>+VLOOKUP(C19,Hoja1!$A$4:$C$57,3,FALSE)</f>
        <v>#N/A</v>
      </c>
      <c r="Q19" s="37" t="s">
        <v>38</v>
      </c>
      <c r="R19" s="68"/>
      <c r="S19" s="35" t="str">
        <f>(RIGHT(O19,7))</f>
        <v/>
      </c>
      <c r="T19" s="68"/>
      <c r="U19" s="37" t="s">
        <v>39</v>
      </c>
      <c r="V19" s="37" t="s">
        <v>40</v>
      </c>
      <c r="W19" s="35">
        <f>+AI19</f>
        <v>0</v>
      </c>
      <c r="X19" s="35">
        <f>+AJ19</f>
        <v>0</v>
      </c>
      <c r="Y19" s="33" t="s">
        <v>41</v>
      </c>
      <c r="Z19" s="39">
        <f>+F19</f>
        <v>0</v>
      </c>
      <c r="AA19" s="40"/>
      <c r="AB19" s="65"/>
      <c r="AC19" s="35">
        <v>0</v>
      </c>
      <c r="AD19" s="35">
        <f t="shared" ref="AD19" si="16">+AB19+AC19</f>
        <v>0</v>
      </c>
      <c r="AE19" s="67"/>
      <c r="AF19" s="35">
        <f>+AB19*AE19</f>
        <v>0</v>
      </c>
      <c r="AG19" s="35">
        <f>+AC19*AE19</f>
        <v>0</v>
      </c>
      <c r="AH19" s="35">
        <f>+AD19*AE19</f>
        <v>0</v>
      </c>
      <c r="AI19" s="35">
        <f t="shared" ref="AI19" si="17">+ROUND(AF19,2)</f>
        <v>0</v>
      </c>
      <c r="AJ19" s="35">
        <f t="shared" ref="AJ19" si="18">+ROUND(AG19,2)</f>
        <v>0</v>
      </c>
      <c r="AK19" s="35">
        <f t="shared" ref="AK19" si="19">+ROUND(AH19,2)</f>
        <v>0</v>
      </c>
      <c r="AL19" s="35">
        <f>+AI19+AJ19-AK19</f>
        <v>0</v>
      </c>
      <c r="AM19" s="63"/>
      <c r="AN19" s="35" t="str">
        <f>+LEFT(AM19,2)</f>
        <v/>
      </c>
      <c r="AO19" s="35" t="str">
        <f>+MID(AM19,4,2)</f>
        <v/>
      </c>
      <c r="AP19" s="35" t="str">
        <f>+RIGHT(AM19,2)</f>
        <v/>
      </c>
      <c r="AQ19" s="35" t="str">
        <f>+CONCATENATE(AN19,AO19,AP19)</f>
        <v/>
      </c>
      <c r="AR19" s="41">
        <f>AM19+_xlfn.XLOOKUP(C19,Hoja1!A:A,Hoja1!B:B)</f>
        <v>0</v>
      </c>
      <c r="AS19" s="42">
        <f>+DAY(AR19)</f>
        <v>0</v>
      </c>
      <c r="AT19" s="35">
        <f>+MONTH(AR19)</f>
        <v>1</v>
      </c>
      <c r="AU19" s="35">
        <f>+YEAR(AR19)</f>
        <v>1900</v>
      </c>
      <c r="AV19" s="35" t="str">
        <f>+CONCATENATE(TEXT(AS19,"00"),TEXT(AT19,"00"),RIGHT(AU19,2))</f>
        <v>000100</v>
      </c>
    </row>
    <row r="20" spans="1:48" s="31" customFormat="1" ht="10.15" hidden="1" customHeight="1" x14ac:dyDescent="0.25">
      <c r="A20" s="27"/>
      <c r="B20" s="27"/>
      <c r="C20" s="1"/>
      <c r="D20" s="1"/>
      <c r="E20" s="1"/>
      <c r="F20" s="1"/>
      <c r="G20" s="1"/>
      <c r="H20" s="28"/>
      <c r="I20" s="28"/>
      <c r="J20" s="1"/>
      <c r="K20" s="29"/>
      <c r="L20" s="28"/>
      <c r="M20" s="1"/>
      <c r="N20" s="1"/>
      <c r="O20" s="1"/>
      <c r="P20" s="1"/>
      <c r="Q20" s="1"/>
      <c r="R20" s="1"/>
      <c r="S20" s="28"/>
      <c r="T20" s="1"/>
      <c r="U20" s="1"/>
      <c r="V20" s="1"/>
      <c r="W20" s="28"/>
      <c r="X20" s="28"/>
      <c r="Y20" s="1"/>
      <c r="Z20" s="30"/>
      <c r="AA20" s="6"/>
      <c r="AB20" s="28"/>
      <c r="AC20" s="28"/>
      <c r="AD20" s="28"/>
      <c r="AE20" s="7"/>
      <c r="AF20" s="28"/>
      <c r="AG20" s="28"/>
      <c r="AH20" s="28"/>
      <c r="AI20" s="28"/>
      <c r="AJ20" s="28"/>
      <c r="AK20" s="28"/>
      <c r="AL20" s="28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s="31" customFormat="1" ht="10.15" hidden="1" customHeight="1" x14ac:dyDescent="0.25">
      <c r="A21" s="27"/>
      <c r="B21" s="27"/>
      <c r="C21" s="1"/>
      <c r="D21" s="1"/>
      <c r="E21" s="1"/>
      <c r="F21" s="1"/>
      <c r="G21" s="1"/>
      <c r="H21" s="28"/>
      <c r="I21" s="28"/>
      <c r="J21" s="1"/>
      <c r="K21" s="29"/>
      <c r="L21" s="28"/>
      <c r="M21" s="1"/>
      <c r="N21" s="1"/>
      <c r="O21" s="1"/>
      <c r="P21" s="1"/>
      <c r="Q21" s="1"/>
      <c r="R21" s="1"/>
      <c r="S21" s="28"/>
      <c r="T21" s="1"/>
      <c r="U21" s="1"/>
      <c r="V21" s="1"/>
      <c r="W21" s="28"/>
      <c r="X21" s="28"/>
      <c r="Y21" s="1"/>
      <c r="Z21" s="30"/>
      <c r="AA21" s="6"/>
      <c r="AB21" s="28"/>
      <c r="AC21" s="28"/>
      <c r="AD21" s="28"/>
      <c r="AE21" s="7"/>
      <c r="AF21" s="28"/>
      <c r="AG21" s="28"/>
      <c r="AH21" s="28"/>
      <c r="AI21" s="28"/>
      <c r="AJ21" s="28"/>
      <c r="AK21" s="28"/>
      <c r="AL21" s="28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s="31" customFormat="1" ht="10.15" hidden="1" customHeight="1" x14ac:dyDescent="0.25">
      <c r="A22" s="27"/>
      <c r="B22" s="27"/>
      <c r="C22" s="1"/>
      <c r="D22" s="1"/>
      <c r="E22" s="1"/>
      <c r="F22" s="1"/>
      <c r="G22" s="1"/>
      <c r="H22" s="28"/>
      <c r="I22" s="28"/>
      <c r="J22" s="1"/>
      <c r="K22" s="29"/>
      <c r="L22" s="28"/>
      <c r="M22" s="1"/>
      <c r="N22" s="1"/>
      <c r="O22" s="1"/>
      <c r="P22" s="1"/>
      <c r="Q22" s="1"/>
      <c r="R22" s="1"/>
      <c r="S22" s="28"/>
      <c r="T22" s="1"/>
      <c r="U22" s="1"/>
      <c r="V22" s="1"/>
      <c r="W22" s="28"/>
      <c r="X22" s="28"/>
      <c r="Y22" s="1"/>
      <c r="Z22" s="30"/>
      <c r="AA22" s="6"/>
      <c r="AB22" s="28"/>
      <c r="AC22" s="28"/>
      <c r="AD22" s="28"/>
      <c r="AE22" s="7"/>
      <c r="AF22" s="28"/>
      <c r="AG22" s="28"/>
      <c r="AH22" s="28"/>
      <c r="AI22" s="28"/>
      <c r="AJ22" s="28"/>
      <c r="AK22" s="28"/>
      <c r="AL22" s="28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ht="10.15" customHeight="1" x14ac:dyDescent="0.25">
      <c r="A23" s="44">
        <f>1+A19</f>
        <v>6</v>
      </c>
      <c r="B23" s="38"/>
      <c r="C23" s="57"/>
      <c r="D23" s="57"/>
      <c r="E23" s="34" t="str">
        <f>+AQ23</f>
        <v/>
      </c>
      <c r="F23" s="60"/>
      <c r="G23" s="34" t="str">
        <f>+AV23</f>
        <v>000100</v>
      </c>
      <c r="H23" s="35">
        <f>+AK23</f>
        <v>0</v>
      </c>
      <c r="I23" s="35">
        <f>+ROUND(AD23,2)</f>
        <v>0</v>
      </c>
      <c r="J23" s="57"/>
      <c r="K23" s="36">
        <f>+AE23</f>
        <v>0</v>
      </c>
      <c r="L23" s="35">
        <f>+AJ23</f>
        <v>0</v>
      </c>
      <c r="M23" s="37" t="s">
        <v>37</v>
      </c>
      <c r="N23" s="68"/>
      <c r="O23" s="57"/>
      <c r="P23" s="38" t="e">
        <f>+VLOOKUP(C23,Hoja1!$A$4:$C$57,3,FALSE)</f>
        <v>#N/A</v>
      </c>
      <c r="Q23" s="37" t="s">
        <v>38</v>
      </c>
      <c r="R23" s="68"/>
      <c r="S23" s="35" t="str">
        <f>(RIGHT(O23,7))</f>
        <v/>
      </c>
      <c r="T23" s="68"/>
      <c r="U23" s="37" t="s">
        <v>39</v>
      </c>
      <c r="V23" s="37" t="s">
        <v>40</v>
      </c>
      <c r="W23" s="35">
        <f>+AI23</f>
        <v>0</v>
      </c>
      <c r="X23" s="35">
        <f>+AJ23</f>
        <v>0</v>
      </c>
      <c r="Y23" s="33" t="s">
        <v>41</v>
      </c>
      <c r="Z23" s="39">
        <f>+F23</f>
        <v>0</v>
      </c>
      <c r="AA23" s="40"/>
      <c r="AB23" s="65"/>
      <c r="AC23" s="35">
        <v>0</v>
      </c>
      <c r="AD23" s="35">
        <f t="shared" ref="AD23" si="20">+AB23+AC23</f>
        <v>0</v>
      </c>
      <c r="AE23" s="67"/>
      <c r="AF23" s="35">
        <f>+AB23*AE23</f>
        <v>0</v>
      </c>
      <c r="AG23" s="35">
        <f>+AC23*AE23</f>
        <v>0</v>
      </c>
      <c r="AH23" s="35">
        <f>+AD23*AE23</f>
        <v>0</v>
      </c>
      <c r="AI23" s="35">
        <f t="shared" ref="AI23" si="21">+ROUND(AF23,2)</f>
        <v>0</v>
      </c>
      <c r="AJ23" s="35">
        <f t="shared" ref="AJ23" si="22">+ROUND(AG23,2)</f>
        <v>0</v>
      </c>
      <c r="AK23" s="35">
        <f t="shared" ref="AK23" si="23">+ROUND(AH23,2)</f>
        <v>0</v>
      </c>
      <c r="AL23" s="35">
        <f>+AI23+AJ23-AK23</f>
        <v>0</v>
      </c>
      <c r="AM23" s="62"/>
      <c r="AN23" s="35" t="str">
        <f>+LEFT(AM23,2)</f>
        <v/>
      </c>
      <c r="AO23" s="35" t="str">
        <f>+MID(AM23,4,2)</f>
        <v/>
      </c>
      <c r="AP23" s="35" t="str">
        <f>+RIGHT(AM23,2)</f>
        <v/>
      </c>
      <c r="AQ23" s="35" t="str">
        <f>+CONCATENATE(AN23,AO23,AP23)</f>
        <v/>
      </c>
      <c r="AR23" s="41">
        <f>AM23+_xlfn.XLOOKUP(C23,Hoja1!A:A,Hoja1!B:B)</f>
        <v>0</v>
      </c>
      <c r="AS23" s="42">
        <f>+DAY(AR23)</f>
        <v>0</v>
      </c>
      <c r="AT23" s="35">
        <f>+MONTH(AR23)</f>
        <v>1</v>
      </c>
      <c r="AU23" s="35">
        <f>+YEAR(AR23)</f>
        <v>1900</v>
      </c>
      <c r="AV23" s="35" t="str">
        <f>+CONCATENATE(TEXT(AS23,"00"),TEXT(AT23,"00"),RIGHT(AU23,2))</f>
        <v>000100</v>
      </c>
    </row>
    <row r="24" spans="1:48" s="31" customFormat="1" ht="10.15" hidden="1" customHeight="1" x14ac:dyDescent="0.25">
      <c r="A24" s="27"/>
      <c r="B24" s="27"/>
      <c r="C24" s="1"/>
      <c r="D24" s="1"/>
      <c r="E24" s="1"/>
      <c r="F24" s="1"/>
      <c r="G24" s="1"/>
      <c r="H24" s="28"/>
      <c r="I24" s="28"/>
      <c r="J24" s="1"/>
      <c r="K24" s="29"/>
      <c r="L24" s="28"/>
      <c r="M24" s="1"/>
      <c r="N24" s="1"/>
      <c r="O24" s="1"/>
      <c r="P24" s="1"/>
      <c r="Q24" s="1"/>
      <c r="R24" s="1"/>
      <c r="S24" s="28"/>
      <c r="T24" s="1"/>
      <c r="U24" s="1"/>
      <c r="V24" s="1"/>
      <c r="W24" s="28"/>
      <c r="X24" s="28"/>
      <c r="Y24" s="1"/>
      <c r="Z24" s="30"/>
      <c r="AA24" s="6"/>
      <c r="AB24" s="28"/>
      <c r="AC24" s="28"/>
      <c r="AD24" s="28"/>
      <c r="AE24" s="7"/>
      <c r="AF24" s="28"/>
      <c r="AG24" s="28"/>
      <c r="AH24" s="28"/>
      <c r="AI24" s="28"/>
      <c r="AJ24" s="28"/>
      <c r="AK24" s="28"/>
      <c r="AL24" s="28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s="31" customFormat="1" ht="10.15" hidden="1" customHeight="1" x14ac:dyDescent="0.25">
      <c r="A25" s="27"/>
      <c r="B25" s="27"/>
      <c r="C25" s="1"/>
      <c r="D25" s="1"/>
      <c r="E25" s="1"/>
      <c r="F25" s="1"/>
      <c r="G25" s="1"/>
      <c r="H25" s="28"/>
      <c r="I25" s="28"/>
      <c r="J25" s="1"/>
      <c r="K25" s="29"/>
      <c r="L25" s="28"/>
      <c r="M25" s="1"/>
      <c r="N25" s="1"/>
      <c r="O25" s="1"/>
      <c r="P25" s="1"/>
      <c r="Q25" s="1"/>
      <c r="R25" s="1"/>
      <c r="S25" s="28"/>
      <c r="T25" s="1"/>
      <c r="U25" s="1"/>
      <c r="V25" s="1"/>
      <c r="W25" s="28"/>
      <c r="X25" s="28"/>
      <c r="Y25" s="1"/>
      <c r="Z25" s="30"/>
      <c r="AA25" s="6"/>
      <c r="AB25" s="28"/>
      <c r="AC25" s="28"/>
      <c r="AD25" s="28"/>
      <c r="AE25" s="7"/>
      <c r="AF25" s="28"/>
      <c r="AG25" s="28"/>
      <c r="AH25" s="28"/>
      <c r="AI25" s="28"/>
      <c r="AJ25" s="28"/>
      <c r="AK25" s="28"/>
      <c r="AL25" s="28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s="31" customFormat="1" ht="10.15" hidden="1" customHeight="1" x14ac:dyDescent="0.25">
      <c r="A26" s="27"/>
      <c r="B26" s="27"/>
      <c r="C26" s="1"/>
      <c r="D26" s="1"/>
      <c r="E26" s="1"/>
      <c r="F26" s="1"/>
      <c r="G26" s="1"/>
      <c r="H26" s="28"/>
      <c r="I26" s="28"/>
      <c r="J26" s="1"/>
      <c r="K26" s="29"/>
      <c r="L26" s="28"/>
      <c r="M26" s="1"/>
      <c r="N26" s="1"/>
      <c r="O26" s="1"/>
      <c r="P26" s="1"/>
      <c r="Q26" s="1"/>
      <c r="R26" s="1"/>
      <c r="S26" s="28"/>
      <c r="T26" s="1"/>
      <c r="U26" s="1"/>
      <c r="V26" s="1"/>
      <c r="W26" s="28"/>
      <c r="X26" s="28"/>
      <c r="Y26" s="1"/>
      <c r="Z26" s="30"/>
      <c r="AA26" s="6"/>
      <c r="AB26" s="28"/>
      <c r="AC26" s="28"/>
      <c r="AD26" s="28"/>
      <c r="AE26" s="7"/>
      <c r="AF26" s="28"/>
      <c r="AG26" s="28"/>
      <c r="AH26" s="28"/>
      <c r="AI26" s="28"/>
      <c r="AJ26" s="28"/>
      <c r="AK26" s="28"/>
      <c r="AL26" s="28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ht="10.15" customHeight="1" x14ac:dyDescent="0.25">
      <c r="A27" s="44">
        <f>1+A23</f>
        <v>7</v>
      </c>
      <c r="B27" s="38"/>
      <c r="C27" s="57"/>
      <c r="D27" s="57"/>
      <c r="E27" s="34" t="str">
        <f>+AQ27</f>
        <v/>
      </c>
      <c r="F27" s="60"/>
      <c r="G27" s="34" t="str">
        <f>+AV27</f>
        <v>000100</v>
      </c>
      <c r="H27" s="35">
        <f>+AK27</f>
        <v>0</v>
      </c>
      <c r="I27" s="35">
        <f>+ROUND(AD27,2)</f>
        <v>0</v>
      </c>
      <c r="J27" s="57"/>
      <c r="K27" s="36">
        <f>+AE27</f>
        <v>0</v>
      </c>
      <c r="L27" s="35">
        <f>+AJ27</f>
        <v>0</v>
      </c>
      <c r="M27" s="37" t="s">
        <v>37</v>
      </c>
      <c r="N27" s="68"/>
      <c r="O27" s="57"/>
      <c r="P27" s="38" t="e">
        <f>+VLOOKUP(C27,Hoja1!$A$4:$C$57,3,FALSE)</f>
        <v>#N/A</v>
      </c>
      <c r="Q27" s="37" t="s">
        <v>38</v>
      </c>
      <c r="R27" s="68"/>
      <c r="S27" s="35" t="str">
        <f>(RIGHT(O27,7))</f>
        <v/>
      </c>
      <c r="T27" s="68"/>
      <c r="U27" s="37" t="s">
        <v>39</v>
      </c>
      <c r="V27" s="37" t="s">
        <v>40</v>
      </c>
      <c r="W27" s="35">
        <f>+AI27</f>
        <v>0</v>
      </c>
      <c r="X27" s="35">
        <f>+AJ27</f>
        <v>0</v>
      </c>
      <c r="Y27" s="33" t="s">
        <v>41</v>
      </c>
      <c r="Z27" s="39">
        <f>+F27</f>
        <v>0</v>
      </c>
      <c r="AA27" s="40"/>
      <c r="AB27" s="65"/>
      <c r="AC27" s="35">
        <v>0</v>
      </c>
      <c r="AD27" s="35">
        <f t="shared" ref="AD27" si="24">+AB27+AC27</f>
        <v>0</v>
      </c>
      <c r="AE27" s="67"/>
      <c r="AF27" s="35">
        <f>+AB27*AE27</f>
        <v>0</v>
      </c>
      <c r="AG27" s="35">
        <f>+AC27*AE27</f>
        <v>0</v>
      </c>
      <c r="AH27" s="35">
        <f>+AD27*AE27</f>
        <v>0</v>
      </c>
      <c r="AI27" s="35">
        <f t="shared" ref="AI27" si="25">+ROUND(AF27,2)</f>
        <v>0</v>
      </c>
      <c r="AJ27" s="35">
        <f t="shared" ref="AJ27" si="26">+ROUND(AG27,2)</f>
        <v>0</v>
      </c>
      <c r="AK27" s="35">
        <f t="shared" ref="AK27" si="27">+ROUND(AH27,2)</f>
        <v>0</v>
      </c>
      <c r="AL27" s="35">
        <f>+AI27+AJ27-AK27</f>
        <v>0</v>
      </c>
      <c r="AM27" s="63"/>
      <c r="AN27" s="35" t="str">
        <f>+LEFT(AM27,2)</f>
        <v/>
      </c>
      <c r="AO27" s="35" t="str">
        <f>+MID(AM27,4,2)</f>
        <v/>
      </c>
      <c r="AP27" s="35" t="str">
        <f>+RIGHT(AM27,2)</f>
        <v/>
      </c>
      <c r="AQ27" s="35" t="str">
        <f>+CONCATENATE(AN27,AO27,AP27)</f>
        <v/>
      </c>
      <c r="AR27" s="41">
        <f>AM27+_xlfn.XLOOKUP(C27,Hoja1!A:A,Hoja1!B:B)</f>
        <v>0</v>
      </c>
      <c r="AS27" s="42">
        <f>+DAY(AR27)</f>
        <v>0</v>
      </c>
      <c r="AT27" s="35">
        <f>+MONTH(AR27)</f>
        <v>1</v>
      </c>
      <c r="AU27" s="35">
        <f>+YEAR(AR27)</f>
        <v>1900</v>
      </c>
      <c r="AV27" s="35" t="str">
        <f>+CONCATENATE(TEXT(AS27,"00"),TEXT(AT27,"00"),RIGHT(AU27,2))</f>
        <v>000100</v>
      </c>
    </row>
    <row r="28" spans="1:48" s="31" customFormat="1" ht="10.15" hidden="1" customHeight="1" x14ac:dyDescent="0.25">
      <c r="A28" s="27"/>
      <c r="B28" s="27"/>
      <c r="C28" s="1"/>
      <c r="D28" s="1"/>
      <c r="E28" s="1"/>
      <c r="F28" s="1"/>
      <c r="G28" s="1"/>
      <c r="H28" s="28"/>
      <c r="I28" s="28"/>
      <c r="J28" s="1"/>
      <c r="K28" s="29"/>
      <c r="L28" s="28"/>
      <c r="M28" s="1"/>
      <c r="N28" s="1"/>
      <c r="O28" s="1"/>
      <c r="P28" s="1"/>
      <c r="Q28" s="1"/>
      <c r="R28" s="1"/>
      <c r="S28" s="28"/>
      <c r="T28" s="1"/>
      <c r="U28" s="1"/>
      <c r="V28" s="1"/>
      <c r="W28" s="28"/>
      <c r="X28" s="28"/>
      <c r="Y28" s="1"/>
      <c r="Z28" s="30"/>
      <c r="AA28" s="6"/>
      <c r="AB28" s="28"/>
      <c r="AC28" s="28"/>
      <c r="AD28" s="28"/>
      <c r="AE28" s="7"/>
      <c r="AF28" s="28"/>
      <c r="AG28" s="28"/>
      <c r="AH28" s="28"/>
      <c r="AI28" s="28"/>
      <c r="AJ28" s="28"/>
      <c r="AK28" s="28"/>
      <c r="AL28" s="28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s="31" customFormat="1" ht="10.15" hidden="1" customHeight="1" x14ac:dyDescent="0.25">
      <c r="A29" s="27"/>
      <c r="B29" s="27"/>
      <c r="C29" s="1"/>
      <c r="D29" s="1"/>
      <c r="E29" s="1"/>
      <c r="F29" s="1"/>
      <c r="G29" s="1"/>
      <c r="H29" s="28"/>
      <c r="I29" s="28"/>
      <c r="J29" s="1"/>
      <c r="K29" s="29"/>
      <c r="L29" s="28"/>
      <c r="M29" s="1"/>
      <c r="N29" s="1"/>
      <c r="O29" s="1"/>
      <c r="P29" s="1"/>
      <c r="Q29" s="1"/>
      <c r="R29" s="1"/>
      <c r="S29" s="28"/>
      <c r="T29" s="1"/>
      <c r="U29" s="1"/>
      <c r="V29" s="1"/>
      <c r="W29" s="28"/>
      <c r="X29" s="28"/>
      <c r="Y29" s="1"/>
      <c r="Z29" s="30"/>
      <c r="AA29" s="6"/>
      <c r="AB29" s="28"/>
      <c r="AC29" s="28"/>
      <c r="AD29" s="28"/>
      <c r="AE29" s="7"/>
      <c r="AF29" s="28"/>
      <c r="AG29" s="28"/>
      <c r="AH29" s="28"/>
      <c r="AI29" s="28"/>
      <c r="AJ29" s="28"/>
      <c r="AK29" s="28"/>
      <c r="AL29" s="28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s="31" customFormat="1" ht="10.15" hidden="1" customHeight="1" x14ac:dyDescent="0.25">
      <c r="A30" s="27"/>
      <c r="B30" s="27"/>
      <c r="C30" s="1"/>
      <c r="D30" s="1"/>
      <c r="E30" s="1"/>
      <c r="F30" s="1"/>
      <c r="G30" s="1"/>
      <c r="H30" s="28"/>
      <c r="I30" s="28"/>
      <c r="J30" s="1"/>
      <c r="K30" s="29"/>
      <c r="L30" s="28"/>
      <c r="M30" s="1"/>
      <c r="N30" s="1"/>
      <c r="O30" s="1"/>
      <c r="P30" s="1"/>
      <c r="Q30" s="1"/>
      <c r="R30" s="1"/>
      <c r="S30" s="28"/>
      <c r="T30" s="1"/>
      <c r="U30" s="1"/>
      <c r="V30" s="1"/>
      <c r="W30" s="28"/>
      <c r="X30" s="28"/>
      <c r="Y30" s="1"/>
      <c r="Z30" s="30"/>
      <c r="AA30" s="6"/>
      <c r="AB30" s="28"/>
      <c r="AC30" s="28"/>
      <c r="AD30" s="28"/>
      <c r="AE30" s="7"/>
      <c r="AF30" s="28"/>
      <c r="AG30" s="28"/>
      <c r="AH30" s="28"/>
      <c r="AI30" s="28"/>
      <c r="AJ30" s="28"/>
      <c r="AK30" s="28"/>
      <c r="AL30" s="28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ht="10.15" customHeight="1" x14ac:dyDescent="0.25">
      <c r="A31" s="44">
        <f>1+A27</f>
        <v>8</v>
      </c>
      <c r="B31" s="50"/>
      <c r="C31" s="57"/>
      <c r="D31" s="57"/>
      <c r="E31" s="34" t="str">
        <f>+AQ31</f>
        <v/>
      </c>
      <c r="F31" s="60"/>
      <c r="G31" s="34" t="str">
        <f>+AV31</f>
        <v>000100</v>
      </c>
      <c r="H31" s="35">
        <f>+AK31</f>
        <v>0</v>
      </c>
      <c r="I31" s="35">
        <f>+ROUND(AD31,2)</f>
        <v>0</v>
      </c>
      <c r="J31" s="57"/>
      <c r="K31" s="36">
        <f>+AE31</f>
        <v>0</v>
      </c>
      <c r="L31" s="35">
        <f>+AJ31</f>
        <v>0</v>
      </c>
      <c r="M31" s="37" t="s">
        <v>37</v>
      </c>
      <c r="N31" s="68"/>
      <c r="O31" s="57"/>
      <c r="P31" s="38" t="e">
        <f>+VLOOKUP(C31,Hoja1!$A$4:$C$57,3,FALSE)</f>
        <v>#N/A</v>
      </c>
      <c r="Q31" s="37" t="s">
        <v>38</v>
      </c>
      <c r="R31" s="68"/>
      <c r="S31" s="35" t="str">
        <f>(RIGHT(O31,7))</f>
        <v/>
      </c>
      <c r="T31" s="68"/>
      <c r="U31" s="37" t="s">
        <v>39</v>
      </c>
      <c r="V31" s="37" t="s">
        <v>40</v>
      </c>
      <c r="W31" s="35">
        <f>+AI31</f>
        <v>0</v>
      </c>
      <c r="X31" s="35">
        <f>+AJ31</f>
        <v>0</v>
      </c>
      <c r="Y31" s="33" t="s">
        <v>41</v>
      </c>
      <c r="Z31" s="39">
        <f>+F31</f>
        <v>0</v>
      </c>
      <c r="AA31" s="40"/>
      <c r="AB31" s="65"/>
      <c r="AC31" s="35">
        <v>0</v>
      </c>
      <c r="AD31" s="35">
        <f t="shared" ref="AD31" si="28">+AB31+AC31</f>
        <v>0</v>
      </c>
      <c r="AE31" s="67"/>
      <c r="AF31" s="35">
        <f>+AB31*AE31</f>
        <v>0</v>
      </c>
      <c r="AG31" s="35">
        <f>+AC31*AE31</f>
        <v>0</v>
      </c>
      <c r="AH31" s="35">
        <f>+AD31*AE31</f>
        <v>0</v>
      </c>
      <c r="AI31" s="35">
        <f t="shared" ref="AI31" si="29">+ROUND(AF31,2)</f>
        <v>0</v>
      </c>
      <c r="AJ31" s="35">
        <f t="shared" ref="AJ31" si="30">+ROUND(AG31,2)</f>
        <v>0</v>
      </c>
      <c r="AK31" s="35">
        <f t="shared" ref="AK31" si="31">+ROUND(AH31,2)</f>
        <v>0</v>
      </c>
      <c r="AL31" s="35">
        <f>+AI31+AJ31-AK31</f>
        <v>0</v>
      </c>
      <c r="AM31" s="63"/>
      <c r="AN31" s="35" t="str">
        <f>+LEFT(AM31,2)</f>
        <v/>
      </c>
      <c r="AO31" s="35" t="str">
        <f>+MID(AM31,4,2)</f>
        <v/>
      </c>
      <c r="AP31" s="35" t="str">
        <f>+RIGHT(AM31,2)</f>
        <v/>
      </c>
      <c r="AQ31" s="35" t="str">
        <f>+CONCATENATE(AN31,AO31,AP31)</f>
        <v/>
      </c>
      <c r="AR31" s="41">
        <f>AM31+_xlfn.XLOOKUP(C31,Hoja1!A:A,Hoja1!B:B)</f>
        <v>0</v>
      </c>
      <c r="AS31" s="42">
        <f>+DAY(AR31)</f>
        <v>0</v>
      </c>
      <c r="AT31" s="35">
        <f>+MONTH(AR31)</f>
        <v>1</v>
      </c>
      <c r="AU31" s="35">
        <f>+YEAR(AR31)</f>
        <v>1900</v>
      </c>
      <c r="AV31" s="35" t="str">
        <f>+CONCATENATE(TEXT(AS31,"00"),TEXT(AT31,"00"),RIGHT(AU31,2))</f>
        <v>000100</v>
      </c>
    </row>
    <row r="32" spans="1:48" s="31" customFormat="1" ht="10.15" hidden="1" customHeight="1" x14ac:dyDescent="0.25">
      <c r="A32" s="27"/>
      <c r="B32" s="27"/>
      <c r="C32" s="1"/>
      <c r="D32" s="1"/>
      <c r="E32" s="1"/>
      <c r="F32" s="1"/>
      <c r="G32" s="1"/>
      <c r="H32" s="28"/>
      <c r="I32" s="28"/>
      <c r="J32" s="1"/>
      <c r="K32" s="29"/>
      <c r="L32" s="28"/>
      <c r="M32" s="1"/>
      <c r="N32" s="1"/>
      <c r="O32" s="1"/>
      <c r="P32" s="1"/>
      <c r="Q32" s="1"/>
      <c r="R32" s="1"/>
      <c r="S32" s="28"/>
      <c r="T32" s="1"/>
      <c r="U32" s="1"/>
      <c r="V32" s="1"/>
      <c r="W32" s="28"/>
      <c r="X32" s="28"/>
      <c r="Y32" s="1"/>
      <c r="Z32" s="30"/>
      <c r="AA32" s="6"/>
      <c r="AB32" s="28"/>
      <c r="AC32" s="28"/>
      <c r="AD32" s="28"/>
      <c r="AE32" s="7"/>
      <c r="AF32" s="28"/>
      <c r="AG32" s="28"/>
      <c r="AH32" s="28"/>
      <c r="AI32" s="28"/>
      <c r="AJ32" s="28"/>
      <c r="AK32" s="28"/>
      <c r="AL32" s="28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s="31" customFormat="1" ht="10.15" hidden="1" customHeight="1" x14ac:dyDescent="0.25">
      <c r="A33" s="27"/>
      <c r="B33" s="27"/>
      <c r="C33" s="1"/>
      <c r="D33" s="1"/>
      <c r="E33" s="1"/>
      <c r="F33" s="1"/>
      <c r="G33" s="1"/>
      <c r="H33" s="28"/>
      <c r="I33" s="28"/>
      <c r="J33" s="1"/>
      <c r="K33" s="29"/>
      <c r="L33" s="28"/>
      <c r="M33" s="1"/>
      <c r="N33" s="1"/>
      <c r="O33" s="1"/>
      <c r="P33" s="1"/>
      <c r="Q33" s="1"/>
      <c r="R33" s="1"/>
      <c r="S33" s="28"/>
      <c r="T33" s="1"/>
      <c r="U33" s="1"/>
      <c r="V33" s="1"/>
      <c r="W33" s="28"/>
      <c r="X33" s="28"/>
      <c r="Y33" s="1"/>
      <c r="Z33" s="30"/>
      <c r="AA33" s="6"/>
      <c r="AB33" s="28"/>
      <c r="AC33" s="28"/>
      <c r="AD33" s="28"/>
      <c r="AE33" s="7"/>
      <c r="AF33" s="28"/>
      <c r="AG33" s="28"/>
      <c r="AH33" s="28"/>
      <c r="AI33" s="28"/>
      <c r="AJ33" s="28"/>
      <c r="AK33" s="28"/>
      <c r="AL33" s="28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s="31" customFormat="1" ht="10.15" hidden="1" customHeight="1" x14ac:dyDescent="0.25">
      <c r="A34" s="27"/>
      <c r="B34" s="27"/>
      <c r="C34" s="1"/>
      <c r="D34" s="1"/>
      <c r="E34" s="1"/>
      <c r="F34" s="1"/>
      <c r="G34" s="1"/>
      <c r="H34" s="28"/>
      <c r="I34" s="28"/>
      <c r="J34" s="1"/>
      <c r="K34" s="29"/>
      <c r="L34" s="28"/>
      <c r="M34" s="1"/>
      <c r="N34" s="1"/>
      <c r="O34" s="1"/>
      <c r="P34" s="1"/>
      <c r="Q34" s="1"/>
      <c r="R34" s="1"/>
      <c r="S34" s="28"/>
      <c r="T34" s="1"/>
      <c r="U34" s="1"/>
      <c r="V34" s="1"/>
      <c r="W34" s="28"/>
      <c r="X34" s="28"/>
      <c r="Y34" s="1"/>
      <c r="Z34" s="30"/>
      <c r="AA34" s="6"/>
      <c r="AB34" s="28"/>
      <c r="AC34" s="28"/>
      <c r="AD34" s="28"/>
      <c r="AE34" s="7"/>
      <c r="AF34" s="28"/>
      <c r="AG34" s="28"/>
      <c r="AH34" s="28"/>
      <c r="AI34" s="28"/>
      <c r="AJ34" s="28"/>
      <c r="AK34" s="28"/>
      <c r="AL34" s="28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ht="10.15" customHeight="1" x14ac:dyDescent="0.25">
      <c r="A35" s="44">
        <f>1+A31</f>
        <v>9</v>
      </c>
      <c r="B35" s="50"/>
      <c r="C35" s="57"/>
      <c r="D35" s="57"/>
      <c r="E35" s="34" t="str">
        <f>+AQ35</f>
        <v/>
      </c>
      <c r="F35" s="60"/>
      <c r="G35" s="34" t="str">
        <f>+AV35</f>
        <v>000100</v>
      </c>
      <c r="H35" s="35">
        <f>+AK35</f>
        <v>0</v>
      </c>
      <c r="I35" s="35">
        <f>+ROUND(AD35,2)</f>
        <v>0</v>
      </c>
      <c r="J35" s="57"/>
      <c r="K35" s="36">
        <f>+AE35</f>
        <v>0</v>
      </c>
      <c r="L35" s="35">
        <f>+AJ35</f>
        <v>0</v>
      </c>
      <c r="M35" s="37" t="s">
        <v>37</v>
      </c>
      <c r="N35" s="68"/>
      <c r="O35" s="57"/>
      <c r="P35" s="38" t="e">
        <f>+VLOOKUP(C35,Hoja1!$A$4:$C$57,3,FALSE)</f>
        <v>#N/A</v>
      </c>
      <c r="Q35" s="37" t="s">
        <v>38</v>
      </c>
      <c r="R35" s="68"/>
      <c r="S35" s="35" t="str">
        <f>(RIGHT(O35,7))</f>
        <v/>
      </c>
      <c r="T35" s="68"/>
      <c r="U35" s="37" t="s">
        <v>39</v>
      </c>
      <c r="V35" s="37" t="s">
        <v>40</v>
      </c>
      <c r="W35" s="35">
        <f>+AI35</f>
        <v>0</v>
      </c>
      <c r="X35" s="35">
        <f>+AJ35</f>
        <v>0</v>
      </c>
      <c r="Y35" s="33" t="s">
        <v>41</v>
      </c>
      <c r="Z35" s="39">
        <f>+F35</f>
        <v>0</v>
      </c>
      <c r="AA35" s="40"/>
      <c r="AB35" s="65"/>
      <c r="AC35" s="35">
        <v>0</v>
      </c>
      <c r="AD35" s="35">
        <f t="shared" ref="AD35" si="32">+AB35+AC35</f>
        <v>0</v>
      </c>
      <c r="AE35" s="67"/>
      <c r="AF35" s="35">
        <f>+AB35*AE35</f>
        <v>0</v>
      </c>
      <c r="AG35" s="35">
        <f>+AC35*AE35</f>
        <v>0</v>
      </c>
      <c r="AH35" s="35">
        <f>+AD35*AE35</f>
        <v>0</v>
      </c>
      <c r="AI35" s="35">
        <f t="shared" ref="AI35" si="33">+ROUND(AF35,2)</f>
        <v>0</v>
      </c>
      <c r="AJ35" s="35">
        <f t="shared" ref="AJ35" si="34">+ROUND(AG35,2)</f>
        <v>0</v>
      </c>
      <c r="AK35" s="35">
        <f t="shared" ref="AK35" si="35">+ROUND(AH35,2)</f>
        <v>0</v>
      </c>
      <c r="AL35" s="35">
        <f>+AI35+AJ35-AK35</f>
        <v>0</v>
      </c>
      <c r="AM35" s="63"/>
      <c r="AN35" s="35" t="str">
        <f>+LEFT(AM35,2)</f>
        <v/>
      </c>
      <c r="AO35" s="35" t="str">
        <f>+MID(AM35,4,2)</f>
        <v/>
      </c>
      <c r="AP35" s="35" t="str">
        <f>+RIGHT(AM35,2)</f>
        <v/>
      </c>
      <c r="AQ35" s="35" t="str">
        <f>+CONCATENATE(AN35,AO35,AP35)</f>
        <v/>
      </c>
      <c r="AR35" s="41">
        <f>AM35+_xlfn.XLOOKUP(C35,Hoja1!A:A,Hoja1!B:B)</f>
        <v>0</v>
      </c>
      <c r="AS35" s="42">
        <f>+DAY(AR35)</f>
        <v>0</v>
      </c>
      <c r="AT35" s="35">
        <f>+MONTH(AR35)</f>
        <v>1</v>
      </c>
      <c r="AU35" s="35">
        <f>+YEAR(AR35)</f>
        <v>1900</v>
      </c>
      <c r="AV35" s="35" t="str">
        <f>+CONCATENATE(TEXT(AS35,"00"),TEXT(AT35,"00"),RIGHT(AU35,2))</f>
        <v>000100</v>
      </c>
    </row>
    <row r="36" spans="1:48" s="31" customFormat="1" ht="10.15" hidden="1" customHeight="1" x14ac:dyDescent="0.25">
      <c r="A36" s="27"/>
      <c r="B36" s="27"/>
      <c r="C36" s="1"/>
      <c r="D36" s="1"/>
      <c r="E36" s="1"/>
      <c r="F36" s="1"/>
      <c r="G36" s="1"/>
      <c r="H36" s="28"/>
      <c r="I36" s="28"/>
      <c r="J36" s="1"/>
      <c r="K36" s="29"/>
      <c r="L36" s="28"/>
      <c r="M36" s="1"/>
      <c r="N36" s="1"/>
      <c r="O36" s="1"/>
      <c r="P36" s="1"/>
      <c r="Q36" s="1"/>
      <c r="R36" s="1"/>
      <c r="S36" s="28"/>
      <c r="T36" s="1"/>
      <c r="U36" s="1"/>
      <c r="V36" s="1"/>
      <c r="W36" s="28"/>
      <c r="X36" s="28"/>
      <c r="Y36" s="1"/>
      <c r="Z36" s="30"/>
      <c r="AA36" s="6"/>
      <c r="AB36" s="28"/>
      <c r="AC36" s="28"/>
      <c r="AD36" s="28"/>
      <c r="AE36" s="7"/>
      <c r="AF36" s="28"/>
      <c r="AG36" s="28"/>
      <c r="AH36" s="28"/>
      <c r="AI36" s="28"/>
      <c r="AJ36" s="28"/>
      <c r="AK36" s="28"/>
      <c r="AL36" s="28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s="31" customFormat="1" ht="10.15" hidden="1" customHeight="1" x14ac:dyDescent="0.25">
      <c r="A37" s="27"/>
      <c r="B37" s="27"/>
      <c r="C37" s="1"/>
      <c r="D37" s="1"/>
      <c r="E37" s="1"/>
      <c r="F37" s="1"/>
      <c r="G37" s="1"/>
      <c r="H37" s="28"/>
      <c r="I37" s="28"/>
      <c r="J37" s="1"/>
      <c r="K37" s="29"/>
      <c r="L37" s="28"/>
      <c r="M37" s="1"/>
      <c r="N37" s="1"/>
      <c r="O37" s="1"/>
      <c r="P37" s="1"/>
      <c r="Q37" s="1"/>
      <c r="R37" s="1"/>
      <c r="S37" s="28"/>
      <c r="T37" s="1"/>
      <c r="U37" s="1"/>
      <c r="V37" s="1"/>
      <c r="W37" s="28"/>
      <c r="X37" s="28"/>
      <c r="Y37" s="1"/>
      <c r="Z37" s="30"/>
      <c r="AA37" s="6"/>
      <c r="AB37" s="28"/>
      <c r="AC37" s="28"/>
      <c r="AD37" s="28"/>
      <c r="AE37" s="7"/>
      <c r="AF37" s="28"/>
      <c r="AG37" s="28"/>
      <c r="AH37" s="28"/>
      <c r="AI37" s="28"/>
      <c r="AJ37" s="28"/>
      <c r="AK37" s="28"/>
      <c r="AL37" s="28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s="31" customFormat="1" ht="10.15" hidden="1" customHeight="1" x14ac:dyDescent="0.25">
      <c r="A38" s="27"/>
      <c r="B38" s="27"/>
      <c r="C38" s="1"/>
      <c r="D38" s="1"/>
      <c r="E38" s="1"/>
      <c r="F38" s="1"/>
      <c r="G38" s="1"/>
      <c r="H38" s="28"/>
      <c r="I38" s="28"/>
      <c r="J38" s="1"/>
      <c r="K38" s="29"/>
      <c r="L38" s="28"/>
      <c r="M38" s="1"/>
      <c r="N38" s="1"/>
      <c r="O38" s="1"/>
      <c r="P38" s="1"/>
      <c r="Q38" s="1"/>
      <c r="R38" s="1"/>
      <c r="S38" s="28"/>
      <c r="T38" s="1"/>
      <c r="U38" s="1"/>
      <c r="V38" s="1"/>
      <c r="W38" s="28"/>
      <c r="X38" s="28"/>
      <c r="Y38" s="1"/>
      <c r="Z38" s="30"/>
      <c r="AA38" s="6"/>
      <c r="AB38" s="28"/>
      <c r="AC38" s="28"/>
      <c r="AD38" s="28"/>
      <c r="AE38" s="7"/>
      <c r="AF38" s="28"/>
      <c r="AG38" s="28"/>
      <c r="AH38" s="28"/>
      <c r="AI38" s="28"/>
      <c r="AJ38" s="28"/>
      <c r="AK38" s="28"/>
      <c r="AL38" s="28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ht="10.15" customHeight="1" x14ac:dyDescent="0.25">
      <c r="A39" s="44">
        <f>1+A35</f>
        <v>10</v>
      </c>
      <c r="B39" s="38"/>
      <c r="C39" s="57"/>
      <c r="D39" s="57"/>
      <c r="E39" s="34" t="str">
        <f>+AQ39</f>
        <v/>
      </c>
      <c r="F39" s="60"/>
      <c r="G39" s="34" t="str">
        <f>+AV39</f>
        <v>000100</v>
      </c>
      <c r="H39" s="35">
        <f>+AK39</f>
        <v>0</v>
      </c>
      <c r="I39" s="35">
        <f>+ROUND(AD39,2)</f>
        <v>0</v>
      </c>
      <c r="J39" s="57"/>
      <c r="K39" s="36">
        <f>+AE39</f>
        <v>0</v>
      </c>
      <c r="L39" s="35">
        <f>+AJ39</f>
        <v>0</v>
      </c>
      <c r="M39" s="37" t="s">
        <v>37</v>
      </c>
      <c r="N39" s="68"/>
      <c r="O39" s="57"/>
      <c r="P39" s="38" t="e">
        <f>+VLOOKUP(C39,Hoja1!$A$4:$C$57,3,FALSE)</f>
        <v>#N/A</v>
      </c>
      <c r="Q39" s="37" t="s">
        <v>38</v>
      </c>
      <c r="R39" s="68"/>
      <c r="S39" s="35" t="str">
        <f>(RIGHT(O39,7))</f>
        <v/>
      </c>
      <c r="T39" s="68"/>
      <c r="U39" s="37" t="s">
        <v>39</v>
      </c>
      <c r="V39" s="37" t="s">
        <v>40</v>
      </c>
      <c r="W39" s="35">
        <f>+AI39</f>
        <v>0</v>
      </c>
      <c r="X39" s="35">
        <f>+AJ39</f>
        <v>0</v>
      </c>
      <c r="Y39" s="33" t="s">
        <v>41</v>
      </c>
      <c r="Z39" s="39">
        <f>+F39</f>
        <v>0</v>
      </c>
      <c r="AA39" s="40"/>
      <c r="AB39" s="65"/>
      <c r="AC39" s="35">
        <v>0</v>
      </c>
      <c r="AD39" s="35">
        <f t="shared" ref="AD39" si="36">+AB39+AC39</f>
        <v>0</v>
      </c>
      <c r="AE39" s="67"/>
      <c r="AF39" s="35">
        <f>+AB39*AE39</f>
        <v>0</v>
      </c>
      <c r="AG39" s="35">
        <f>+AC39*AE39</f>
        <v>0</v>
      </c>
      <c r="AH39" s="35">
        <f>+AD39*AE39</f>
        <v>0</v>
      </c>
      <c r="AI39" s="35">
        <f t="shared" ref="AI39" si="37">+ROUND(AF39,2)</f>
        <v>0</v>
      </c>
      <c r="AJ39" s="35">
        <f t="shared" ref="AJ39" si="38">+ROUND(AG39,2)</f>
        <v>0</v>
      </c>
      <c r="AK39" s="35">
        <f t="shared" ref="AK39" si="39">+ROUND(AH39,2)</f>
        <v>0</v>
      </c>
      <c r="AL39" s="35">
        <f>+AI39+AJ39-AK39</f>
        <v>0</v>
      </c>
      <c r="AM39" s="62"/>
      <c r="AN39" s="35" t="str">
        <f>+LEFT(AM39,2)</f>
        <v/>
      </c>
      <c r="AO39" s="35" t="str">
        <f>+MID(AM39,4,2)</f>
        <v/>
      </c>
      <c r="AP39" s="35" t="str">
        <f>+RIGHT(AM39,2)</f>
        <v/>
      </c>
      <c r="AQ39" s="35" t="str">
        <f>+CONCATENATE(AN39,AO39,AP39)</f>
        <v/>
      </c>
      <c r="AR39" s="41">
        <f>AM39+_xlfn.XLOOKUP(C39,Hoja1!A:A,Hoja1!B:B)</f>
        <v>0</v>
      </c>
      <c r="AS39" s="42">
        <f>+DAY(AR39)</f>
        <v>0</v>
      </c>
      <c r="AT39" s="35">
        <f>+MONTH(AR39)</f>
        <v>1</v>
      </c>
      <c r="AU39" s="35">
        <f>+YEAR(AR39)</f>
        <v>1900</v>
      </c>
      <c r="AV39" s="35" t="str">
        <f>+CONCATENATE(TEXT(AS39,"00"),TEXT(AT39,"00"),RIGHT(AU39,2))</f>
        <v>000100</v>
      </c>
    </row>
    <row r="40" spans="1:48" s="31" customFormat="1" ht="10.15" hidden="1" customHeight="1" x14ac:dyDescent="0.25">
      <c r="A40" s="27"/>
      <c r="B40" s="27"/>
      <c r="C40" s="1"/>
      <c r="D40" s="1"/>
      <c r="E40" s="1"/>
      <c r="F40" s="1"/>
      <c r="G40" s="1"/>
      <c r="H40" s="28"/>
      <c r="I40" s="28"/>
      <c r="J40" s="1"/>
      <c r="K40" s="29"/>
      <c r="L40" s="28"/>
      <c r="M40" s="1"/>
      <c r="N40" s="1"/>
      <c r="O40" s="1"/>
      <c r="P40" s="1"/>
      <c r="Q40" s="1"/>
      <c r="R40" s="1"/>
      <c r="S40" s="28"/>
      <c r="T40" s="1"/>
      <c r="U40" s="1"/>
      <c r="V40" s="1"/>
      <c r="W40" s="28"/>
      <c r="X40" s="28"/>
      <c r="Y40" s="1"/>
      <c r="Z40" s="30"/>
      <c r="AA40" s="6"/>
      <c r="AB40" s="28"/>
      <c r="AC40" s="28"/>
      <c r="AD40" s="28"/>
      <c r="AE40" s="7"/>
      <c r="AF40" s="28"/>
      <c r="AG40" s="28"/>
      <c r="AH40" s="28"/>
      <c r="AI40" s="28"/>
      <c r="AJ40" s="28"/>
      <c r="AK40" s="28"/>
      <c r="AL40" s="28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s="31" customFormat="1" ht="10.15" hidden="1" customHeight="1" x14ac:dyDescent="0.25">
      <c r="A41" s="27"/>
      <c r="B41" s="27"/>
      <c r="C41" s="1"/>
      <c r="D41" s="1"/>
      <c r="E41" s="1"/>
      <c r="F41" s="1"/>
      <c r="G41" s="1"/>
      <c r="H41" s="28"/>
      <c r="I41" s="28"/>
      <c r="J41" s="1"/>
      <c r="K41" s="29"/>
      <c r="L41" s="28"/>
      <c r="M41" s="1"/>
      <c r="N41" s="1"/>
      <c r="O41" s="1"/>
      <c r="P41" s="1"/>
      <c r="Q41" s="1"/>
      <c r="R41" s="1"/>
      <c r="S41" s="28"/>
      <c r="T41" s="1"/>
      <c r="U41" s="1"/>
      <c r="V41" s="1"/>
      <c r="W41" s="28"/>
      <c r="X41" s="28"/>
      <c r="Y41" s="1"/>
      <c r="Z41" s="30"/>
      <c r="AA41" s="6"/>
      <c r="AB41" s="28"/>
      <c r="AC41" s="28"/>
      <c r="AD41" s="28"/>
      <c r="AE41" s="7"/>
      <c r="AF41" s="28"/>
      <c r="AG41" s="28"/>
      <c r="AH41" s="28"/>
      <c r="AI41" s="28"/>
      <c r="AJ41" s="28"/>
      <c r="AK41" s="28"/>
      <c r="AL41" s="28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s="31" customFormat="1" ht="10.15" hidden="1" customHeight="1" x14ac:dyDescent="0.25">
      <c r="A42" s="27"/>
      <c r="B42" s="27"/>
      <c r="C42" s="1"/>
      <c r="D42" s="1"/>
      <c r="E42" s="1"/>
      <c r="F42" s="1"/>
      <c r="G42" s="1"/>
      <c r="H42" s="28"/>
      <c r="I42" s="28"/>
      <c r="J42" s="1"/>
      <c r="K42" s="29"/>
      <c r="L42" s="28"/>
      <c r="M42" s="1"/>
      <c r="N42" s="1"/>
      <c r="O42" s="1"/>
      <c r="P42" s="1"/>
      <c r="Q42" s="1"/>
      <c r="R42" s="1"/>
      <c r="S42" s="28"/>
      <c r="T42" s="1"/>
      <c r="U42" s="1"/>
      <c r="V42" s="1"/>
      <c r="W42" s="28"/>
      <c r="X42" s="28"/>
      <c r="Y42" s="1"/>
      <c r="Z42" s="30"/>
      <c r="AA42" s="6"/>
      <c r="AB42" s="28"/>
      <c r="AC42" s="28"/>
      <c r="AD42" s="28"/>
      <c r="AE42" s="7"/>
      <c r="AF42" s="28"/>
      <c r="AG42" s="28"/>
      <c r="AH42" s="28"/>
      <c r="AI42" s="28"/>
      <c r="AJ42" s="28"/>
      <c r="AK42" s="28"/>
      <c r="AL42" s="28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ht="10.15" customHeight="1" x14ac:dyDescent="0.25">
      <c r="A43" s="44">
        <f>1+A39</f>
        <v>11</v>
      </c>
      <c r="B43" s="38"/>
      <c r="C43" s="57"/>
      <c r="D43" s="57"/>
      <c r="E43" s="34" t="str">
        <f>+AQ43</f>
        <v/>
      </c>
      <c r="F43" s="60"/>
      <c r="G43" s="34" t="str">
        <f>+AV43</f>
        <v>000100</v>
      </c>
      <c r="H43" s="35">
        <f>+AK43</f>
        <v>0</v>
      </c>
      <c r="I43" s="35">
        <f>+ROUND(AD43,2)</f>
        <v>0</v>
      </c>
      <c r="J43" s="57"/>
      <c r="K43" s="36">
        <f>+AE43</f>
        <v>0</v>
      </c>
      <c r="L43" s="35">
        <f>+AJ43</f>
        <v>0</v>
      </c>
      <c r="M43" s="37" t="s">
        <v>37</v>
      </c>
      <c r="N43" s="68"/>
      <c r="O43" s="57"/>
      <c r="P43" s="38" t="e">
        <f>+VLOOKUP(C43,Hoja1!$A$4:$C$57,3,FALSE)</f>
        <v>#N/A</v>
      </c>
      <c r="Q43" s="37" t="s">
        <v>38</v>
      </c>
      <c r="R43" s="68"/>
      <c r="S43" s="35" t="str">
        <f>(RIGHT(O43,7))</f>
        <v/>
      </c>
      <c r="T43" s="68"/>
      <c r="U43" s="37" t="s">
        <v>39</v>
      </c>
      <c r="V43" s="37" t="s">
        <v>40</v>
      </c>
      <c r="W43" s="35">
        <f>+AI43</f>
        <v>0</v>
      </c>
      <c r="X43" s="35">
        <f>+AJ43</f>
        <v>0</v>
      </c>
      <c r="Y43" s="33" t="s">
        <v>41</v>
      </c>
      <c r="Z43" s="39">
        <f>+F43</f>
        <v>0</v>
      </c>
      <c r="AA43" s="40"/>
      <c r="AB43" s="65"/>
      <c r="AC43" s="35">
        <v>0</v>
      </c>
      <c r="AD43" s="35">
        <f t="shared" ref="AD43" si="40">+AB43+AC43</f>
        <v>0</v>
      </c>
      <c r="AE43" s="67"/>
      <c r="AF43" s="35">
        <f>+AB43*AE43</f>
        <v>0</v>
      </c>
      <c r="AG43" s="35">
        <f>+AC43*AE43</f>
        <v>0</v>
      </c>
      <c r="AH43" s="35">
        <f>+AD43*AE43</f>
        <v>0</v>
      </c>
      <c r="AI43" s="35">
        <f t="shared" ref="AI43" si="41">+ROUND(AF43,2)</f>
        <v>0</v>
      </c>
      <c r="AJ43" s="35">
        <f t="shared" ref="AJ43" si="42">+ROUND(AG43,2)</f>
        <v>0</v>
      </c>
      <c r="AK43" s="35">
        <f t="shared" ref="AK43" si="43">+ROUND(AH43,2)</f>
        <v>0</v>
      </c>
      <c r="AL43" s="35">
        <f>+AI43+AJ43-AK43</f>
        <v>0</v>
      </c>
      <c r="AM43" s="63"/>
      <c r="AN43" s="35" t="str">
        <f>+LEFT(AM43,2)</f>
        <v/>
      </c>
      <c r="AO43" s="35" t="str">
        <f>+MID(AM43,4,2)</f>
        <v/>
      </c>
      <c r="AP43" s="35" t="str">
        <f>+RIGHT(AM43,2)</f>
        <v/>
      </c>
      <c r="AQ43" s="35" t="str">
        <f>+CONCATENATE(AN43,AO43,AP43)</f>
        <v/>
      </c>
      <c r="AR43" s="41">
        <f>AM43+_xlfn.XLOOKUP(C43,Hoja1!A:A,Hoja1!B:B)</f>
        <v>0</v>
      </c>
      <c r="AS43" s="42">
        <f>+DAY(AR43)</f>
        <v>0</v>
      </c>
      <c r="AT43" s="35">
        <f>+MONTH(AR43)</f>
        <v>1</v>
      </c>
      <c r="AU43" s="35">
        <f>+YEAR(AR43)</f>
        <v>1900</v>
      </c>
      <c r="AV43" s="35" t="str">
        <f>+CONCATENATE(TEXT(AS43,"00"),TEXT(AT43,"00"),RIGHT(AU43,2))</f>
        <v>000100</v>
      </c>
    </row>
    <row r="44" spans="1:48" s="31" customFormat="1" ht="10.15" hidden="1" customHeight="1" x14ac:dyDescent="0.25">
      <c r="A44" s="27"/>
      <c r="B44" s="27"/>
      <c r="C44" s="1"/>
      <c r="D44" s="1"/>
      <c r="E44" s="1"/>
      <c r="F44" s="1"/>
      <c r="G44" s="1"/>
      <c r="H44" s="28"/>
      <c r="I44" s="28"/>
      <c r="J44" s="1"/>
      <c r="K44" s="29"/>
      <c r="L44" s="28"/>
      <c r="M44" s="1"/>
      <c r="N44" s="1"/>
      <c r="O44" s="1"/>
      <c r="P44" s="1"/>
      <c r="Q44" s="1"/>
      <c r="R44" s="1"/>
      <c r="S44" s="28"/>
      <c r="T44" s="1"/>
      <c r="U44" s="1"/>
      <c r="V44" s="1"/>
      <c r="W44" s="28"/>
      <c r="X44" s="28"/>
      <c r="Y44" s="1"/>
      <c r="Z44" s="30"/>
      <c r="AA44" s="6"/>
      <c r="AB44" s="28"/>
      <c r="AC44" s="28"/>
      <c r="AD44" s="28"/>
      <c r="AE44" s="7"/>
      <c r="AF44" s="28"/>
      <c r="AG44" s="28"/>
      <c r="AH44" s="28"/>
      <c r="AI44" s="28"/>
      <c r="AJ44" s="28"/>
      <c r="AK44" s="28"/>
      <c r="AL44" s="28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s="31" customFormat="1" ht="10.15" hidden="1" customHeight="1" x14ac:dyDescent="0.25">
      <c r="A45" s="27"/>
      <c r="B45" s="27"/>
      <c r="C45" s="1"/>
      <c r="D45" s="1"/>
      <c r="E45" s="1"/>
      <c r="F45" s="1"/>
      <c r="G45" s="1"/>
      <c r="H45" s="28"/>
      <c r="I45" s="28"/>
      <c r="J45" s="1"/>
      <c r="K45" s="29"/>
      <c r="L45" s="28"/>
      <c r="M45" s="1"/>
      <c r="N45" s="1"/>
      <c r="O45" s="1"/>
      <c r="P45" s="1"/>
      <c r="Q45" s="1"/>
      <c r="R45" s="1"/>
      <c r="S45" s="28"/>
      <c r="T45" s="1"/>
      <c r="U45" s="1"/>
      <c r="V45" s="1"/>
      <c r="W45" s="28"/>
      <c r="X45" s="28"/>
      <c r="Y45" s="1"/>
      <c r="Z45" s="30"/>
      <c r="AA45" s="6"/>
      <c r="AB45" s="28"/>
      <c r="AC45" s="28"/>
      <c r="AD45" s="28"/>
      <c r="AE45" s="7"/>
      <c r="AF45" s="28"/>
      <c r="AG45" s="28"/>
      <c r="AH45" s="28"/>
      <c r="AI45" s="28"/>
      <c r="AJ45" s="28"/>
      <c r="AK45" s="28"/>
      <c r="AL45" s="28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s="31" customFormat="1" ht="10.15" hidden="1" customHeight="1" x14ac:dyDescent="0.25">
      <c r="A46" s="27"/>
      <c r="B46" s="27"/>
      <c r="C46" s="1"/>
      <c r="D46" s="1"/>
      <c r="E46" s="1"/>
      <c r="F46" s="1"/>
      <c r="G46" s="1"/>
      <c r="H46" s="28"/>
      <c r="I46" s="28"/>
      <c r="J46" s="1"/>
      <c r="K46" s="29"/>
      <c r="L46" s="28"/>
      <c r="M46" s="1"/>
      <c r="N46" s="1"/>
      <c r="O46" s="1"/>
      <c r="P46" s="1"/>
      <c r="Q46" s="1"/>
      <c r="R46" s="1"/>
      <c r="S46" s="28"/>
      <c r="T46" s="1"/>
      <c r="U46" s="1"/>
      <c r="V46" s="1"/>
      <c r="W46" s="28"/>
      <c r="X46" s="28"/>
      <c r="Y46" s="1"/>
      <c r="Z46" s="30"/>
      <c r="AA46" s="6"/>
      <c r="AB46" s="28"/>
      <c r="AC46" s="28"/>
      <c r="AD46" s="28"/>
      <c r="AE46" s="7"/>
      <c r="AF46" s="28"/>
      <c r="AG46" s="28"/>
      <c r="AH46" s="28"/>
      <c r="AI46" s="28"/>
      <c r="AJ46" s="28"/>
      <c r="AK46" s="28"/>
      <c r="AL46" s="28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ht="10.15" customHeight="1" x14ac:dyDescent="0.25">
      <c r="A47" s="44">
        <f>1+A43</f>
        <v>12</v>
      </c>
      <c r="B47" s="50"/>
      <c r="C47" s="57"/>
      <c r="D47" s="57"/>
      <c r="E47" s="34" t="str">
        <f>+AQ47</f>
        <v/>
      </c>
      <c r="F47" s="60"/>
      <c r="G47" s="34" t="str">
        <f>+AV47</f>
        <v>000100</v>
      </c>
      <c r="H47" s="35">
        <f>+AK47</f>
        <v>0</v>
      </c>
      <c r="I47" s="35">
        <f>+ROUND(AD47,2)</f>
        <v>0</v>
      </c>
      <c r="J47" s="57"/>
      <c r="K47" s="36">
        <f>+AE47</f>
        <v>0</v>
      </c>
      <c r="L47" s="35">
        <f>+AJ47</f>
        <v>0</v>
      </c>
      <c r="M47" s="37" t="s">
        <v>37</v>
      </c>
      <c r="N47" s="68"/>
      <c r="O47" s="57"/>
      <c r="P47" s="38" t="e">
        <f>+VLOOKUP(C47,Hoja1!$A$4:$C$57,3,FALSE)</f>
        <v>#N/A</v>
      </c>
      <c r="Q47" s="37" t="s">
        <v>38</v>
      </c>
      <c r="R47" s="68"/>
      <c r="S47" s="35" t="str">
        <f>(RIGHT(O47,7))</f>
        <v/>
      </c>
      <c r="T47" s="68"/>
      <c r="U47" s="37" t="s">
        <v>39</v>
      </c>
      <c r="V47" s="37" t="s">
        <v>40</v>
      </c>
      <c r="W47" s="35">
        <f>+AI47</f>
        <v>0</v>
      </c>
      <c r="X47" s="35">
        <f>+AJ47</f>
        <v>0</v>
      </c>
      <c r="Y47" s="33" t="s">
        <v>41</v>
      </c>
      <c r="Z47" s="39">
        <f>+F47</f>
        <v>0</v>
      </c>
      <c r="AA47" s="40"/>
      <c r="AB47" s="65"/>
      <c r="AC47" s="35">
        <v>0</v>
      </c>
      <c r="AD47" s="35">
        <f t="shared" ref="AD47" si="44">+AB47+AC47</f>
        <v>0</v>
      </c>
      <c r="AE47" s="67"/>
      <c r="AF47" s="35">
        <f>+AB47*AE47</f>
        <v>0</v>
      </c>
      <c r="AG47" s="35">
        <f>+AC47*AE47</f>
        <v>0</v>
      </c>
      <c r="AH47" s="35">
        <f>+AD47*AE47</f>
        <v>0</v>
      </c>
      <c r="AI47" s="35">
        <f t="shared" ref="AI47" si="45">+ROUND(AF47,2)</f>
        <v>0</v>
      </c>
      <c r="AJ47" s="35">
        <f t="shared" ref="AJ47" si="46">+ROUND(AG47,2)</f>
        <v>0</v>
      </c>
      <c r="AK47" s="35">
        <f t="shared" ref="AK47" si="47">+ROUND(AH47,2)</f>
        <v>0</v>
      </c>
      <c r="AL47" s="35">
        <f>+AI47+AJ47-AK47</f>
        <v>0</v>
      </c>
      <c r="AM47" s="63"/>
      <c r="AN47" s="35" t="str">
        <f>+LEFT(AM47,2)</f>
        <v/>
      </c>
      <c r="AO47" s="35" t="str">
        <f>+MID(AM47,4,2)</f>
        <v/>
      </c>
      <c r="AP47" s="35" t="str">
        <f>+RIGHT(AM47,2)</f>
        <v/>
      </c>
      <c r="AQ47" s="35" t="str">
        <f>+CONCATENATE(AN47,AO47,AP47)</f>
        <v/>
      </c>
      <c r="AR47" s="41">
        <f>AM47+_xlfn.XLOOKUP(C47,Hoja1!A:A,Hoja1!B:B)</f>
        <v>0</v>
      </c>
      <c r="AS47" s="42">
        <f>+DAY(AR47)</f>
        <v>0</v>
      </c>
      <c r="AT47" s="35">
        <f>+MONTH(AR47)</f>
        <v>1</v>
      </c>
      <c r="AU47" s="35">
        <f>+YEAR(AR47)</f>
        <v>1900</v>
      </c>
      <c r="AV47" s="35" t="str">
        <f>+CONCATENATE(TEXT(AS47,"00"),TEXT(AT47,"00"),RIGHT(AU47,2))</f>
        <v>000100</v>
      </c>
    </row>
    <row r="48" spans="1:48" s="31" customFormat="1" ht="10.15" hidden="1" customHeight="1" x14ac:dyDescent="0.25">
      <c r="A48" s="27"/>
      <c r="B48" s="27"/>
      <c r="C48" s="1"/>
      <c r="D48" s="1"/>
      <c r="E48" s="1"/>
      <c r="F48" s="1"/>
      <c r="G48" s="1"/>
      <c r="H48" s="28"/>
      <c r="I48" s="28"/>
      <c r="J48" s="1"/>
      <c r="K48" s="29"/>
      <c r="L48" s="28"/>
      <c r="M48" s="1"/>
      <c r="N48" s="1"/>
      <c r="O48" s="1"/>
      <c r="P48" s="1"/>
      <c r="Q48" s="1"/>
      <c r="R48" s="1"/>
      <c r="S48" s="28"/>
      <c r="T48" s="1"/>
      <c r="U48" s="1"/>
      <c r="V48" s="1"/>
      <c r="W48" s="28"/>
      <c r="X48" s="28"/>
      <c r="Y48" s="1"/>
      <c r="Z48" s="30"/>
      <c r="AA48" s="6"/>
      <c r="AB48" s="28"/>
      <c r="AC48" s="28"/>
      <c r="AD48" s="28"/>
      <c r="AE48" s="7"/>
      <c r="AF48" s="28"/>
      <c r="AG48" s="28"/>
      <c r="AH48" s="28"/>
      <c r="AI48" s="28"/>
      <c r="AJ48" s="28"/>
      <c r="AK48" s="28"/>
      <c r="AL48" s="28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s="31" customFormat="1" ht="10.15" hidden="1" customHeight="1" x14ac:dyDescent="0.25">
      <c r="A49" s="27"/>
      <c r="B49" s="27"/>
      <c r="C49" s="1"/>
      <c r="D49" s="1"/>
      <c r="E49" s="1"/>
      <c r="F49" s="1"/>
      <c r="G49" s="1"/>
      <c r="H49" s="28"/>
      <c r="I49" s="28"/>
      <c r="J49" s="1"/>
      <c r="K49" s="29"/>
      <c r="L49" s="28"/>
      <c r="M49" s="1"/>
      <c r="N49" s="1"/>
      <c r="O49" s="1"/>
      <c r="P49" s="1"/>
      <c r="Q49" s="1"/>
      <c r="R49" s="1"/>
      <c r="S49" s="28"/>
      <c r="T49" s="1"/>
      <c r="U49" s="1"/>
      <c r="V49" s="1"/>
      <c r="W49" s="28"/>
      <c r="X49" s="28"/>
      <c r="Y49" s="1"/>
      <c r="Z49" s="30"/>
      <c r="AA49" s="6"/>
      <c r="AB49" s="28"/>
      <c r="AC49" s="28"/>
      <c r="AD49" s="28"/>
      <c r="AE49" s="7"/>
      <c r="AF49" s="28"/>
      <c r="AG49" s="28"/>
      <c r="AH49" s="28"/>
      <c r="AI49" s="28"/>
      <c r="AJ49" s="28"/>
      <c r="AK49" s="28"/>
      <c r="AL49" s="28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s="31" customFormat="1" ht="10.15" hidden="1" customHeight="1" x14ac:dyDescent="0.25">
      <c r="A50" s="27"/>
      <c r="B50" s="27"/>
      <c r="C50" s="1"/>
      <c r="D50" s="1"/>
      <c r="E50" s="1"/>
      <c r="F50" s="1"/>
      <c r="G50" s="1"/>
      <c r="H50" s="28"/>
      <c r="I50" s="28"/>
      <c r="J50" s="1"/>
      <c r="K50" s="29"/>
      <c r="L50" s="28"/>
      <c r="M50" s="1"/>
      <c r="N50" s="1"/>
      <c r="O50" s="1"/>
      <c r="P50" s="1"/>
      <c r="Q50" s="1"/>
      <c r="R50" s="1"/>
      <c r="S50" s="28"/>
      <c r="T50" s="1"/>
      <c r="U50" s="1"/>
      <c r="V50" s="1"/>
      <c r="W50" s="28"/>
      <c r="X50" s="28"/>
      <c r="Y50" s="1"/>
      <c r="Z50" s="30"/>
      <c r="AA50" s="6"/>
      <c r="AB50" s="28"/>
      <c r="AC50" s="28"/>
      <c r="AD50" s="28"/>
      <c r="AE50" s="7"/>
      <c r="AF50" s="28"/>
      <c r="AG50" s="28"/>
      <c r="AH50" s="28"/>
      <c r="AI50" s="28"/>
      <c r="AJ50" s="28"/>
      <c r="AK50" s="28"/>
      <c r="AL50" s="28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ht="10.15" customHeight="1" x14ac:dyDescent="0.25">
      <c r="A51" s="44">
        <f>1+A47</f>
        <v>13</v>
      </c>
      <c r="B51" s="50"/>
      <c r="C51" s="57"/>
      <c r="D51" s="57"/>
      <c r="E51" s="34" t="str">
        <f>+AQ51</f>
        <v/>
      </c>
      <c r="F51" s="60"/>
      <c r="G51" s="34" t="str">
        <f>+AV51</f>
        <v>000100</v>
      </c>
      <c r="H51" s="35">
        <f>+AK51</f>
        <v>0</v>
      </c>
      <c r="I51" s="35">
        <f>+ROUND(AD51,2)</f>
        <v>0</v>
      </c>
      <c r="J51" s="57"/>
      <c r="K51" s="36">
        <f>+AE51</f>
        <v>0</v>
      </c>
      <c r="L51" s="35">
        <f>+AJ51</f>
        <v>0</v>
      </c>
      <c r="M51" s="37" t="s">
        <v>37</v>
      </c>
      <c r="N51" s="68"/>
      <c r="O51" s="57"/>
      <c r="P51" s="38" t="e">
        <f>+VLOOKUP(C51,Hoja1!$A$4:$C$57,3,FALSE)</f>
        <v>#N/A</v>
      </c>
      <c r="Q51" s="37" t="s">
        <v>38</v>
      </c>
      <c r="R51" s="68"/>
      <c r="S51" s="35" t="str">
        <f>(RIGHT(O51,7))</f>
        <v/>
      </c>
      <c r="T51" s="68"/>
      <c r="U51" s="37" t="s">
        <v>39</v>
      </c>
      <c r="V51" s="37" t="s">
        <v>40</v>
      </c>
      <c r="W51" s="35">
        <f>+AI51</f>
        <v>0</v>
      </c>
      <c r="X51" s="35">
        <f>+AJ51</f>
        <v>0</v>
      </c>
      <c r="Y51" s="33" t="s">
        <v>41</v>
      </c>
      <c r="Z51" s="39">
        <f>+F51</f>
        <v>0</v>
      </c>
      <c r="AA51" s="40"/>
      <c r="AB51" s="65"/>
      <c r="AC51" s="35">
        <v>0</v>
      </c>
      <c r="AD51" s="35">
        <f t="shared" ref="AD51" si="48">+AB51+AC51</f>
        <v>0</v>
      </c>
      <c r="AE51" s="67"/>
      <c r="AF51" s="35">
        <f>+AB51*AE51</f>
        <v>0</v>
      </c>
      <c r="AG51" s="35">
        <f>+AC51*AE51</f>
        <v>0</v>
      </c>
      <c r="AH51" s="35">
        <f>+AD51*AE51</f>
        <v>0</v>
      </c>
      <c r="AI51" s="35">
        <f t="shared" ref="AI51" si="49">+ROUND(AF51,2)</f>
        <v>0</v>
      </c>
      <c r="AJ51" s="35">
        <f t="shared" ref="AJ51" si="50">+ROUND(AG51,2)</f>
        <v>0</v>
      </c>
      <c r="AK51" s="35">
        <f t="shared" ref="AK51" si="51">+ROUND(AH51,2)</f>
        <v>0</v>
      </c>
      <c r="AL51" s="35">
        <f>+AI51+AJ51-AK51</f>
        <v>0</v>
      </c>
      <c r="AM51" s="63"/>
      <c r="AN51" s="35" t="str">
        <f>+LEFT(AM51,2)</f>
        <v/>
      </c>
      <c r="AO51" s="35" t="str">
        <f>+MID(AM51,4,2)</f>
        <v/>
      </c>
      <c r="AP51" s="35" t="str">
        <f>+RIGHT(AM51,2)</f>
        <v/>
      </c>
      <c r="AQ51" s="35" t="str">
        <f>+CONCATENATE(AN51,AO51,AP51)</f>
        <v/>
      </c>
      <c r="AR51" s="41">
        <f>AM51+_xlfn.XLOOKUP(C51,Hoja1!A:A,Hoja1!B:B)</f>
        <v>0</v>
      </c>
      <c r="AS51" s="42">
        <f>+DAY(AR51)</f>
        <v>0</v>
      </c>
      <c r="AT51" s="35">
        <f>+MONTH(AR51)</f>
        <v>1</v>
      </c>
      <c r="AU51" s="35">
        <f>+YEAR(AR51)</f>
        <v>1900</v>
      </c>
      <c r="AV51" s="35" t="str">
        <f>+CONCATENATE(TEXT(AS51,"00"),TEXT(AT51,"00"),RIGHT(AU51,2))</f>
        <v>000100</v>
      </c>
    </row>
    <row r="52" spans="1:48" s="31" customFormat="1" ht="10.15" hidden="1" customHeight="1" x14ac:dyDescent="0.25">
      <c r="A52" s="27"/>
      <c r="B52" s="27"/>
      <c r="C52" s="1"/>
      <c r="D52" s="1"/>
      <c r="E52" s="1"/>
      <c r="F52" s="1"/>
      <c r="G52" s="1"/>
      <c r="H52" s="28"/>
      <c r="I52" s="28"/>
      <c r="J52" s="1"/>
      <c r="K52" s="29"/>
      <c r="L52" s="28"/>
      <c r="M52" s="1"/>
      <c r="N52" s="1"/>
      <c r="O52" s="1"/>
      <c r="P52" s="1"/>
      <c r="Q52" s="1"/>
      <c r="R52" s="1"/>
      <c r="S52" s="28"/>
      <c r="T52" s="1"/>
      <c r="U52" s="1"/>
      <c r="V52" s="1"/>
      <c r="W52" s="28"/>
      <c r="X52" s="28"/>
      <c r="Y52" s="1"/>
      <c r="Z52" s="30"/>
      <c r="AA52" s="6"/>
      <c r="AB52" s="28"/>
      <c r="AC52" s="28"/>
      <c r="AD52" s="28"/>
      <c r="AE52" s="7"/>
      <c r="AF52" s="28"/>
      <c r="AG52" s="28"/>
      <c r="AH52" s="28"/>
      <c r="AI52" s="28"/>
      <c r="AJ52" s="28"/>
      <c r="AK52" s="28"/>
      <c r="AL52" s="28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s="31" customFormat="1" ht="10.15" hidden="1" customHeight="1" x14ac:dyDescent="0.25">
      <c r="A53" s="27"/>
      <c r="B53" s="27"/>
      <c r="C53" s="1"/>
      <c r="D53" s="1"/>
      <c r="E53" s="1"/>
      <c r="F53" s="1"/>
      <c r="G53" s="1"/>
      <c r="H53" s="28"/>
      <c r="I53" s="28"/>
      <c r="J53" s="1"/>
      <c r="K53" s="29"/>
      <c r="L53" s="28"/>
      <c r="M53" s="1"/>
      <c r="N53" s="1"/>
      <c r="O53" s="1"/>
      <c r="P53" s="1"/>
      <c r="Q53" s="1"/>
      <c r="R53" s="1"/>
      <c r="S53" s="28"/>
      <c r="T53" s="1"/>
      <c r="U53" s="1"/>
      <c r="V53" s="1"/>
      <c r="W53" s="28"/>
      <c r="X53" s="28"/>
      <c r="Y53" s="1"/>
      <c r="Z53" s="30"/>
      <c r="AA53" s="6"/>
      <c r="AB53" s="28"/>
      <c r="AC53" s="28"/>
      <c r="AD53" s="28"/>
      <c r="AE53" s="7"/>
      <c r="AF53" s="28"/>
      <c r="AG53" s="28"/>
      <c r="AH53" s="28"/>
      <c r="AI53" s="28"/>
      <c r="AJ53" s="28"/>
      <c r="AK53" s="28"/>
      <c r="AL53" s="28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s="31" customFormat="1" ht="10.15" hidden="1" customHeight="1" x14ac:dyDescent="0.25">
      <c r="A54" s="27"/>
      <c r="B54" s="27"/>
      <c r="C54" s="1"/>
      <c r="D54" s="1"/>
      <c r="E54" s="1"/>
      <c r="F54" s="1"/>
      <c r="G54" s="1"/>
      <c r="H54" s="28"/>
      <c r="I54" s="28"/>
      <c r="J54" s="1"/>
      <c r="K54" s="29"/>
      <c r="L54" s="28"/>
      <c r="M54" s="1"/>
      <c r="N54" s="1"/>
      <c r="O54" s="1"/>
      <c r="P54" s="1"/>
      <c r="Q54" s="1"/>
      <c r="R54" s="1"/>
      <c r="S54" s="28"/>
      <c r="T54" s="1"/>
      <c r="U54" s="1"/>
      <c r="V54" s="1"/>
      <c r="W54" s="28"/>
      <c r="X54" s="28"/>
      <c r="Y54" s="1"/>
      <c r="Z54" s="30"/>
      <c r="AA54" s="6"/>
      <c r="AB54" s="28"/>
      <c r="AC54" s="28"/>
      <c r="AD54" s="28"/>
      <c r="AE54" s="7"/>
      <c r="AF54" s="28"/>
      <c r="AG54" s="28"/>
      <c r="AH54" s="28"/>
      <c r="AI54" s="28"/>
      <c r="AJ54" s="28"/>
      <c r="AK54" s="28"/>
      <c r="AL54" s="28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ht="10.15" customHeight="1" x14ac:dyDescent="0.25">
      <c r="A55" s="44">
        <f>1+A51</f>
        <v>14</v>
      </c>
      <c r="B55" s="38"/>
      <c r="C55" s="57"/>
      <c r="D55" s="57"/>
      <c r="E55" s="34" t="str">
        <f>+AQ55</f>
        <v/>
      </c>
      <c r="F55" s="60"/>
      <c r="G55" s="34" t="str">
        <f>+AV55</f>
        <v>000100</v>
      </c>
      <c r="H55" s="35">
        <f>+AK55</f>
        <v>0</v>
      </c>
      <c r="I55" s="35">
        <f>+ROUND(AD55,2)</f>
        <v>0</v>
      </c>
      <c r="J55" s="57"/>
      <c r="K55" s="36">
        <f>+AE55</f>
        <v>0</v>
      </c>
      <c r="L55" s="35">
        <f>+AJ55</f>
        <v>0</v>
      </c>
      <c r="M55" s="37" t="s">
        <v>37</v>
      </c>
      <c r="N55" s="68"/>
      <c r="O55" s="57"/>
      <c r="P55" s="38" t="e">
        <f>+VLOOKUP(C55,Hoja1!$A$4:$C$57,3,FALSE)</f>
        <v>#N/A</v>
      </c>
      <c r="Q55" s="37" t="s">
        <v>38</v>
      </c>
      <c r="R55" s="68"/>
      <c r="S55" s="35" t="str">
        <f>(RIGHT(O55,7))</f>
        <v/>
      </c>
      <c r="T55" s="68"/>
      <c r="U55" s="37" t="s">
        <v>39</v>
      </c>
      <c r="V55" s="37" t="s">
        <v>40</v>
      </c>
      <c r="W55" s="35">
        <f>+AI55</f>
        <v>0</v>
      </c>
      <c r="X55" s="35">
        <f>+AJ55</f>
        <v>0</v>
      </c>
      <c r="Y55" s="33" t="s">
        <v>41</v>
      </c>
      <c r="Z55" s="39">
        <f>+F55</f>
        <v>0</v>
      </c>
      <c r="AA55" s="40"/>
      <c r="AB55" s="65"/>
      <c r="AC55" s="35">
        <v>0</v>
      </c>
      <c r="AD55" s="35">
        <f t="shared" ref="AD55" si="52">+AB55+AC55</f>
        <v>0</v>
      </c>
      <c r="AE55" s="67"/>
      <c r="AF55" s="35">
        <f>+AB55*AE55</f>
        <v>0</v>
      </c>
      <c r="AG55" s="35">
        <f>+AC55*AE55</f>
        <v>0</v>
      </c>
      <c r="AH55" s="35">
        <f>+AD55*AE55</f>
        <v>0</v>
      </c>
      <c r="AI55" s="35">
        <f t="shared" ref="AI55" si="53">+ROUND(AF55,2)</f>
        <v>0</v>
      </c>
      <c r="AJ55" s="35">
        <f t="shared" ref="AJ55" si="54">+ROUND(AG55,2)</f>
        <v>0</v>
      </c>
      <c r="AK55" s="35">
        <f t="shared" ref="AK55" si="55">+ROUND(AH55,2)</f>
        <v>0</v>
      </c>
      <c r="AL55" s="35">
        <f>+AI55+AJ55-AK55</f>
        <v>0</v>
      </c>
      <c r="AM55" s="62"/>
      <c r="AN55" s="35" t="str">
        <f>+LEFT(AM55,2)</f>
        <v/>
      </c>
      <c r="AO55" s="35" t="str">
        <f>+MID(AM55,4,2)</f>
        <v/>
      </c>
      <c r="AP55" s="35" t="str">
        <f>+RIGHT(AM55,2)</f>
        <v/>
      </c>
      <c r="AQ55" s="35" t="str">
        <f>+CONCATENATE(AN55,AO55,AP55)</f>
        <v/>
      </c>
      <c r="AR55" s="41">
        <f>AM55+_xlfn.XLOOKUP(C55,Hoja1!A:A,Hoja1!B:B)</f>
        <v>0</v>
      </c>
      <c r="AS55" s="42">
        <f>+DAY(AR55)</f>
        <v>0</v>
      </c>
      <c r="AT55" s="35">
        <f>+MONTH(AR55)</f>
        <v>1</v>
      </c>
      <c r="AU55" s="35">
        <f>+YEAR(AR55)</f>
        <v>1900</v>
      </c>
      <c r="AV55" s="35" t="str">
        <f>+CONCATENATE(TEXT(AS55,"00"),TEXT(AT55,"00"),RIGHT(AU55,2))</f>
        <v>000100</v>
      </c>
    </row>
    <row r="56" spans="1:48" s="31" customFormat="1" ht="10.15" hidden="1" customHeight="1" x14ac:dyDescent="0.25">
      <c r="A56" s="27"/>
      <c r="B56" s="27"/>
      <c r="C56" s="1"/>
      <c r="D56" s="1"/>
      <c r="E56" s="1"/>
      <c r="F56" s="1"/>
      <c r="G56" s="1"/>
      <c r="H56" s="28"/>
      <c r="I56" s="28"/>
      <c r="J56" s="1"/>
      <c r="K56" s="29"/>
      <c r="L56" s="28"/>
      <c r="M56" s="1"/>
      <c r="N56" s="1"/>
      <c r="O56" s="1"/>
      <c r="P56" s="1"/>
      <c r="Q56" s="1"/>
      <c r="R56" s="1"/>
      <c r="S56" s="28"/>
      <c r="T56" s="1"/>
      <c r="U56" s="1"/>
      <c r="V56" s="1"/>
      <c r="W56" s="28"/>
      <c r="X56" s="28"/>
      <c r="Y56" s="1"/>
      <c r="Z56" s="30"/>
      <c r="AA56" s="6"/>
      <c r="AB56" s="28"/>
      <c r="AC56" s="28"/>
      <c r="AD56" s="28"/>
      <c r="AE56" s="7"/>
      <c r="AF56" s="28"/>
      <c r="AG56" s="28"/>
      <c r="AH56" s="28"/>
      <c r="AI56" s="28"/>
      <c r="AJ56" s="28"/>
      <c r="AK56" s="28"/>
      <c r="AL56" s="28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s="31" customFormat="1" ht="10.15" hidden="1" customHeight="1" x14ac:dyDescent="0.25">
      <c r="A57" s="27"/>
      <c r="B57" s="27"/>
      <c r="C57" s="1"/>
      <c r="D57" s="1"/>
      <c r="E57" s="1"/>
      <c r="F57" s="1"/>
      <c r="G57" s="1"/>
      <c r="H57" s="28"/>
      <c r="I57" s="28"/>
      <c r="J57" s="1"/>
      <c r="K57" s="29"/>
      <c r="L57" s="28"/>
      <c r="M57" s="1"/>
      <c r="N57" s="1"/>
      <c r="O57" s="1"/>
      <c r="P57" s="1"/>
      <c r="Q57" s="1"/>
      <c r="R57" s="1"/>
      <c r="S57" s="28"/>
      <c r="T57" s="1"/>
      <c r="U57" s="1"/>
      <c r="V57" s="1"/>
      <c r="W57" s="28"/>
      <c r="X57" s="28"/>
      <c r="Y57" s="1"/>
      <c r="Z57" s="30"/>
      <c r="AA57" s="6"/>
      <c r="AB57" s="28"/>
      <c r="AC57" s="28"/>
      <c r="AD57" s="28"/>
      <c r="AE57" s="7"/>
      <c r="AF57" s="28"/>
      <c r="AG57" s="28"/>
      <c r="AH57" s="28"/>
      <c r="AI57" s="28"/>
      <c r="AJ57" s="28"/>
      <c r="AK57" s="28"/>
      <c r="AL57" s="28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s="31" customFormat="1" ht="10.15" hidden="1" customHeight="1" x14ac:dyDescent="0.25">
      <c r="A58" s="27"/>
      <c r="B58" s="27"/>
      <c r="C58" s="1"/>
      <c r="D58" s="1"/>
      <c r="E58" s="1"/>
      <c r="F58" s="1"/>
      <c r="G58" s="1"/>
      <c r="H58" s="28"/>
      <c r="I58" s="28"/>
      <c r="J58" s="1"/>
      <c r="K58" s="29"/>
      <c r="L58" s="28"/>
      <c r="M58" s="1"/>
      <c r="N58" s="1"/>
      <c r="O58" s="1"/>
      <c r="P58" s="1"/>
      <c r="Q58" s="1"/>
      <c r="R58" s="1"/>
      <c r="S58" s="28"/>
      <c r="T58" s="1"/>
      <c r="U58" s="1"/>
      <c r="V58" s="1"/>
      <c r="W58" s="28"/>
      <c r="X58" s="28"/>
      <c r="Y58" s="1"/>
      <c r="Z58" s="30"/>
      <c r="AA58" s="6"/>
      <c r="AB58" s="28"/>
      <c r="AC58" s="28"/>
      <c r="AD58" s="28"/>
      <c r="AE58" s="7"/>
      <c r="AF58" s="28"/>
      <c r="AG58" s="28"/>
      <c r="AH58" s="28"/>
      <c r="AI58" s="28"/>
      <c r="AJ58" s="28"/>
      <c r="AK58" s="28"/>
      <c r="AL58" s="28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ht="10.15" customHeight="1" x14ac:dyDescent="0.25">
      <c r="A59" s="44">
        <f>1+A55</f>
        <v>15</v>
      </c>
      <c r="B59" s="38"/>
      <c r="C59" s="57"/>
      <c r="D59" s="57"/>
      <c r="E59" s="34" t="str">
        <f>+AQ59</f>
        <v/>
      </c>
      <c r="F59" s="60"/>
      <c r="G59" s="34" t="str">
        <f>+AV59</f>
        <v>000100</v>
      </c>
      <c r="H59" s="35">
        <f>+AK59</f>
        <v>0</v>
      </c>
      <c r="I59" s="35">
        <f>+ROUND(AD59,2)</f>
        <v>0</v>
      </c>
      <c r="J59" s="57"/>
      <c r="K59" s="36">
        <f>+AE59</f>
        <v>0</v>
      </c>
      <c r="L59" s="35">
        <f>+AJ59</f>
        <v>0</v>
      </c>
      <c r="M59" s="37" t="s">
        <v>37</v>
      </c>
      <c r="N59" s="68"/>
      <c r="O59" s="57"/>
      <c r="P59" s="38" t="e">
        <f>+VLOOKUP(C59,Hoja1!$A$4:$C$57,3,FALSE)</f>
        <v>#N/A</v>
      </c>
      <c r="Q59" s="37" t="s">
        <v>38</v>
      </c>
      <c r="R59" s="68"/>
      <c r="S59" s="35" t="str">
        <f>(RIGHT(O59,7))</f>
        <v/>
      </c>
      <c r="T59" s="68"/>
      <c r="U59" s="37" t="s">
        <v>39</v>
      </c>
      <c r="V59" s="37" t="s">
        <v>40</v>
      </c>
      <c r="W59" s="35">
        <f>+AI59</f>
        <v>0</v>
      </c>
      <c r="X59" s="35">
        <f>+AJ59</f>
        <v>0</v>
      </c>
      <c r="Y59" s="33" t="s">
        <v>41</v>
      </c>
      <c r="Z59" s="39">
        <f>+F59</f>
        <v>0</v>
      </c>
      <c r="AA59" s="40"/>
      <c r="AB59" s="65"/>
      <c r="AC59" s="35">
        <v>0</v>
      </c>
      <c r="AD59" s="35">
        <f t="shared" ref="AD59" si="56">+AB59+AC59</f>
        <v>0</v>
      </c>
      <c r="AE59" s="67"/>
      <c r="AF59" s="35">
        <f>+AB59*AE59</f>
        <v>0</v>
      </c>
      <c r="AG59" s="35">
        <f>+AC59*AE59</f>
        <v>0</v>
      </c>
      <c r="AH59" s="35">
        <f>+AD59*AE59</f>
        <v>0</v>
      </c>
      <c r="AI59" s="35">
        <f t="shared" ref="AI59" si="57">+ROUND(AF59,2)</f>
        <v>0</v>
      </c>
      <c r="AJ59" s="35">
        <f t="shared" ref="AJ59" si="58">+ROUND(AG59,2)</f>
        <v>0</v>
      </c>
      <c r="AK59" s="35">
        <f t="shared" ref="AK59" si="59">+ROUND(AH59,2)</f>
        <v>0</v>
      </c>
      <c r="AL59" s="35">
        <f>+AI59+AJ59-AK59</f>
        <v>0</v>
      </c>
      <c r="AM59" s="63"/>
      <c r="AN59" s="35" t="str">
        <f>+LEFT(AM59,2)</f>
        <v/>
      </c>
      <c r="AO59" s="35" t="str">
        <f>+MID(AM59,4,2)</f>
        <v/>
      </c>
      <c r="AP59" s="35" t="str">
        <f>+RIGHT(AM59,2)</f>
        <v/>
      </c>
      <c r="AQ59" s="35" t="str">
        <f>+CONCATENATE(AN59,AO59,AP59)</f>
        <v/>
      </c>
      <c r="AR59" s="41">
        <f>AM59+_xlfn.XLOOKUP(C59,Hoja1!A:A,Hoja1!B:B)</f>
        <v>0</v>
      </c>
      <c r="AS59" s="42">
        <f>+DAY(AR59)</f>
        <v>0</v>
      </c>
      <c r="AT59" s="35">
        <f>+MONTH(AR59)</f>
        <v>1</v>
      </c>
      <c r="AU59" s="35">
        <f>+YEAR(AR59)</f>
        <v>1900</v>
      </c>
      <c r="AV59" s="35" t="str">
        <f>+CONCATENATE(TEXT(AS59,"00"),TEXT(AT59,"00"),RIGHT(AU59,2))</f>
        <v>000100</v>
      </c>
    </row>
    <row r="60" spans="1:48" s="31" customFormat="1" ht="10.15" hidden="1" customHeight="1" x14ac:dyDescent="0.25">
      <c r="A60" s="27"/>
      <c r="B60" s="27"/>
      <c r="C60" s="1"/>
      <c r="D60" s="1"/>
      <c r="E60" s="1"/>
      <c r="F60" s="1"/>
      <c r="G60" s="1"/>
      <c r="H60" s="28"/>
      <c r="I60" s="28"/>
      <c r="J60" s="1"/>
      <c r="K60" s="29"/>
      <c r="L60" s="28"/>
      <c r="M60" s="1"/>
      <c r="N60" s="1"/>
      <c r="O60" s="1"/>
      <c r="P60" s="1"/>
      <c r="Q60" s="1"/>
      <c r="R60" s="1"/>
      <c r="S60" s="28"/>
      <c r="T60" s="1"/>
      <c r="U60" s="1"/>
      <c r="V60" s="1"/>
      <c r="W60" s="28"/>
      <c r="X60" s="28"/>
      <c r="Y60" s="1"/>
      <c r="Z60" s="30"/>
      <c r="AA60" s="6"/>
      <c r="AB60" s="28"/>
      <c r="AC60" s="28"/>
      <c r="AD60" s="28"/>
      <c r="AE60" s="7"/>
      <c r="AF60" s="28"/>
      <c r="AG60" s="28"/>
      <c r="AH60" s="28"/>
      <c r="AI60" s="28"/>
      <c r="AJ60" s="28"/>
      <c r="AK60" s="28"/>
      <c r="AL60" s="28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s="31" customFormat="1" ht="10.15" hidden="1" customHeight="1" x14ac:dyDescent="0.25">
      <c r="A61" s="27"/>
      <c r="B61" s="27"/>
      <c r="C61" s="1"/>
      <c r="D61" s="1"/>
      <c r="E61" s="1"/>
      <c r="F61" s="1"/>
      <c r="G61" s="1"/>
      <c r="H61" s="28"/>
      <c r="I61" s="28"/>
      <c r="J61" s="1"/>
      <c r="K61" s="29"/>
      <c r="L61" s="28"/>
      <c r="M61" s="1"/>
      <c r="N61" s="1"/>
      <c r="O61" s="1"/>
      <c r="P61" s="1"/>
      <c r="Q61" s="1"/>
      <c r="R61" s="1"/>
      <c r="S61" s="28"/>
      <c r="T61" s="1"/>
      <c r="U61" s="1"/>
      <c r="V61" s="1"/>
      <c r="W61" s="28"/>
      <c r="X61" s="28"/>
      <c r="Y61" s="1"/>
      <c r="Z61" s="30"/>
      <c r="AA61" s="6"/>
      <c r="AB61" s="28"/>
      <c r="AC61" s="28"/>
      <c r="AD61" s="28"/>
      <c r="AE61" s="7"/>
      <c r="AF61" s="28"/>
      <c r="AG61" s="28"/>
      <c r="AH61" s="28"/>
      <c r="AI61" s="28"/>
      <c r="AJ61" s="28"/>
      <c r="AK61" s="28"/>
      <c r="AL61" s="28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s="31" customFormat="1" ht="10.15" hidden="1" customHeight="1" x14ac:dyDescent="0.25">
      <c r="A62" s="27"/>
      <c r="B62" s="27"/>
      <c r="C62" s="1"/>
      <c r="D62" s="1"/>
      <c r="E62" s="1"/>
      <c r="F62" s="1"/>
      <c r="G62" s="1"/>
      <c r="H62" s="28"/>
      <c r="I62" s="28"/>
      <c r="J62" s="1"/>
      <c r="K62" s="29"/>
      <c r="L62" s="28"/>
      <c r="M62" s="1"/>
      <c r="N62" s="1"/>
      <c r="O62" s="1"/>
      <c r="P62" s="1"/>
      <c r="Q62" s="1"/>
      <c r="R62" s="1"/>
      <c r="S62" s="28"/>
      <c r="T62" s="1"/>
      <c r="U62" s="1"/>
      <c r="V62" s="1"/>
      <c r="W62" s="28"/>
      <c r="X62" s="28"/>
      <c r="Y62" s="1"/>
      <c r="Z62" s="30"/>
      <c r="AA62" s="6"/>
      <c r="AB62" s="28"/>
      <c r="AC62" s="28"/>
      <c r="AD62" s="28"/>
      <c r="AE62" s="7"/>
      <c r="AF62" s="28"/>
      <c r="AG62" s="28"/>
      <c r="AH62" s="28"/>
      <c r="AI62" s="28"/>
      <c r="AJ62" s="28"/>
      <c r="AK62" s="28"/>
      <c r="AL62" s="28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ht="10.15" customHeight="1" x14ac:dyDescent="0.25">
      <c r="A63" s="44">
        <f>1+A59</f>
        <v>16</v>
      </c>
      <c r="B63" s="50"/>
      <c r="C63" s="57"/>
      <c r="D63" s="57"/>
      <c r="E63" s="34" t="str">
        <f>+AQ63</f>
        <v/>
      </c>
      <c r="F63" s="60"/>
      <c r="G63" s="34" t="str">
        <f>+AV63</f>
        <v>000100</v>
      </c>
      <c r="H63" s="35">
        <f>+AK63</f>
        <v>0</v>
      </c>
      <c r="I63" s="35">
        <f>+ROUND(AD63,2)</f>
        <v>0</v>
      </c>
      <c r="J63" s="57"/>
      <c r="K63" s="36">
        <f>+AE63</f>
        <v>0</v>
      </c>
      <c r="L63" s="35">
        <f>+AJ63</f>
        <v>0</v>
      </c>
      <c r="M63" s="37" t="s">
        <v>37</v>
      </c>
      <c r="N63" s="68"/>
      <c r="O63" s="57"/>
      <c r="P63" s="38" t="e">
        <f>+VLOOKUP(C63,Hoja1!$A$4:$C$57,3,FALSE)</f>
        <v>#N/A</v>
      </c>
      <c r="Q63" s="37" t="s">
        <v>38</v>
      </c>
      <c r="R63" s="68"/>
      <c r="S63" s="35" t="str">
        <f>(RIGHT(O63,7))</f>
        <v/>
      </c>
      <c r="T63" s="68"/>
      <c r="U63" s="37" t="s">
        <v>39</v>
      </c>
      <c r="V63" s="37" t="s">
        <v>40</v>
      </c>
      <c r="W63" s="35">
        <f>+AI63</f>
        <v>0</v>
      </c>
      <c r="X63" s="35">
        <f>+AJ63</f>
        <v>0</v>
      </c>
      <c r="Y63" s="33" t="s">
        <v>41</v>
      </c>
      <c r="Z63" s="39">
        <f>+F63</f>
        <v>0</v>
      </c>
      <c r="AA63" s="40"/>
      <c r="AB63" s="65"/>
      <c r="AC63" s="35">
        <v>0</v>
      </c>
      <c r="AD63" s="35">
        <f t="shared" ref="AD63" si="60">+AB63+AC63</f>
        <v>0</v>
      </c>
      <c r="AE63" s="67"/>
      <c r="AF63" s="35">
        <f>+AB63*AE63</f>
        <v>0</v>
      </c>
      <c r="AG63" s="35">
        <f>+AC63*AE63</f>
        <v>0</v>
      </c>
      <c r="AH63" s="35">
        <f>+AD63*AE63</f>
        <v>0</v>
      </c>
      <c r="AI63" s="35">
        <f t="shared" ref="AI63" si="61">+ROUND(AF63,2)</f>
        <v>0</v>
      </c>
      <c r="AJ63" s="35">
        <f t="shared" ref="AJ63" si="62">+ROUND(AG63,2)</f>
        <v>0</v>
      </c>
      <c r="AK63" s="35">
        <f t="shared" ref="AK63" si="63">+ROUND(AH63,2)</f>
        <v>0</v>
      </c>
      <c r="AL63" s="35">
        <f>+AI63+AJ63-AK63</f>
        <v>0</v>
      </c>
      <c r="AM63" s="63"/>
      <c r="AN63" s="35" t="str">
        <f>+LEFT(AM63,2)</f>
        <v/>
      </c>
      <c r="AO63" s="35" t="str">
        <f>+MID(AM63,4,2)</f>
        <v/>
      </c>
      <c r="AP63" s="35" t="str">
        <f>+RIGHT(AM63,2)</f>
        <v/>
      </c>
      <c r="AQ63" s="35" t="str">
        <f>+CONCATENATE(AN63,AO63,AP63)</f>
        <v/>
      </c>
      <c r="AR63" s="41">
        <f>AM63+_xlfn.XLOOKUP(C63,Hoja1!A:A,Hoja1!B:B)</f>
        <v>0</v>
      </c>
      <c r="AS63" s="42">
        <f>+DAY(AR63)</f>
        <v>0</v>
      </c>
      <c r="AT63" s="35">
        <f>+MONTH(AR63)</f>
        <v>1</v>
      </c>
      <c r="AU63" s="35">
        <f>+YEAR(AR63)</f>
        <v>1900</v>
      </c>
      <c r="AV63" s="35" t="str">
        <f>+CONCATENATE(TEXT(AS63,"00"),TEXT(AT63,"00"),RIGHT(AU63,2))</f>
        <v>000100</v>
      </c>
    </row>
    <row r="64" spans="1:48" s="31" customFormat="1" ht="10.15" hidden="1" customHeight="1" x14ac:dyDescent="0.25">
      <c r="A64" s="27"/>
      <c r="B64" s="27"/>
      <c r="C64" s="1"/>
      <c r="D64" s="1"/>
      <c r="E64" s="1"/>
      <c r="F64" s="1"/>
      <c r="G64" s="1"/>
      <c r="H64" s="28"/>
      <c r="I64" s="28"/>
      <c r="J64" s="1"/>
      <c r="K64" s="29"/>
      <c r="L64" s="28"/>
      <c r="M64" s="1"/>
      <c r="N64" s="1"/>
      <c r="O64" s="1"/>
      <c r="P64" s="1"/>
      <c r="Q64" s="1"/>
      <c r="R64" s="1"/>
      <c r="S64" s="28"/>
      <c r="T64" s="1"/>
      <c r="U64" s="1"/>
      <c r="V64" s="1"/>
      <c r="W64" s="28"/>
      <c r="X64" s="28"/>
      <c r="Y64" s="1"/>
      <c r="Z64" s="30"/>
      <c r="AA64" s="6"/>
      <c r="AB64" s="28"/>
      <c r="AC64" s="28"/>
      <c r="AD64" s="28"/>
      <c r="AE64" s="7"/>
      <c r="AF64" s="28"/>
      <c r="AG64" s="28"/>
      <c r="AH64" s="28"/>
      <c r="AI64" s="28"/>
      <c r="AJ64" s="28"/>
      <c r="AK64" s="28"/>
      <c r="AL64" s="28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s="31" customFormat="1" ht="10.15" hidden="1" customHeight="1" x14ac:dyDescent="0.25">
      <c r="A65" s="27"/>
      <c r="B65" s="27"/>
      <c r="C65" s="1"/>
      <c r="D65" s="1"/>
      <c r="E65" s="1"/>
      <c r="F65" s="1"/>
      <c r="G65" s="1"/>
      <c r="H65" s="28"/>
      <c r="I65" s="28"/>
      <c r="J65" s="1"/>
      <c r="K65" s="29"/>
      <c r="L65" s="28"/>
      <c r="M65" s="1"/>
      <c r="N65" s="1"/>
      <c r="O65" s="1"/>
      <c r="P65" s="1"/>
      <c r="Q65" s="1"/>
      <c r="R65" s="1"/>
      <c r="S65" s="28"/>
      <c r="T65" s="1"/>
      <c r="U65" s="1"/>
      <c r="V65" s="1"/>
      <c r="W65" s="28"/>
      <c r="X65" s="28"/>
      <c r="Y65" s="1"/>
      <c r="Z65" s="30"/>
      <c r="AA65" s="6"/>
      <c r="AB65" s="28"/>
      <c r="AC65" s="28"/>
      <c r="AD65" s="28"/>
      <c r="AE65" s="7"/>
      <c r="AF65" s="28"/>
      <c r="AG65" s="28"/>
      <c r="AH65" s="28"/>
      <c r="AI65" s="28"/>
      <c r="AJ65" s="28"/>
      <c r="AK65" s="28"/>
      <c r="AL65" s="28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s="31" customFormat="1" ht="10.15" hidden="1" customHeight="1" x14ac:dyDescent="0.25">
      <c r="A66" s="27"/>
      <c r="B66" s="27"/>
      <c r="C66" s="1"/>
      <c r="D66" s="1"/>
      <c r="E66" s="1"/>
      <c r="F66" s="1"/>
      <c r="G66" s="1"/>
      <c r="H66" s="28"/>
      <c r="I66" s="28"/>
      <c r="J66" s="1"/>
      <c r="K66" s="29"/>
      <c r="L66" s="28"/>
      <c r="M66" s="1"/>
      <c r="N66" s="1"/>
      <c r="O66" s="1"/>
      <c r="P66" s="1"/>
      <c r="Q66" s="1"/>
      <c r="R66" s="1"/>
      <c r="S66" s="28"/>
      <c r="T66" s="1"/>
      <c r="U66" s="1"/>
      <c r="V66" s="1"/>
      <c r="W66" s="28"/>
      <c r="X66" s="28"/>
      <c r="Y66" s="1"/>
      <c r="Z66" s="30"/>
      <c r="AA66" s="6"/>
      <c r="AB66" s="28"/>
      <c r="AC66" s="28"/>
      <c r="AD66" s="28"/>
      <c r="AE66" s="7"/>
      <c r="AF66" s="28"/>
      <c r="AG66" s="28"/>
      <c r="AH66" s="28"/>
      <c r="AI66" s="28"/>
      <c r="AJ66" s="28"/>
      <c r="AK66" s="28"/>
      <c r="AL66" s="28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ht="10.15" customHeight="1" x14ac:dyDescent="0.25">
      <c r="A67" s="44">
        <f>1+A63</f>
        <v>17</v>
      </c>
      <c r="B67" s="50"/>
      <c r="C67" s="57"/>
      <c r="D67" s="57"/>
      <c r="E67" s="34" t="str">
        <f>+AQ67</f>
        <v/>
      </c>
      <c r="F67" s="60"/>
      <c r="G67" s="34" t="str">
        <f>+AV67</f>
        <v>000100</v>
      </c>
      <c r="H67" s="35">
        <f>+AK67</f>
        <v>0</v>
      </c>
      <c r="I67" s="35">
        <f>+ROUND(AD67,2)</f>
        <v>0</v>
      </c>
      <c r="J67" s="57"/>
      <c r="K67" s="36">
        <f>+AE67</f>
        <v>0</v>
      </c>
      <c r="L67" s="35">
        <f>+AJ67</f>
        <v>0</v>
      </c>
      <c r="M67" s="37" t="s">
        <v>37</v>
      </c>
      <c r="N67" s="68"/>
      <c r="O67" s="57"/>
      <c r="P67" s="38" t="e">
        <f>+VLOOKUP(C67,Hoja1!$A$4:$C$57,3,FALSE)</f>
        <v>#N/A</v>
      </c>
      <c r="Q67" s="37" t="s">
        <v>38</v>
      </c>
      <c r="R67" s="68"/>
      <c r="S67" s="35" t="str">
        <f>(RIGHT(O67,7))</f>
        <v/>
      </c>
      <c r="T67" s="68"/>
      <c r="U67" s="37" t="s">
        <v>39</v>
      </c>
      <c r="V67" s="37" t="s">
        <v>40</v>
      </c>
      <c r="W67" s="35">
        <f>+AI67</f>
        <v>0</v>
      </c>
      <c r="X67" s="35">
        <f>+AJ67</f>
        <v>0</v>
      </c>
      <c r="Y67" s="33" t="s">
        <v>41</v>
      </c>
      <c r="Z67" s="39">
        <f>+F67</f>
        <v>0</v>
      </c>
      <c r="AA67" s="40"/>
      <c r="AB67" s="65"/>
      <c r="AC67" s="35">
        <v>0</v>
      </c>
      <c r="AD67" s="35">
        <f t="shared" ref="AD67" si="64">+AB67+AC67</f>
        <v>0</v>
      </c>
      <c r="AE67" s="67"/>
      <c r="AF67" s="35">
        <f>+AB67*AE67</f>
        <v>0</v>
      </c>
      <c r="AG67" s="35">
        <f>+AC67*AE67</f>
        <v>0</v>
      </c>
      <c r="AH67" s="35">
        <f>+AD67*AE67</f>
        <v>0</v>
      </c>
      <c r="AI67" s="35">
        <f t="shared" ref="AI67" si="65">+ROUND(AF67,2)</f>
        <v>0</v>
      </c>
      <c r="AJ67" s="35">
        <f t="shared" ref="AJ67" si="66">+ROUND(AG67,2)</f>
        <v>0</v>
      </c>
      <c r="AK67" s="35">
        <f t="shared" ref="AK67" si="67">+ROUND(AH67,2)</f>
        <v>0</v>
      </c>
      <c r="AL67" s="35">
        <f>+AI67+AJ67-AK67</f>
        <v>0</v>
      </c>
      <c r="AM67" s="63"/>
      <c r="AN67" s="35" t="str">
        <f>+LEFT(AM67,2)</f>
        <v/>
      </c>
      <c r="AO67" s="35" t="str">
        <f>+MID(AM67,4,2)</f>
        <v/>
      </c>
      <c r="AP67" s="35" t="str">
        <f>+RIGHT(AM67,2)</f>
        <v/>
      </c>
      <c r="AQ67" s="35" t="str">
        <f>+CONCATENATE(AN67,AO67,AP67)</f>
        <v/>
      </c>
      <c r="AR67" s="41">
        <f>AM67+_xlfn.XLOOKUP(C67,Hoja1!A:A,Hoja1!B:B)</f>
        <v>0</v>
      </c>
      <c r="AS67" s="42">
        <f>+DAY(AR67)</f>
        <v>0</v>
      </c>
      <c r="AT67" s="35">
        <f>+MONTH(AR67)</f>
        <v>1</v>
      </c>
      <c r="AU67" s="35">
        <f>+YEAR(AR67)</f>
        <v>1900</v>
      </c>
      <c r="AV67" s="35" t="str">
        <f>+CONCATENATE(TEXT(AS67,"00"),TEXT(AT67,"00"),RIGHT(AU67,2))</f>
        <v>000100</v>
      </c>
    </row>
    <row r="68" spans="1:48" s="31" customFormat="1" ht="10.15" hidden="1" customHeight="1" x14ac:dyDescent="0.25">
      <c r="A68" s="27"/>
      <c r="B68" s="27"/>
      <c r="C68" s="1"/>
      <c r="D68" s="1"/>
      <c r="E68" s="1"/>
      <c r="F68" s="1"/>
      <c r="G68" s="1"/>
      <c r="H68" s="28"/>
      <c r="I68" s="28"/>
      <c r="J68" s="1"/>
      <c r="K68" s="29"/>
      <c r="L68" s="28"/>
      <c r="M68" s="1"/>
      <c r="N68" s="1"/>
      <c r="O68" s="1"/>
      <c r="P68" s="1"/>
      <c r="Q68" s="1"/>
      <c r="R68" s="1"/>
      <c r="S68" s="28"/>
      <c r="T68" s="1"/>
      <c r="U68" s="1"/>
      <c r="V68" s="1"/>
      <c r="W68" s="28"/>
      <c r="X68" s="28"/>
      <c r="Y68" s="1"/>
      <c r="Z68" s="30"/>
      <c r="AA68" s="6"/>
      <c r="AB68" s="28"/>
      <c r="AC68" s="28"/>
      <c r="AD68" s="28"/>
      <c r="AE68" s="7"/>
      <c r="AF68" s="28"/>
      <c r="AG68" s="28"/>
      <c r="AH68" s="28"/>
      <c r="AI68" s="28"/>
      <c r="AJ68" s="28"/>
      <c r="AK68" s="28"/>
      <c r="AL68" s="28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s="31" customFormat="1" ht="10.15" hidden="1" customHeight="1" x14ac:dyDescent="0.25">
      <c r="A69" s="27"/>
      <c r="B69" s="27"/>
      <c r="C69" s="1"/>
      <c r="D69" s="1"/>
      <c r="E69" s="1"/>
      <c r="F69" s="1"/>
      <c r="G69" s="1"/>
      <c r="H69" s="28"/>
      <c r="I69" s="28"/>
      <c r="J69" s="1"/>
      <c r="K69" s="29"/>
      <c r="L69" s="28"/>
      <c r="M69" s="1"/>
      <c r="N69" s="1"/>
      <c r="O69" s="1"/>
      <c r="P69" s="1"/>
      <c r="Q69" s="1"/>
      <c r="R69" s="1"/>
      <c r="S69" s="28"/>
      <c r="T69" s="1"/>
      <c r="U69" s="1"/>
      <c r="V69" s="1"/>
      <c r="W69" s="28"/>
      <c r="X69" s="28"/>
      <c r="Y69" s="1"/>
      <c r="Z69" s="30"/>
      <c r="AA69" s="6"/>
      <c r="AB69" s="28"/>
      <c r="AC69" s="28"/>
      <c r="AD69" s="28"/>
      <c r="AE69" s="7"/>
      <c r="AF69" s="28"/>
      <c r="AG69" s="28"/>
      <c r="AH69" s="28"/>
      <c r="AI69" s="28"/>
      <c r="AJ69" s="28"/>
      <c r="AK69" s="28"/>
      <c r="AL69" s="28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s="31" customFormat="1" ht="10.15" hidden="1" customHeight="1" x14ac:dyDescent="0.25">
      <c r="A70" s="27"/>
      <c r="B70" s="27"/>
      <c r="C70" s="1"/>
      <c r="D70" s="1"/>
      <c r="E70" s="1"/>
      <c r="F70" s="1"/>
      <c r="G70" s="1"/>
      <c r="H70" s="28"/>
      <c r="I70" s="28"/>
      <c r="J70" s="1"/>
      <c r="K70" s="29"/>
      <c r="L70" s="28"/>
      <c r="M70" s="1"/>
      <c r="N70" s="1"/>
      <c r="O70" s="1"/>
      <c r="P70" s="1"/>
      <c r="Q70" s="1"/>
      <c r="R70" s="1"/>
      <c r="S70" s="28"/>
      <c r="T70" s="1"/>
      <c r="U70" s="1"/>
      <c r="V70" s="1"/>
      <c r="W70" s="28"/>
      <c r="X70" s="28"/>
      <c r="Y70" s="1"/>
      <c r="Z70" s="30"/>
      <c r="AA70" s="6"/>
      <c r="AB70" s="28"/>
      <c r="AC70" s="28"/>
      <c r="AD70" s="28"/>
      <c r="AE70" s="7"/>
      <c r="AF70" s="28"/>
      <c r="AG70" s="28"/>
      <c r="AH70" s="28"/>
      <c r="AI70" s="28"/>
      <c r="AJ70" s="28"/>
      <c r="AK70" s="28"/>
      <c r="AL70" s="28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ht="10.15" customHeight="1" x14ac:dyDescent="0.25">
      <c r="A71" s="44">
        <f>1+A67</f>
        <v>18</v>
      </c>
      <c r="B71" s="38"/>
      <c r="C71" s="57"/>
      <c r="D71" s="57"/>
      <c r="E71" s="34" t="str">
        <f>+AQ71</f>
        <v/>
      </c>
      <c r="F71" s="60"/>
      <c r="G71" s="34" t="str">
        <f>+AV71</f>
        <v>000100</v>
      </c>
      <c r="H71" s="35">
        <f>+AK71</f>
        <v>0</v>
      </c>
      <c r="I71" s="35">
        <f>+ROUND(AD71,2)</f>
        <v>0</v>
      </c>
      <c r="J71" s="57"/>
      <c r="K71" s="36">
        <f>+AE71</f>
        <v>0</v>
      </c>
      <c r="L71" s="35">
        <f>+AJ71</f>
        <v>0</v>
      </c>
      <c r="M71" s="37" t="s">
        <v>37</v>
      </c>
      <c r="N71" s="68"/>
      <c r="O71" s="57"/>
      <c r="P71" s="38" t="e">
        <f>+VLOOKUP(C71,Hoja1!$A$4:$C$57,3,FALSE)</f>
        <v>#N/A</v>
      </c>
      <c r="Q71" s="37" t="s">
        <v>38</v>
      </c>
      <c r="R71" s="68"/>
      <c r="S71" s="35" t="str">
        <f>(RIGHT(O71,7))</f>
        <v/>
      </c>
      <c r="T71" s="68"/>
      <c r="U71" s="37" t="s">
        <v>39</v>
      </c>
      <c r="V71" s="37" t="s">
        <v>40</v>
      </c>
      <c r="W71" s="35">
        <f>+AI71</f>
        <v>0</v>
      </c>
      <c r="X71" s="35">
        <f>+AJ71</f>
        <v>0</v>
      </c>
      <c r="Y71" s="33" t="s">
        <v>41</v>
      </c>
      <c r="Z71" s="39">
        <f>+F71</f>
        <v>0</v>
      </c>
      <c r="AA71" s="40"/>
      <c r="AB71" s="65"/>
      <c r="AC71" s="35">
        <v>0</v>
      </c>
      <c r="AD71" s="35">
        <f t="shared" ref="AD71" si="68">+AB71+AC71</f>
        <v>0</v>
      </c>
      <c r="AE71" s="67"/>
      <c r="AF71" s="35">
        <f>+AB71*AE71</f>
        <v>0</v>
      </c>
      <c r="AG71" s="35">
        <f>+AC71*AE71</f>
        <v>0</v>
      </c>
      <c r="AH71" s="35">
        <f>+AD71*AE71</f>
        <v>0</v>
      </c>
      <c r="AI71" s="35">
        <f t="shared" ref="AI71" si="69">+ROUND(AF71,2)</f>
        <v>0</v>
      </c>
      <c r="AJ71" s="35">
        <f t="shared" ref="AJ71" si="70">+ROUND(AG71,2)</f>
        <v>0</v>
      </c>
      <c r="AK71" s="35">
        <f t="shared" ref="AK71" si="71">+ROUND(AH71,2)</f>
        <v>0</v>
      </c>
      <c r="AL71" s="35">
        <f>+AI71+AJ71-AK71</f>
        <v>0</v>
      </c>
      <c r="AM71" s="62"/>
      <c r="AN71" s="35" t="str">
        <f>+LEFT(AM71,2)</f>
        <v/>
      </c>
      <c r="AO71" s="35" t="str">
        <f>+MID(AM71,4,2)</f>
        <v/>
      </c>
      <c r="AP71" s="35" t="str">
        <f>+RIGHT(AM71,2)</f>
        <v/>
      </c>
      <c r="AQ71" s="35" t="str">
        <f>+CONCATENATE(AN71,AO71,AP71)</f>
        <v/>
      </c>
      <c r="AR71" s="41">
        <f>AM71+_xlfn.XLOOKUP(C71,Hoja1!A:A,Hoja1!B:B)</f>
        <v>0</v>
      </c>
      <c r="AS71" s="42">
        <f>+DAY(AR71)</f>
        <v>0</v>
      </c>
      <c r="AT71" s="35">
        <f>+MONTH(AR71)</f>
        <v>1</v>
      </c>
      <c r="AU71" s="35">
        <f>+YEAR(AR71)</f>
        <v>1900</v>
      </c>
      <c r="AV71" s="35" t="str">
        <f>+CONCATENATE(TEXT(AS71,"00"),TEXT(AT71,"00"),RIGHT(AU71,2))</f>
        <v>000100</v>
      </c>
    </row>
    <row r="72" spans="1:48" s="31" customFormat="1" ht="10.15" hidden="1" customHeight="1" x14ac:dyDescent="0.25">
      <c r="A72" s="27"/>
      <c r="B72" s="27"/>
      <c r="C72" s="1"/>
      <c r="D72" s="1"/>
      <c r="E72" s="1"/>
      <c r="F72" s="1"/>
      <c r="G72" s="1"/>
      <c r="H72" s="28"/>
      <c r="I72" s="28"/>
      <c r="J72" s="1"/>
      <c r="K72" s="29"/>
      <c r="L72" s="28"/>
      <c r="M72" s="1"/>
      <c r="N72" s="1"/>
      <c r="O72" s="1"/>
      <c r="P72" s="1"/>
      <c r="Q72" s="1"/>
      <c r="R72" s="1"/>
      <c r="S72" s="28"/>
      <c r="T72" s="1"/>
      <c r="U72" s="1"/>
      <c r="V72" s="1"/>
      <c r="W72" s="28"/>
      <c r="X72" s="28"/>
      <c r="Y72" s="1"/>
      <c r="Z72" s="30"/>
      <c r="AA72" s="6"/>
      <c r="AB72" s="28"/>
      <c r="AC72" s="28"/>
      <c r="AD72" s="28"/>
      <c r="AE72" s="7"/>
      <c r="AF72" s="28"/>
      <c r="AG72" s="28"/>
      <c r="AH72" s="28"/>
      <c r="AI72" s="28"/>
      <c r="AJ72" s="28"/>
      <c r="AK72" s="28"/>
      <c r="AL72" s="28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s="31" customFormat="1" ht="10.15" hidden="1" customHeight="1" x14ac:dyDescent="0.25">
      <c r="A73" s="27"/>
      <c r="B73" s="27"/>
      <c r="C73" s="1"/>
      <c r="D73" s="1"/>
      <c r="E73" s="1"/>
      <c r="F73" s="1"/>
      <c r="G73" s="1"/>
      <c r="H73" s="28"/>
      <c r="I73" s="28"/>
      <c r="J73" s="1"/>
      <c r="K73" s="29"/>
      <c r="L73" s="28"/>
      <c r="M73" s="1"/>
      <c r="N73" s="1"/>
      <c r="O73" s="1"/>
      <c r="P73" s="1"/>
      <c r="Q73" s="1"/>
      <c r="R73" s="1"/>
      <c r="S73" s="28"/>
      <c r="T73" s="1"/>
      <c r="U73" s="1"/>
      <c r="V73" s="1"/>
      <c r="W73" s="28"/>
      <c r="X73" s="28"/>
      <c r="Y73" s="1"/>
      <c r="Z73" s="30"/>
      <c r="AA73" s="6"/>
      <c r="AB73" s="28"/>
      <c r="AC73" s="28"/>
      <c r="AD73" s="28"/>
      <c r="AE73" s="7"/>
      <c r="AF73" s="28"/>
      <c r="AG73" s="28"/>
      <c r="AH73" s="28"/>
      <c r="AI73" s="28"/>
      <c r="AJ73" s="28"/>
      <c r="AK73" s="28"/>
      <c r="AL73" s="28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s="31" customFormat="1" ht="10.15" hidden="1" customHeight="1" x14ac:dyDescent="0.25">
      <c r="A74" s="27"/>
      <c r="B74" s="27"/>
      <c r="C74" s="1"/>
      <c r="D74" s="1"/>
      <c r="E74" s="1"/>
      <c r="F74" s="1"/>
      <c r="G74" s="1"/>
      <c r="H74" s="28"/>
      <c r="I74" s="28"/>
      <c r="J74" s="1"/>
      <c r="K74" s="29"/>
      <c r="L74" s="28"/>
      <c r="M74" s="1"/>
      <c r="N74" s="1"/>
      <c r="O74" s="1"/>
      <c r="P74" s="1"/>
      <c r="Q74" s="1"/>
      <c r="R74" s="1"/>
      <c r="S74" s="28"/>
      <c r="T74" s="1"/>
      <c r="U74" s="1"/>
      <c r="V74" s="1"/>
      <c r="W74" s="28"/>
      <c r="X74" s="28"/>
      <c r="Y74" s="1"/>
      <c r="Z74" s="30"/>
      <c r="AA74" s="6"/>
      <c r="AB74" s="28"/>
      <c r="AC74" s="28"/>
      <c r="AD74" s="28"/>
      <c r="AE74" s="7"/>
      <c r="AF74" s="28"/>
      <c r="AG74" s="28"/>
      <c r="AH74" s="28"/>
      <c r="AI74" s="28"/>
      <c r="AJ74" s="28"/>
      <c r="AK74" s="28"/>
      <c r="AL74" s="28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ht="10.15" customHeight="1" x14ac:dyDescent="0.25">
      <c r="A75" s="44">
        <f>1+A71</f>
        <v>19</v>
      </c>
      <c r="B75" s="38"/>
      <c r="C75" s="57"/>
      <c r="D75" s="57"/>
      <c r="E75" s="34" t="str">
        <f>+AQ75</f>
        <v/>
      </c>
      <c r="F75" s="60"/>
      <c r="G75" s="34" t="str">
        <f>+AV75</f>
        <v>000100</v>
      </c>
      <c r="H75" s="35">
        <f>+AK75</f>
        <v>0</v>
      </c>
      <c r="I75" s="35">
        <f>+ROUND(AD75,2)</f>
        <v>0</v>
      </c>
      <c r="J75" s="57"/>
      <c r="K75" s="36">
        <f>+AE75</f>
        <v>0</v>
      </c>
      <c r="L75" s="35">
        <f>+AJ75</f>
        <v>0</v>
      </c>
      <c r="M75" s="37" t="s">
        <v>37</v>
      </c>
      <c r="N75" s="68"/>
      <c r="O75" s="57"/>
      <c r="P75" s="38" t="e">
        <f>+VLOOKUP(C75,Hoja1!$A$4:$C$57,3,FALSE)</f>
        <v>#N/A</v>
      </c>
      <c r="Q75" s="37" t="s">
        <v>38</v>
      </c>
      <c r="R75" s="68"/>
      <c r="S75" s="35" t="str">
        <f>(RIGHT(O75,7))</f>
        <v/>
      </c>
      <c r="T75" s="68"/>
      <c r="U75" s="37" t="s">
        <v>39</v>
      </c>
      <c r="V75" s="37" t="s">
        <v>40</v>
      </c>
      <c r="W75" s="35">
        <f>+AI75</f>
        <v>0</v>
      </c>
      <c r="X75" s="35">
        <f>+AJ75</f>
        <v>0</v>
      </c>
      <c r="Y75" s="33" t="s">
        <v>41</v>
      </c>
      <c r="Z75" s="39">
        <f>+F75</f>
        <v>0</v>
      </c>
      <c r="AA75" s="40"/>
      <c r="AB75" s="65"/>
      <c r="AC75" s="35">
        <v>0</v>
      </c>
      <c r="AD75" s="35">
        <f t="shared" ref="AD75" si="72">+AB75+AC75</f>
        <v>0</v>
      </c>
      <c r="AE75" s="67"/>
      <c r="AF75" s="35">
        <f>+AB75*AE75</f>
        <v>0</v>
      </c>
      <c r="AG75" s="35">
        <f>+AC75*AE75</f>
        <v>0</v>
      </c>
      <c r="AH75" s="35">
        <f>+AD75*AE75</f>
        <v>0</v>
      </c>
      <c r="AI75" s="35">
        <f t="shared" ref="AI75" si="73">+ROUND(AF75,2)</f>
        <v>0</v>
      </c>
      <c r="AJ75" s="35">
        <f t="shared" ref="AJ75" si="74">+ROUND(AG75,2)</f>
        <v>0</v>
      </c>
      <c r="AK75" s="35">
        <f t="shared" ref="AK75" si="75">+ROUND(AH75,2)</f>
        <v>0</v>
      </c>
      <c r="AL75" s="35">
        <f>+AI75+AJ75-AK75</f>
        <v>0</v>
      </c>
      <c r="AM75" s="62"/>
      <c r="AN75" s="35" t="str">
        <f>+LEFT(AM75,2)</f>
        <v/>
      </c>
      <c r="AO75" s="35" t="str">
        <f>+MID(AM75,4,2)</f>
        <v/>
      </c>
      <c r="AP75" s="35" t="str">
        <f>+RIGHT(AM75,2)</f>
        <v/>
      </c>
      <c r="AQ75" s="35" t="str">
        <f>+CONCATENATE(AN75,AO75,AP75)</f>
        <v/>
      </c>
      <c r="AR75" s="41">
        <f>AM75+_xlfn.XLOOKUP(C75,Hoja1!A:A,Hoja1!B:B)</f>
        <v>0</v>
      </c>
      <c r="AS75" s="42">
        <f>+DAY(AR75)</f>
        <v>0</v>
      </c>
      <c r="AT75" s="35">
        <f>+MONTH(AR75)</f>
        <v>1</v>
      </c>
      <c r="AU75" s="35">
        <f>+YEAR(AR75)</f>
        <v>1900</v>
      </c>
      <c r="AV75" s="35" t="str">
        <f>+CONCATENATE(TEXT(AS75,"00"),TEXT(AT75,"00"),RIGHT(AU75,2))</f>
        <v>000100</v>
      </c>
    </row>
    <row r="76" spans="1:48" s="31" customFormat="1" ht="10.15" hidden="1" customHeight="1" x14ac:dyDescent="0.25">
      <c r="A76" s="27"/>
      <c r="B76" s="27"/>
      <c r="C76" s="1"/>
      <c r="D76" s="1"/>
      <c r="E76" s="1"/>
      <c r="F76" s="1"/>
      <c r="G76" s="1"/>
      <c r="H76" s="28"/>
      <c r="I76" s="28"/>
      <c r="J76" s="1"/>
      <c r="K76" s="29"/>
      <c r="L76" s="28"/>
      <c r="M76" s="1"/>
      <c r="N76" s="1"/>
      <c r="O76" s="1"/>
      <c r="P76" s="1"/>
      <c r="Q76" s="1"/>
      <c r="R76" s="1"/>
      <c r="S76" s="28"/>
      <c r="T76" s="1"/>
      <c r="U76" s="1"/>
      <c r="V76" s="1"/>
      <c r="W76" s="28"/>
      <c r="X76" s="28"/>
      <c r="Y76" s="1"/>
      <c r="Z76" s="30"/>
      <c r="AA76" s="6"/>
      <c r="AB76" s="28"/>
      <c r="AC76" s="28"/>
      <c r="AD76" s="28"/>
      <c r="AE76" s="7"/>
      <c r="AF76" s="28"/>
      <c r="AG76" s="28"/>
      <c r="AH76" s="28"/>
      <c r="AI76" s="28"/>
      <c r="AJ76" s="28"/>
      <c r="AK76" s="28"/>
      <c r="AL76" s="28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s="31" customFormat="1" ht="10.15" hidden="1" customHeight="1" x14ac:dyDescent="0.25">
      <c r="A77" s="27"/>
      <c r="B77" s="27"/>
      <c r="C77" s="1"/>
      <c r="D77" s="1"/>
      <c r="E77" s="1"/>
      <c r="F77" s="1"/>
      <c r="G77" s="1"/>
      <c r="H77" s="28"/>
      <c r="I77" s="28"/>
      <c r="J77" s="1"/>
      <c r="K77" s="29"/>
      <c r="L77" s="28"/>
      <c r="M77" s="1"/>
      <c r="N77" s="1"/>
      <c r="O77" s="1"/>
      <c r="P77" s="1"/>
      <c r="Q77" s="1"/>
      <c r="R77" s="1"/>
      <c r="S77" s="28"/>
      <c r="T77" s="1"/>
      <c r="U77" s="1"/>
      <c r="V77" s="1"/>
      <c r="W77" s="28"/>
      <c r="X77" s="28"/>
      <c r="Y77" s="1"/>
      <c r="Z77" s="30"/>
      <c r="AA77" s="6"/>
      <c r="AB77" s="28"/>
      <c r="AC77" s="28"/>
      <c r="AD77" s="28"/>
      <c r="AE77" s="7"/>
      <c r="AF77" s="28"/>
      <c r="AG77" s="28"/>
      <c r="AH77" s="28"/>
      <c r="AI77" s="28"/>
      <c r="AJ77" s="28"/>
      <c r="AK77" s="28"/>
      <c r="AL77" s="28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s="31" customFormat="1" ht="10.15" hidden="1" customHeight="1" x14ac:dyDescent="0.25">
      <c r="A78" s="27"/>
      <c r="B78" s="27"/>
      <c r="C78" s="1"/>
      <c r="D78" s="1"/>
      <c r="E78" s="1"/>
      <c r="F78" s="1"/>
      <c r="G78" s="1"/>
      <c r="H78" s="28"/>
      <c r="I78" s="28"/>
      <c r="J78" s="1"/>
      <c r="K78" s="29"/>
      <c r="L78" s="28"/>
      <c r="M78" s="1"/>
      <c r="N78" s="1"/>
      <c r="O78" s="1"/>
      <c r="P78" s="1"/>
      <c r="Q78" s="1"/>
      <c r="R78" s="1"/>
      <c r="S78" s="28"/>
      <c r="T78" s="1"/>
      <c r="U78" s="1"/>
      <c r="V78" s="1"/>
      <c r="W78" s="28"/>
      <c r="X78" s="28"/>
      <c r="Y78" s="1"/>
      <c r="Z78" s="30"/>
      <c r="AA78" s="6"/>
      <c r="AB78" s="28"/>
      <c r="AC78" s="28"/>
      <c r="AD78" s="28"/>
      <c r="AE78" s="7"/>
      <c r="AF78" s="28"/>
      <c r="AG78" s="28"/>
      <c r="AH78" s="28"/>
      <c r="AI78" s="28"/>
      <c r="AJ78" s="28"/>
      <c r="AK78" s="28"/>
      <c r="AL78" s="28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ht="10.15" customHeight="1" x14ac:dyDescent="0.25">
      <c r="A79" s="44">
        <f>1+A75</f>
        <v>20</v>
      </c>
      <c r="B79" s="50"/>
      <c r="C79" s="57"/>
      <c r="D79" s="57"/>
      <c r="E79" s="34" t="str">
        <f>+AQ79</f>
        <v/>
      </c>
      <c r="F79" s="60"/>
      <c r="G79" s="34" t="str">
        <f>+AV79</f>
        <v>000100</v>
      </c>
      <c r="H79" s="35">
        <f>+AK79</f>
        <v>0</v>
      </c>
      <c r="I79" s="35">
        <f>+ROUND(AD79,2)</f>
        <v>0</v>
      </c>
      <c r="J79" s="57"/>
      <c r="K79" s="36">
        <f>+AE79</f>
        <v>0</v>
      </c>
      <c r="L79" s="35">
        <f>+AJ79</f>
        <v>0</v>
      </c>
      <c r="M79" s="37" t="s">
        <v>37</v>
      </c>
      <c r="N79" s="68"/>
      <c r="O79" s="57"/>
      <c r="P79" s="38" t="e">
        <f>+VLOOKUP(C79,Hoja1!$A$4:$C$57,3,FALSE)</f>
        <v>#N/A</v>
      </c>
      <c r="Q79" s="37" t="s">
        <v>38</v>
      </c>
      <c r="R79" s="68"/>
      <c r="S79" s="35" t="str">
        <f>(RIGHT(O79,7))</f>
        <v/>
      </c>
      <c r="T79" s="68"/>
      <c r="U79" s="37" t="s">
        <v>39</v>
      </c>
      <c r="V79" s="37" t="s">
        <v>40</v>
      </c>
      <c r="W79" s="35">
        <f>+AI79</f>
        <v>0</v>
      </c>
      <c r="X79" s="35">
        <f>+AJ79</f>
        <v>0</v>
      </c>
      <c r="Y79" s="33" t="s">
        <v>41</v>
      </c>
      <c r="Z79" s="39">
        <f>+F79</f>
        <v>0</v>
      </c>
      <c r="AA79" s="40"/>
      <c r="AB79" s="65"/>
      <c r="AC79" s="35">
        <v>0</v>
      </c>
      <c r="AD79" s="35">
        <f t="shared" ref="AD79" si="76">+AB79+AC79</f>
        <v>0</v>
      </c>
      <c r="AE79" s="67"/>
      <c r="AF79" s="35">
        <f>+AB79*AE79</f>
        <v>0</v>
      </c>
      <c r="AG79" s="35">
        <f>+AC79*AE79</f>
        <v>0</v>
      </c>
      <c r="AH79" s="35">
        <f>+AD79*AE79</f>
        <v>0</v>
      </c>
      <c r="AI79" s="35">
        <f t="shared" ref="AI79" si="77">+ROUND(AF79,2)</f>
        <v>0</v>
      </c>
      <c r="AJ79" s="35">
        <f t="shared" ref="AJ79" si="78">+ROUND(AG79,2)</f>
        <v>0</v>
      </c>
      <c r="AK79" s="35">
        <f t="shared" ref="AK79" si="79">+ROUND(AH79,2)</f>
        <v>0</v>
      </c>
      <c r="AL79" s="35">
        <f>+AI79+AJ79-AK79</f>
        <v>0</v>
      </c>
      <c r="AM79" s="62"/>
      <c r="AN79" s="35" t="str">
        <f>+LEFT(AM79,2)</f>
        <v/>
      </c>
      <c r="AO79" s="35" t="str">
        <f>+MID(AM79,4,2)</f>
        <v/>
      </c>
      <c r="AP79" s="35" t="str">
        <f>+RIGHT(AM79,2)</f>
        <v/>
      </c>
      <c r="AQ79" s="35" t="str">
        <f>+CONCATENATE(AN79,AO79,AP79)</f>
        <v/>
      </c>
      <c r="AR79" s="41">
        <f>AM79+_xlfn.XLOOKUP(C79,Hoja1!A:A,Hoja1!B:B)</f>
        <v>0</v>
      </c>
      <c r="AS79" s="42">
        <f>+DAY(AR79)</f>
        <v>0</v>
      </c>
      <c r="AT79" s="35">
        <f>+MONTH(AR79)</f>
        <v>1</v>
      </c>
      <c r="AU79" s="35">
        <f>+YEAR(AR79)</f>
        <v>1900</v>
      </c>
      <c r="AV79" s="35" t="str">
        <f>+CONCATENATE(TEXT(AS79,"00"),TEXT(AT79,"00"),RIGHT(AU79,2))</f>
        <v>000100</v>
      </c>
    </row>
    <row r="80" spans="1:48" s="31" customFormat="1" ht="10.15" hidden="1" customHeight="1" x14ac:dyDescent="0.25">
      <c r="A80" s="27"/>
      <c r="B80" s="27"/>
      <c r="C80" s="1"/>
      <c r="D80" s="1"/>
      <c r="E80" s="1"/>
      <c r="F80" s="1"/>
      <c r="G80" s="1"/>
      <c r="H80" s="28"/>
      <c r="I80" s="28"/>
      <c r="J80" s="1"/>
      <c r="K80" s="29"/>
      <c r="L80" s="28"/>
      <c r="M80" s="1"/>
      <c r="N80" s="1"/>
      <c r="O80" s="1"/>
      <c r="P80" s="1"/>
      <c r="Q80" s="1"/>
      <c r="R80" s="1"/>
      <c r="S80" s="28"/>
      <c r="T80" s="1"/>
      <c r="U80" s="1"/>
      <c r="V80" s="1"/>
      <c r="W80" s="28"/>
      <c r="X80" s="28"/>
      <c r="Y80" s="1"/>
      <c r="Z80" s="30"/>
      <c r="AA80" s="6"/>
      <c r="AB80" s="28"/>
      <c r="AC80" s="28"/>
      <c r="AD80" s="28"/>
      <c r="AE80" s="7"/>
      <c r="AF80" s="28"/>
      <c r="AG80" s="28"/>
      <c r="AH80" s="28"/>
      <c r="AI80" s="28"/>
      <c r="AJ80" s="28"/>
      <c r="AK80" s="28"/>
      <c r="AL80" s="28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s="31" customFormat="1" ht="10.15" hidden="1" customHeight="1" x14ac:dyDescent="0.25">
      <c r="A81" s="27"/>
      <c r="B81" s="27"/>
      <c r="C81" s="1"/>
      <c r="D81" s="1"/>
      <c r="E81" s="1"/>
      <c r="F81" s="1"/>
      <c r="G81" s="1"/>
      <c r="H81" s="28"/>
      <c r="I81" s="28"/>
      <c r="J81" s="1"/>
      <c r="K81" s="29"/>
      <c r="L81" s="28"/>
      <c r="M81" s="1"/>
      <c r="N81" s="1"/>
      <c r="O81" s="1"/>
      <c r="P81" s="1"/>
      <c r="Q81" s="1"/>
      <c r="R81" s="1"/>
      <c r="S81" s="28"/>
      <c r="T81" s="1"/>
      <c r="U81" s="1"/>
      <c r="V81" s="1"/>
      <c r="W81" s="28"/>
      <c r="X81" s="28"/>
      <c r="Y81" s="1"/>
      <c r="Z81" s="30"/>
      <c r="AA81" s="6"/>
      <c r="AB81" s="28"/>
      <c r="AC81" s="28"/>
      <c r="AD81" s="28"/>
      <c r="AE81" s="7"/>
      <c r="AF81" s="28"/>
      <c r="AG81" s="28"/>
      <c r="AH81" s="28"/>
      <c r="AI81" s="28"/>
      <c r="AJ81" s="28"/>
      <c r="AK81" s="28"/>
      <c r="AL81" s="28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s="31" customFormat="1" ht="10.15" hidden="1" customHeight="1" x14ac:dyDescent="0.25">
      <c r="A82" s="27"/>
      <c r="B82" s="27"/>
      <c r="C82" s="1"/>
      <c r="D82" s="1"/>
      <c r="E82" s="1"/>
      <c r="F82" s="1"/>
      <c r="G82" s="1"/>
      <c r="H82" s="28"/>
      <c r="I82" s="28"/>
      <c r="J82" s="1"/>
      <c r="K82" s="29"/>
      <c r="L82" s="28"/>
      <c r="M82" s="1"/>
      <c r="N82" s="1"/>
      <c r="O82" s="1"/>
      <c r="P82" s="1"/>
      <c r="Q82" s="1"/>
      <c r="R82" s="1"/>
      <c r="S82" s="28"/>
      <c r="T82" s="1"/>
      <c r="U82" s="1"/>
      <c r="V82" s="1"/>
      <c r="W82" s="28"/>
      <c r="X82" s="28"/>
      <c r="Y82" s="1"/>
      <c r="Z82" s="30"/>
      <c r="AA82" s="6"/>
      <c r="AB82" s="28"/>
      <c r="AC82" s="28"/>
      <c r="AD82" s="28"/>
      <c r="AE82" s="7"/>
      <c r="AF82" s="28"/>
      <c r="AG82" s="28"/>
      <c r="AH82" s="28"/>
      <c r="AI82" s="28"/>
      <c r="AJ82" s="28"/>
      <c r="AK82" s="28"/>
      <c r="AL82" s="28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ht="10.15" customHeight="1" x14ac:dyDescent="0.25">
      <c r="A83" s="44">
        <f>1+A79</f>
        <v>21</v>
      </c>
      <c r="B83" s="50"/>
      <c r="C83" s="57"/>
      <c r="D83" s="57"/>
      <c r="E83" s="34" t="str">
        <f>+AQ83</f>
        <v/>
      </c>
      <c r="F83" s="60"/>
      <c r="G83" s="34" t="str">
        <f>+AV83</f>
        <v>000100</v>
      </c>
      <c r="H83" s="35">
        <f>+AK83</f>
        <v>0</v>
      </c>
      <c r="I83" s="35">
        <f>+ROUND(AD83,2)</f>
        <v>0</v>
      </c>
      <c r="J83" s="57"/>
      <c r="K83" s="36">
        <f>+AE83</f>
        <v>0</v>
      </c>
      <c r="L83" s="35">
        <f>+AJ83</f>
        <v>0</v>
      </c>
      <c r="M83" s="37" t="s">
        <v>37</v>
      </c>
      <c r="N83" s="68"/>
      <c r="O83" s="57"/>
      <c r="P83" s="38" t="e">
        <f>+VLOOKUP(C83,Hoja1!$A$4:$C$57,3,FALSE)</f>
        <v>#N/A</v>
      </c>
      <c r="Q83" s="37" t="s">
        <v>38</v>
      </c>
      <c r="R83" s="68"/>
      <c r="S83" s="35" t="str">
        <f>(RIGHT(O83,7))</f>
        <v/>
      </c>
      <c r="T83" s="68"/>
      <c r="U83" s="37" t="s">
        <v>39</v>
      </c>
      <c r="V83" s="37" t="s">
        <v>40</v>
      </c>
      <c r="W83" s="35">
        <f>+AI83</f>
        <v>0</v>
      </c>
      <c r="X83" s="35">
        <f>+AJ83</f>
        <v>0</v>
      </c>
      <c r="Y83" s="33" t="s">
        <v>41</v>
      </c>
      <c r="Z83" s="39">
        <f>+F83</f>
        <v>0</v>
      </c>
      <c r="AA83" s="40"/>
      <c r="AB83" s="65"/>
      <c r="AC83" s="35">
        <v>0</v>
      </c>
      <c r="AD83" s="35">
        <f t="shared" ref="AD83" si="80">+AB83+AC83</f>
        <v>0</v>
      </c>
      <c r="AE83" s="67"/>
      <c r="AF83" s="35">
        <f>+AB83*AE83</f>
        <v>0</v>
      </c>
      <c r="AG83" s="35">
        <f>+AC83*AE83</f>
        <v>0</v>
      </c>
      <c r="AH83" s="35">
        <f>+AD83*AE83</f>
        <v>0</v>
      </c>
      <c r="AI83" s="35">
        <f t="shared" ref="AI83" si="81">+ROUND(AF83,2)</f>
        <v>0</v>
      </c>
      <c r="AJ83" s="35">
        <f t="shared" ref="AJ83" si="82">+ROUND(AG83,2)</f>
        <v>0</v>
      </c>
      <c r="AK83" s="35">
        <f t="shared" ref="AK83" si="83">+ROUND(AH83,2)</f>
        <v>0</v>
      </c>
      <c r="AL83" s="35">
        <f>+AI83+AJ83-AK83</f>
        <v>0</v>
      </c>
      <c r="AM83" s="63"/>
      <c r="AN83" s="35" t="str">
        <f>+LEFT(AM83,2)</f>
        <v/>
      </c>
      <c r="AO83" s="35" t="str">
        <f>+MID(AM83,4,2)</f>
        <v/>
      </c>
      <c r="AP83" s="35" t="str">
        <f>+RIGHT(AM83,2)</f>
        <v/>
      </c>
      <c r="AQ83" s="35" t="str">
        <f>+CONCATENATE(AN83,AO83,AP83)</f>
        <v/>
      </c>
      <c r="AR83" s="41">
        <f>AM83+_xlfn.XLOOKUP(C83,Hoja1!A:A,Hoja1!B:B)</f>
        <v>0</v>
      </c>
      <c r="AS83" s="42">
        <f>+DAY(AR83)</f>
        <v>0</v>
      </c>
      <c r="AT83" s="35">
        <f>+MONTH(AR83)</f>
        <v>1</v>
      </c>
      <c r="AU83" s="35">
        <f>+YEAR(AR83)</f>
        <v>1900</v>
      </c>
      <c r="AV83" s="35" t="str">
        <f>+CONCATENATE(TEXT(AS83,"00"),TEXT(AT83,"00"),RIGHT(AU83,2))</f>
        <v>000100</v>
      </c>
    </row>
    <row r="84" spans="1:48" s="31" customFormat="1" ht="10.15" hidden="1" customHeight="1" x14ac:dyDescent="0.25">
      <c r="A84" s="27"/>
      <c r="B84" s="27"/>
      <c r="C84" s="1"/>
      <c r="D84" s="1"/>
      <c r="E84" s="1"/>
      <c r="F84" s="1"/>
      <c r="G84" s="1"/>
      <c r="H84" s="28"/>
      <c r="I84" s="28"/>
      <c r="J84" s="1"/>
      <c r="K84" s="29"/>
      <c r="L84" s="28"/>
      <c r="M84" s="1"/>
      <c r="N84" s="1"/>
      <c r="O84" s="1"/>
      <c r="P84" s="1"/>
      <c r="Q84" s="1"/>
      <c r="R84" s="1"/>
      <c r="S84" s="28"/>
      <c r="T84" s="1"/>
      <c r="U84" s="1"/>
      <c r="V84" s="1"/>
      <c r="W84" s="28"/>
      <c r="X84" s="28"/>
      <c r="Y84" s="1"/>
      <c r="Z84" s="30"/>
      <c r="AA84" s="6"/>
      <c r="AB84" s="28"/>
      <c r="AC84" s="28"/>
      <c r="AD84" s="28"/>
      <c r="AE84" s="7"/>
      <c r="AF84" s="28"/>
      <c r="AG84" s="28"/>
      <c r="AH84" s="28"/>
      <c r="AI84" s="28"/>
      <c r="AJ84" s="28"/>
      <c r="AK84" s="28"/>
      <c r="AL84" s="28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s="31" customFormat="1" ht="10.15" hidden="1" customHeight="1" x14ac:dyDescent="0.25">
      <c r="A85" s="27"/>
      <c r="B85" s="27"/>
      <c r="C85" s="1"/>
      <c r="D85" s="1"/>
      <c r="E85" s="1"/>
      <c r="F85" s="1"/>
      <c r="G85" s="1"/>
      <c r="H85" s="28"/>
      <c r="I85" s="28"/>
      <c r="J85" s="1"/>
      <c r="K85" s="29"/>
      <c r="L85" s="28"/>
      <c r="M85" s="1"/>
      <c r="N85" s="1"/>
      <c r="O85" s="1"/>
      <c r="P85" s="1"/>
      <c r="Q85" s="1"/>
      <c r="R85" s="1"/>
      <c r="S85" s="28"/>
      <c r="T85" s="1"/>
      <c r="U85" s="1"/>
      <c r="V85" s="1"/>
      <c r="W85" s="28"/>
      <c r="X85" s="28"/>
      <c r="Y85" s="1"/>
      <c r="Z85" s="30"/>
      <c r="AA85" s="6"/>
      <c r="AB85" s="28"/>
      <c r="AC85" s="28"/>
      <c r="AD85" s="28"/>
      <c r="AE85" s="7"/>
      <c r="AF85" s="28"/>
      <c r="AG85" s="28"/>
      <c r="AH85" s="28"/>
      <c r="AI85" s="28"/>
      <c r="AJ85" s="28"/>
      <c r="AK85" s="28"/>
      <c r="AL85" s="28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s="31" customFormat="1" ht="10.15" hidden="1" customHeight="1" x14ac:dyDescent="0.25">
      <c r="A86" s="27"/>
      <c r="B86" s="27"/>
      <c r="C86" s="1"/>
      <c r="D86" s="1"/>
      <c r="E86" s="1"/>
      <c r="F86" s="1"/>
      <c r="G86" s="1"/>
      <c r="H86" s="28"/>
      <c r="I86" s="28"/>
      <c r="J86" s="1"/>
      <c r="K86" s="29"/>
      <c r="L86" s="28"/>
      <c r="M86" s="1"/>
      <c r="N86" s="1"/>
      <c r="O86" s="1"/>
      <c r="P86" s="1"/>
      <c r="Q86" s="1"/>
      <c r="R86" s="1"/>
      <c r="S86" s="28"/>
      <c r="T86" s="1"/>
      <c r="U86" s="1"/>
      <c r="V86" s="1"/>
      <c r="W86" s="28"/>
      <c r="X86" s="28"/>
      <c r="Y86" s="1"/>
      <c r="Z86" s="30"/>
      <c r="AA86" s="6"/>
      <c r="AB86" s="28"/>
      <c r="AC86" s="28"/>
      <c r="AD86" s="28"/>
      <c r="AE86" s="7"/>
      <c r="AF86" s="28"/>
      <c r="AG86" s="28"/>
      <c r="AH86" s="28"/>
      <c r="AI86" s="28"/>
      <c r="AJ86" s="28"/>
      <c r="AK86" s="28"/>
      <c r="AL86" s="28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0.15" customHeight="1" x14ac:dyDescent="0.25">
      <c r="A87" s="44">
        <f>1+A83</f>
        <v>22</v>
      </c>
      <c r="B87" s="38"/>
      <c r="C87" s="57"/>
      <c r="D87" s="57"/>
      <c r="E87" s="34" t="str">
        <f>+AQ87</f>
        <v/>
      </c>
      <c r="F87" s="60"/>
      <c r="G87" s="34" t="str">
        <f>+AV87</f>
        <v>000100</v>
      </c>
      <c r="H87" s="35">
        <f>+AK87</f>
        <v>0</v>
      </c>
      <c r="I87" s="35">
        <f>+ROUND(AD87,2)</f>
        <v>0</v>
      </c>
      <c r="J87" s="57"/>
      <c r="K87" s="36">
        <f>+AE87</f>
        <v>0</v>
      </c>
      <c r="L87" s="35">
        <f>+AJ87</f>
        <v>0</v>
      </c>
      <c r="M87" s="37" t="s">
        <v>37</v>
      </c>
      <c r="N87" s="68"/>
      <c r="O87" s="57"/>
      <c r="P87" s="38" t="e">
        <f>+VLOOKUP(C87,Hoja1!$A$4:$C$57,3,FALSE)</f>
        <v>#N/A</v>
      </c>
      <c r="Q87" s="37" t="s">
        <v>38</v>
      </c>
      <c r="R87" s="68"/>
      <c r="S87" s="35" t="str">
        <f>(RIGHT(O87,7))</f>
        <v/>
      </c>
      <c r="T87" s="68"/>
      <c r="U87" s="37" t="s">
        <v>39</v>
      </c>
      <c r="V87" s="37" t="s">
        <v>40</v>
      </c>
      <c r="W87" s="35">
        <f>+AI87</f>
        <v>0</v>
      </c>
      <c r="X87" s="35">
        <f>+AJ87</f>
        <v>0</v>
      </c>
      <c r="Y87" s="33" t="s">
        <v>41</v>
      </c>
      <c r="Z87" s="39">
        <f>+F87</f>
        <v>0</v>
      </c>
      <c r="AA87" s="40"/>
      <c r="AB87" s="65"/>
      <c r="AC87" s="35">
        <v>0</v>
      </c>
      <c r="AD87" s="35">
        <f t="shared" ref="AD87" si="84">+AB87+AC87</f>
        <v>0</v>
      </c>
      <c r="AE87" s="67"/>
      <c r="AF87" s="35">
        <f>+AB87*AE87</f>
        <v>0</v>
      </c>
      <c r="AG87" s="35">
        <f>+AC87*AE87</f>
        <v>0</v>
      </c>
      <c r="AH87" s="35">
        <f>+AD87*AE87</f>
        <v>0</v>
      </c>
      <c r="AI87" s="35">
        <f t="shared" ref="AI87" si="85">+ROUND(AF87,2)</f>
        <v>0</v>
      </c>
      <c r="AJ87" s="35">
        <f t="shared" ref="AJ87" si="86">+ROUND(AG87,2)</f>
        <v>0</v>
      </c>
      <c r="AK87" s="35">
        <f t="shared" ref="AK87" si="87">+ROUND(AH87,2)</f>
        <v>0</v>
      </c>
      <c r="AL87" s="35">
        <f>+AI87+AJ87-AK87</f>
        <v>0</v>
      </c>
      <c r="AM87" s="62"/>
      <c r="AN87" s="35" t="str">
        <f>+LEFT(AM87,2)</f>
        <v/>
      </c>
      <c r="AO87" s="35" t="str">
        <f>+MID(AM87,4,2)</f>
        <v/>
      </c>
      <c r="AP87" s="35" t="str">
        <f>+RIGHT(AM87,2)</f>
        <v/>
      </c>
      <c r="AQ87" s="35" t="str">
        <f>+CONCATENATE(AN87,AO87,AP87)</f>
        <v/>
      </c>
      <c r="AR87" s="41">
        <f>AM87+_xlfn.XLOOKUP(C87,Hoja1!A:A,Hoja1!B:B)</f>
        <v>0</v>
      </c>
      <c r="AS87" s="42">
        <f>+DAY(AR87)</f>
        <v>0</v>
      </c>
      <c r="AT87" s="35">
        <f>+MONTH(AR87)</f>
        <v>1</v>
      </c>
      <c r="AU87" s="35">
        <f>+YEAR(AR87)</f>
        <v>1900</v>
      </c>
      <c r="AV87" s="35" t="str">
        <f>+CONCATENATE(TEXT(AS87,"00"),TEXT(AT87,"00"),RIGHT(AU87,2))</f>
        <v>000100</v>
      </c>
    </row>
    <row r="88" spans="1:48" s="31" customFormat="1" ht="10.15" hidden="1" customHeight="1" x14ac:dyDescent="0.25">
      <c r="A88" s="27"/>
      <c r="B88" s="27"/>
      <c r="C88" s="1"/>
      <c r="D88" s="1"/>
      <c r="E88" s="1"/>
      <c r="F88" s="1"/>
      <c r="G88" s="1"/>
      <c r="H88" s="28"/>
      <c r="I88" s="28"/>
      <c r="J88" s="1"/>
      <c r="K88" s="29"/>
      <c r="L88" s="28"/>
      <c r="M88" s="1"/>
      <c r="N88" s="1"/>
      <c r="O88" s="1"/>
      <c r="P88" s="1"/>
      <c r="Q88" s="1"/>
      <c r="R88" s="1"/>
      <c r="S88" s="28"/>
      <c r="T88" s="1"/>
      <c r="U88" s="1"/>
      <c r="V88" s="1"/>
      <c r="W88" s="28"/>
      <c r="X88" s="28"/>
      <c r="Y88" s="1"/>
      <c r="Z88" s="30"/>
      <c r="AA88" s="6"/>
      <c r="AB88" s="28"/>
      <c r="AC88" s="28"/>
      <c r="AD88" s="28"/>
      <c r="AE88" s="7"/>
      <c r="AF88" s="28"/>
      <c r="AG88" s="28"/>
      <c r="AH88" s="28"/>
      <c r="AI88" s="28"/>
      <c r="AJ88" s="28"/>
      <c r="AK88" s="28"/>
      <c r="AL88" s="28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s="31" customFormat="1" ht="10.15" hidden="1" customHeight="1" x14ac:dyDescent="0.25">
      <c r="A89" s="27"/>
      <c r="B89" s="27"/>
      <c r="C89" s="1"/>
      <c r="D89" s="1"/>
      <c r="E89" s="1"/>
      <c r="F89" s="1"/>
      <c r="G89" s="1"/>
      <c r="H89" s="28"/>
      <c r="I89" s="28"/>
      <c r="J89" s="1"/>
      <c r="K89" s="29"/>
      <c r="L89" s="28"/>
      <c r="M89" s="1"/>
      <c r="N89" s="1"/>
      <c r="O89" s="1"/>
      <c r="P89" s="1"/>
      <c r="Q89" s="1"/>
      <c r="R89" s="1"/>
      <c r="S89" s="28"/>
      <c r="T89" s="1"/>
      <c r="U89" s="1"/>
      <c r="V89" s="1"/>
      <c r="W89" s="28"/>
      <c r="X89" s="28"/>
      <c r="Y89" s="1"/>
      <c r="Z89" s="30"/>
      <c r="AA89" s="6"/>
      <c r="AB89" s="28"/>
      <c r="AC89" s="28"/>
      <c r="AD89" s="28"/>
      <c r="AE89" s="7"/>
      <c r="AF89" s="28"/>
      <c r="AG89" s="28"/>
      <c r="AH89" s="28"/>
      <c r="AI89" s="28"/>
      <c r="AJ89" s="28"/>
      <c r="AK89" s="28"/>
      <c r="AL89" s="28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s="31" customFormat="1" ht="10.15" hidden="1" customHeight="1" x14ac:dyDescent="0.25">
      <c r="A90" s="27"/>
      <c r="B90" s="27"/>
      <c r="C90" s="1"/>
      <c r="D90" s="1"/>
      <c r="E90" s="1"/>
      <c r="F90" s="1"/>
      <c r="G90" s="1"/>
      <c r="H90" s="28"/>
      <c r="I90" s="28"/>
      <c r="J90" s="1"/>
      <c r="K90" s="29"/>
      <c r="L90" s="28"/>
      <c r="M90" s="1"/>
      <c r="N90" s="1"/>
      <c r="O90" s="1"/>
      <c r="P90" s="1"/>
      <c r="Q90" s="1"/>
      <c r="R90" s="1"/>
      <c r="S90" s="28"/>
      <c r="T90" s="1"/>
      <c r="U90" s="1"/>
      <c r="V90" s="1"/>
      <c r="W90" s="28"/>
      <c r="X90" s="28"/>
      <c r="Y90" s="1"/>
      <c r="Z90" s="30"/>
      <c r="AA90" s="6"/>
      <c r="AB90" s="28"/>
      <c r="AC90" s="28"/>
      <c r="AD90" s="28"/>
      <c r="AE90" s="7"/>
      <c r="AF90" s="28"/>
      <c r="AG90" s="28"/>
      <c r="AH90" s="28"/>
      <c r="AI90" s="28"/>
      <c r="AJ90" s="28"/>
      <c r="AK90" s="28"/>
      <c r="AL90" s="28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0.15" customHeight="1" x14ac:dyDescent="0.25">
      <c r="A91" s="44">
        <f>1+A87</f>
        <v>23</v>
      </c>
      <c r="B91" s="38"/>
      <c r="C91" s="57"/>
      <c r="D91" s="57"/>
      <c r="E91" s="34" t="str">
        <f>+AQ91</f>
        <v/>
      </c>
      <c r="F91" s="60"/>
      <c r="G91" s="34" t="str">
        <f>+AV91</f>
        <v>000100</v>
      </c>
      <c r="H91" s="35">
        <f>+AK91</f>
        <v>0</v>
      </c>
      <c r="I91" s="35">
        <f>+ROUND(AD91,2)</f>
        <v>0</v>
      </c>
      <c r="J91" s="57"/>
      <c r="K91" s="36">
        <f>+AE91</f>
        <v>0</v>
      </c>
      <c r="L91" s="35">
        <f>+AJ91</f>
        <v>0</v>
      </c>
      <c r="M91" s="37" t="s">
        <v>37</v>
      </c>
      <c r="N91" s="68"/>
      <c r="O91" s="57"/>
      <c r="P91" s="38" t="e">
        <f>+VLOOKUP(C91,Hoja1!$A$4:$C$57,3,FALSE)</f>
        <v>#N/A</v>
      </c>
      <c r="Q91" s="37" t="s">
        <v>38</v>
      </c>
      <c r="R91" s="68"/>
      <c r="S91" s="35" t="str">
        <f>(RIGHT(O91,7))</f>
        <v/>
      </c>
      <c r="T91" s="68"/>
      <c r="U91" s="37" t="s">
        <v>39</v>
      </c>
      <c r="V91" s="37" t="s">
        <v>40</v>
      </c>
      <c r="W91" s="35">
        <f>+AI91</f>
        <v>0</v>
      </c>
      <c r="X91" s="35">
        <f>+AJ91</f>
        <v>0</v>
      </c>
      <c r="Y91" s="33" t="s">
        <v>41</v>
      </c>
      <c r="Z91" s="39">
        <f>+F91</f>
        <v>0</v>
      </c>
      <c r="AA91" s="40"/>
      <c r="AB91" s="65"/>
      <c r="AC91" s="35">
        <v>0</v>
      </c>
      <c r="AD91" s="35">
        <f t="shared" ref="AD91" si="88">+AB91+AC91</f>
        <v>0</v>
      </c>
      <c r="AE91" s="67"/>
      <c r="AF91" s="35">
        <f>+AB91*AE91</f>
        <v>0</v>
      </c>
      <c r="AG91" s="35">
        <f>+AC91*AE91</f>
        <v>0</v>
      </c>
      <c r="AH91" s="35">
        <f>+AD91*AE91</f>
        <v>0</v>
      </c>
      <c r="AI91" s="35">
        <f t="shared" ref="AI91" si="89">+ROUND(AF91,2)</f>
        <v>0</v>
      </c>
      <c r="AJ91" s="35">
        <f t="shared" ref="AJ91" si="90">+ROUND(AG91,2)</f>
        <v>0</v>
      </c>
      <c r="AK91" s="35">
        <f t="shared" ref="AK91" si="91">+ROUND(AH91,2)</f>
        <v>0</v>
      </c>
      <c r="AL91" s="35">
        <f>+AI91+AJ91-AK91</f>
        <v>0</v>
      </c>
      <c r="AM91" s="63"/>
      <c r="AN91" s="35" t="str">
        <f>+LEFT(AM91,2)</f>
        <v/>
      </c>
      <c r="AO91" s="35" t="str">
        <f>+MID(AM91,4,2)</f>
        <v/>
      </c>
      <c r="AP91" s="35" t="str">
        <f>+RIGHT(AM91,2)</f>
        <v/>
      </c>
      <c r="AQ91" s="35" t="str">
        <f>+CONCATENATE(AN91,AO91,AP91)</f>
        <v/>
      </c>
      <c r="AR91" s="41">
        <f>AM91+_xlfn.XLOOKUP(C91,Hoja1!A:A,Hoja1!B:B)</f>
        <v>0</v>
      </c>
      <c r="AS91" s="42">
        <f>+DAY(AR91)</f>
        <v>0</v>
      </c>
      <c r="AT91" s="35">
        <f>+MONTH(AR91)</f>
        <v>1</v>
      </c>
      <c r="AU91" s="35">
        <f>+YEAR(AR91)</f>
        <v>1900</v>
      </c>
      <c r="AV91" s="35" t="str">
        <f>+CONCATENATE(TEXT(AS91,"00"),TEXT(AT91,"00"),RIGHT(AU91,2))</f>
        <v>000100</v>
      </c>
    </row>
    <row r="92" spans="1:48" s="31" customFormat="1" ht="10.15" hidden="1" customHeight="1" x14ac:dyDescent="0.25">
      <c r="A92" s="27"/>
      <c r="B92" s="27"/>
      <c r="C92" s="1"/>
      <c r="D92" s="1"/>
      <c r="E92" s="1"/>
      <c r="F92" s="1"/>
      <c r="G92" s="1"/>
      <c r="H92" s="28"/>
      <c r="I92" s="28"/>
      <c r="J92" s="1"/>
      <c r="K92" s="29"/>
      <c r="L92" s="28"/>
      <c r="M92" s="1"/>
      <c r="N92" s="1"/>
      <c r="O92" s="1"/>
      <c r="P92" s="1"/>
      <c r="Q92" s="1"/>
      <c r="R92" s="1"/>
      <c r="S92" s="28"/>
      <c r="T92" s="1"/>
      <c r="U92" s="1"/>
      <c r="V92" s="1"/>
      <c r="W92" s="28"/>
      <c r="X92" s="28"/>
      <c r="Y92" s="1"/>
      <c r="Z92" s="30"/>
      <c r="AA92" s="6"/>
      <c r="AB92" s="28"/>
      <c r="AC92" s="28"/>
      <c r="AD92" s="28"/>
      <c r="AE92" s="7"/>
      <c r="AF92" s="28"/>
      <c r="AG92" s="28"/>
      <c r="AH92" s="28"/>
      <c r="AI92" s="28"/>
      <c r="AJ92" s="28"/>
      <c r="AK92" s="28"/>
      <c r="AL92" s="28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s="31" customFormat="1" ht="10.15" hidden="1" customHeight="1" x14ac:dyDescent="0.25">
      <c r="A93" s="27"/>
      <c r="B93" s="27"/>
      <c r="C93" s="1"/>
      <c r="D93" s="1"/>
      <c r="E93" s="1"/>
      <c r="F93" s="1"/>
      <c r="G93" s="1"/>
      <c r="H93" s="28"/>
      <c r="I93" s="28"/>
      <c r="J93" s="1"/>
      <c r="K93" s="29"/>
      <c r="L93" s="28"/>
      <c r="M93" s="1"/>
      <c r="N93" s="1"/>
      <c r="O93" s="1"/>
      <c r="P93" s="1"/>
      <c r="Q93" s="1"/>
      <c r="R93" s="1"/>
      <c r="S93" s="28"/>
      <c r="T93" s="1"/>
      <c r="U93" s="1"/>
      <c r="V93" s="1"/>
      <c r="W93" s="28"/>
      <c r="X93" s="28"/>
      <c r="Y93" s="1"/>
      <c r="Z93" s="30"/>
      <c r="AA93" s="6"/>
      <c r="AB93" s="28"/>
      <c r="AC93" s="28"/>
      <c r="AD93" s="28"/>
      <c r="AE93" s="7"/>
      <c r="AF93" s="28"/>
      <c r="AG93" s="28"/>
      <c r="AH93" s="28"/>
      <c r="AI93" s="28"/>
      <c r="AJ93" s="28"/>
      <c r="AK93" s="28"/>
      <c r="AL93" s="28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s="31" customFormat="1" ht="10.15" hidden="1" customHeight="1" x14ac:dyDescent="0.25">
      <c r="A94" s="27"/>
      <c r="B94" s="27"/>
      <c r="C94" s="1"/>
      <c r="D94" s="1"/>
      <c r="E94" s="1"/>
      <c r="F94" s="1"/>
      <c r="G94" s="1"/>
      <c r="H94" s="28"/>
      <c r="I94" s="28"/>
      <c r="J94" s="1"/>
      <c r="K94" s="29"/>
      <c r="L94" s="28"/>
      <c r="M94" s="1"/>
      <c r="N94" s="1"/>
      <c r="O94" s="1"/>
      <c r="P94" s="1"/>
      <c r="Q94" s="1"/>
      <c r="R94" s="1"/>
      <c r="S94" s="28"/>
      <c r="T94" s="1"/>
      <c r="U94" s="1"/>
      <c r="V94" s="1"/>
      <c r="W94" s="28"/>
      <c r="X94" s="28"/>
      <c r="Y94" s="1"/>
      <c r="Z94" s="30"/>
      <c r="AA94" s="6"/>
      <c r="AB94" s="28"/>
      <c r="AC94" s="28"/>
      <c r="AD94" s="28"/>
      <c r="AE94" s="7"/>
      <c r="AF94" s="28"/>
      <c r="AG94" s="28"/>
      <c r="AH94" s="28"/>
      <c r="AI94" s="28"/>
      <c r="AJ94" s="28"/>
      <c r="AK94" s="28"/>
      <c r="AL94" s="28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0.15" customHeight="1" x14ac:dyDescent="0.25">
      <c r="A95" s="44">
        <f>1+A91</f>
        <v>24</v>
      </c>
      <c r="B95" s="50"/>
      <c r="C95" s="57"/>
      <c r="D95" s="57"/>
      <c r="E95" s="34" t="str">
        <f>+AQ95</f>
        <v/>
      </c>
      <c r="F95" s="60"/>
      <c r="G95" s="34" t="str">
        <f>+AV95</f>
        <v>000100</v>
      </c>
      <c r="H95" s="35">
        <f>+AK95</f>
        <v>0</v>
      </c>
      <c r="I95" s="35">
        <f>+ROUND(AD95,2)</f>
        <v>0</v>
      </c>
      <c r="J95" s="57"/>
      <c r="K95" s="36">
        <f>+AE95</f>
        <v>0</v>
      </c>
      <c r="L95" s="35">
        <f>+AJ95</f>
        <v>0</v>
      </c>
      <c r="M95" s="37" t="s">
        <v>37</v>
      </c>
      <c r="N95" s="68"/>
      <c r="O95" s="57"/>
      <c r="P95" s="38" t="e">
        <f>+VLOOKUP(C95,Hoja1!$A$4:$C$57,3,FALSE)</f>
        <v>#N/A</v>
      </c>
      <c r="Q95" s="37" t="s">
        <v>38</v>
      </c>
      <c r="R95" s="68"/>
      <c r="S95" s="35" t="str">
        <f>(RIGHT(O95,7))</f>
        <v/>
      </c>
      <c r="T95" s="68"/>
      <c r="U95" s="37" t="s">
        <v>39</v>
      </c>
      <c r="V95" s="37" t="s">
        <v>40</v>
      </c>
      <c r="W95" s="35">
        <f>+AI95</f>
        <v>0</v>
      </c>
      <c r="X95" s="35">
        <f>+AJ95</f>
        <v>0</v>
      </c>
      <c r="Y95" s="33" t="s">
        <v>41</v>
      </c>
      <c r="Z95" s="39">
        <f>+F95</f>
        <v>0</v>
      </c>
      <c r="AA95" s="40"/>
      <c r="AB95" s="65"/>
      <c r="AC95" s="35">
        <v>0</v>
      </c>
      <c r="AD95" s="35">
        <f t="shared" ref="AD95" si="92">+AB95+AC95</f>
        <v>0</v>
      </c>
      <c r="AE95" s="67"/>
      <c r="AF95" s="35">
        <f>+AB95*AE95</f>
        <v>0</v>
      </c>
      <c r="AG95" s="35">
        <f>+AC95*AE95</f>
        <v>0</v>
      </c>
      <c r="AH95" s="35">
        <f>+AD95*AE95</f>
        <v>0</v>
      </c>
      <c r="AI95" s="35">
        <f t="shared" ref="AI95" si="93">+ROUND(AF95,2)</f>
        <v>0</v>
      </c>
      <c r="AJ95" s="35">
        <f t="shared" ref="AJ95" si="94">+ROUND(AG95,2)</f>
        <v>0</v>
      </c>
      <c r="AK95" s="35">
        <f t="shared" ref="AK95" si="95">+ROUND(AH95,2)</f>
        <v>0</v>
      </c>
      <c r="AL95" s="35">
        <f>+AI95+AJ95-AK95</f>
        <v>0</v>
      </c>
      <c r="AM95" s="63"/>
      <c r="AN95" s="35" t="str">
        <f>+LEFT(AM95,2)</f>
        <v/>
      </c>
      <c r="AO95" s="35" t="str">
        <f>+MID(AM95,4,2)</f>
        <v/>
      </c>
      <c r="AP95" s="35" t="str">
        <f>+RIGHT(AM95,2)</f>
        <v/>
      </c>
      <c r="AQ95" s="35" t="str">
        <f>+CONCATENATE(AN95,AO95,AP95)</f>
        <v/>
      </c>
      <c r="AR95" s="41">
        <f>AM95+_xlfn.XLOOKUP(C95,Hoja1!A:A,Hoja1!B:B)</f>
        <v>0</v>
      </c>
      <c r="AS95" s="42">
        <f>+DAY(AR95)</f>
        <v>0</v>
      </c>
      <c r="AT95" s="35">
        <f>+MONTH(AR95)</f>
        <v>1</v>
      </c>
      <c r="AU95" s="35">
        <f>+YEAR(AR95)</f>
        <v>1900</v>
      </c>
      <c r="AV95" s="35" t="str">
        <f>+CONCATENATE(TEXT(AS95,"00"),TEXT(AT95,"00"),RIGHT(AU95,2))</f>
        <v>000100</v>
      </c>
    </row>
    <row r="96" spans="1:48" s="31" customFormat="1" ht="10.15" hidden="1" customHeight="1" x14ac:dyDescent="0.25">
      <c r="A96" s="27"/>
      <c r="B96" s="27"/>
      <c r="C96" s="1"/>
      <c r="D96" s="1"/>
      <c r="E96" s="1"/>
      <c r="F96" s="1"/>
      <c r="G96" s="1"/>
      <c r="H96" s="28"/>
      <c r="I96" s="28"/>
      <c r="J96" s="1"/>
      <c r="K96" s="29"/>
      <c r="L96" s="28"/>
      <c r="M96" s="1"/>
      <c r="N96" s="1"/>
      <c r="O96" s="1"/>
      <c r="P96" s="1"/>
      <c r="Q96" s="1"/>
      <c r="R96" s="1"/>
      <c r="S96" s="28"/>
      <c r="T96" s="1"/>
      <c r="U96" s="1"/>
      <c r="V96" s="1"/>
      <c r="W96" s="28"/>
      <c r="X96" s="28"/>
      <c r="Y96" s="1"/>
      <c r="Z96" s="30"/>
      <c r="AA96" s="6"/>
      <c r="AB96" s="28"/>
      <c r="AC96" s="28"/>
      <c r="AD96" s="28"/>
      <c r="AE96" s="7"/>
      <c r="AF96" s="28"/>
      <c r="AG96" s="28"/>
      <c r="AH96" s="28"/>
      <c r="AI96" s="28"/>
      <c r="AJ96" s="28"/>
      <c r="AK96" s="28"/>
      <c r="AL96" s="28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s="31" customFormat="1" ht="10.15" hidden="1" customHeight="1" x14ac:dyDescent="0.25">
      <c r="A97" s="27"/>
      <c r="B97" s="27"/>
      <c r="C97" s="1"/>
      <c r="D97" s="1"/>
      <c r="E97" s="1"/>
      <c r="F97" s="1"/>
      <c r="G97" s="1"/>
      <c r="H97" s="28"/>
      <c r="I97" s="28"/>
      <c r="J97" s="1"/>
      <c r="K97" s="29"/>
      <c r="L97" s="28"/>
      <c r="M97" s="1"/>
      <c r="N97" s="1"/>
      <c r="O97" s="1"/>
      <c r="P97" s="1"/>
      <c r="Q97" s="1"/>
      <c r="R97" s="1"/>
      <c r="S97" s="28"/>
      <c r="T97" s="1"/>
      <c r="U97" s="1"/>
      <c r="V97" s="1"/>
      <c r="W97" s="28"/>
      <c r="X97" s="28"/>
      <c r="Y97" s="1"/>
      <c r="Z97" s="30"/>
      <c r="AA97" s="6"/>
      <c r="AB97" s="28"/>
      <c r="AC97" s="28"/>
      <c r="AD97" s="28"/>
      <c r="AE97" s="7"/>
      <c r="AF97" s="28"/>
      <c r="AG97" s="28"/>
      <c r="AH97" s="28"/>
      <c r="AI97" s="28"/>
      <c r="AJ97" s="28"/>
      <c r="AK97" s="28"/>
      <c r="AL97" s="28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s="31" customFormat="1" ht="10.15" hidden="1" customHeight="1" x14ac:dyDescent="0.25">
      <c r="A98" s="27"/>
      <c r="B98" s="27"/>
      <c r="C98" s="1"/>
      <c r="D98" s="1"/>
      <c r="E98" s="1"/>
      <c r="F98" s="1"/>
      <c r="G98" s="1"/>
      <c r="H98" s="28"/>
      <c r="I98" s="28"/>
      <c r="J98" s="1"/>
      <c r="K98" s="29"/>
      <c r="L98" s="28"/>
      <c r="M98" s="1"/>
      <c r="N98" s="1"/>
      <c r="O98" s="1"/>
      <c r="P98" s="1"/>
      <c r="Q98" s="1"/>
      <c r="R98" s="1"/>
      <c r="S98" s="28"/>
      <c r="T98" s="1"/>
      <c r="U98" s="1"/>
      <c r="V98" s="1"/>
      <c r="W98" s="28"/>
      <c r="X98" s="28"/>
      <c r="Y98" s="1"/>
      <c r="Z98" s="30"/>
      <c r="AA98" s="6"/>
      <c r="AB98" s="28"/>
      <c r="AC98" s="28"/>
      <c r="AD98" s="28"/>
      <c r="AE98" s="7"/>
      <c r="AF98" s="28"/>
      <c r="AG98" s="28"/>
      <c r="AH98" s="28"/>
      <c r="AI98" s="28"/>
      <c r="AJ98" s="28"/>
      <c r="AK98" s="28"/>
      <c r="AL98" s="28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0.15" customHeight="1" x14ac:dyDescent="0.25">
      <c r="A99" s="44">
        <f>1+A95</f>
        <v>25</v>
      </c>
      <c r="B99" s="50"/>
      <c r="C99" s="57"/>
      <c r="D99" s="57"/>
      <c r="E99" s="34" t="str">
        <f>+AQ99</f>
        <v/>
      </c>
      <c r="F99" s="60"/>
      <c r="G99" s="34" t="str">
        <f>+AV99</f>
        <v>000100</v>
      </c>
      <c r="H99" s="35">
        <f>+AK99</f>
        <v>0</v>
      </c>
      <c r="I99" s="35">
        <f>+ROUND(AD99,2)</f>
        <v>0</v>
      </c>
      <c r="J99" s="57"/>
      <c r="K99" s="36">
        <f>+AE99</f>
        <v>0</v>
      </c>
      <c r="L99" s="35">
        <f>+AJ99</f>
        <v>0</v>
      </c>
      <c r="M99" s="37" t="s">
        <v>37</v>
      </c>
      <c r="N99" s="68"/>
      <c r="O99" s="57"/>
      <c r="P99" s="38" t="e">
        <f>+VLOOKUP(C99,Hoja1!$A$4:$C$57,3,FALSE)</f>
        <v>#N/A</v>
      </c>
      <c r="Q99" s="37" t="s">
        <v>38</v>
      </c>
      <c r="R99" s="68"/>
      <c r="S99" s="35" t="str">
        <f>(RIGHT(O99,7))</f>
        <v/>
      </c>
      <c r="T99" s="68"/>
      <c r="U99" s="37" t="s">
        <v>39</v>
      </c>
      <c r="V99" s="37" t="s">
        <v>40</v>
      </c>
      <c r="W99" s="35">
        <f>+AI99</f>
        <v>0</v>
      </c>
      <c r="X99" s="35">
        <f>+AJ99</f>
        <v>0</v>
      </c>
      <c r="Y99" s="33" t="s">
        <v>41</v>
      </c>
      <c r="Z99" s="39">
        <f>+F99</f>
        <v>0</v>
      </c>
      <c r="AA99" s="40"/>
      <c r="AB99" s="65"/>
      <c r="AC99" s="35">
        <v>0</v>
      </c>
      <c r="AD99" s="35">
        <f t="shared" ref="AD99" si="96">+AB99+AC99</f>
        <v>0</v>
      </c>
      <c r="AE99" s="67"/>
      <c r="AF99" s="35">
        <f>+AB99*AE99</f>
        <v>0</v>
      </c>
      <c r="AG99" s="35">
        <f>+AC99*AE99</f>
        <v>0</v>
      </c>
      <c r="AH99" s="35">
        <f>+AD99*AE99</f>
        <v>0</v>
      </c>
      <c r="AI99" s="35">
        <f t="shared" ref="AI99" si="97">+ROUND(AF99,2)</f>
        <v>0</v>
      </c>
      <c r="AJ99" s="35">
        <f t="shared" ref="AJ99" si="98">+ROUND(AG99,2)</f>
        <v>0</v>
      </c>
      <c r="AK99" s="35">
        <f t="shared" ref="AK99" si="99">+ROUND(AH99,2)</f>
        <v>0</v>
      </c>
      <c r="AL99" s="35">
        <f>+AI99+AJ99-AK99</f>
        <v>0</v>
      </c>
      <c r="AM99" s="63"/>
      <c r="AN99" s="35" t="str">
        <f>+LEFT(AM99,2)</f>
        <v/>
      </c>
      <c r="AO99" s="35" t="str">
        <f>+MID(AM99,4,2)</f>
        <v/>
      </c>
      <c r="AP99" s="35" t="str">
        <f>+RIGHT(AM99,2)</f>
        <v/>
      </c>
      <c r="AQ99" s="35" t="str">
        <f>+CONCATENATE(AN99,AO99,AP99)</f>
        <v/>
      </c>
      <c r="AR99" s="41">
        <f>AM99+_xlfn.XLOOKUP(C99,Hoja1!A:A,Hoja1!B:B)</f>
        <v>0</v>
      </c>
      <c r="AS99" s="42">
        <f>+DAY(AR99)</f>
        <v>0</v>
      </c>
      <c r="AT99" s="35">
        <f>+MONTH(AR99)</f>
        <v>1</v>
      </c>
      <c r="AU99" s="35">
        <f>+YEAR(AR99)</f>
        <v>1900</v>
      </c>
      <c r="AV99" s="35" t="str">
        <f>+CONCATENATE(TEXT(AS99,"00"),TEXT(AT99,"00"),RIGHT(AU99,2))</f>
        <v>000100</v>
      </c>
    </row>
    <row r="100" spans="1:48" s="31" customFormat="1" ht="10.15" hidden="1" customHeight="1" x14ac:dyDescent="0.25">
      <c r="A100" s="27"/>
      <c r="B100" s="27"/>
      <c r="C100" s="1"/>
      <c r="D100" s="1"/>
      <c r="E100" s="1"/>
      <c r="F100" s="1"/>
      <c r="G100" s="1"/>
      <c r="H100" s="28"/>
      <c r="I100" s="28"/>
      <c r="J100" s="1"/>
      <c r="K100" s="29"/>
      <c r="L100" s="28"/>
      <c r="M100" s="1"/>
      <c r="N100" s="1"/>
      <c r="O100" s="1"/>
      <c r="P100" s="1"/>
      <c r="Q100" s="1"/>
      <c r="R100" s="1"/>
      <c r="S100" s="28"/>
      <c r="T100" s="1"/>
      <c r="U100" s="1"/>
      <c r="V100" s="1"/>
      <c r="W100" s="28"/>
      <c r="X100" s="28"/>
      <c r="Y100" s="1"/>
      <c r="Z100" s="30"/>
      <c r="AA100" s="6"/>
      <c r="AB100" s="28"/>
      <c r="AC100" s="28"/>
      <c r="AD100" s="28"/>
      <c r="AE100" s="7"/>
      <c r="AF100" s="28"/>
      <c r="AG100" s="28"/>
      <c r="AH100" s="28"/>
      <c r="AI100" s="28"/>
      <c r="AJ100" s="28"/>
      <c r="AK100" s="28"/>
      <c r="AL100" s="28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s="31" customFormat="1" ht="10.15" hidden="1" customHeight="1" x14ac:dyDescent="0.25">
      <c r="A101" s="27"/>
      <c r="B101" s="27"/>
      <c r="C101" s="1"/>
      <c r="D101" s="1"/>
      <c r="E101" s="1"/>
      <c r="F101" s="1"/>
      <c r="G101" s="1"/>
      <c r="H101" s="28"/>
      <c r="I101" s="28"/>
      <c r="J101" s="1"/>
      <c r="K101" s="29"/>
      <c r="L101" s="28"/>
      <c r="M101" s="1"/>
      <c r="N101" s="1"/>
      <c r="O101" s="1"/>
      <c r="P101" s="1"/>
      <c r="Q101" s="1"/>
      <c r="R101" s="1"/>
      <c r="S101" s="28"/>
      <c r="T101" s="1"/>
      <c r="U101" s="1"/>
      <c r="V101" s="1"/>
      <c r="W101" s="28"/>
      <c r="X101" s="28"/>
      <c r="Y101" s="1"/>
      <c r="Z101" s="30"/>
      <c r="AA101" s="6"/>
      <c r="AB101" s="28"/>
      <c r="AC101" s="28"/>
      <c r="AD101" s="28"/>
      <c r="AE101" s="7"/>
      <c r="AF101" s="28"/>
      <c r="AG101" s="28"/>
      <c r="AH101" s="28"/>
      <c r="AI101" s="28"/>
      <c r="AJ101" s="28"/>
      <c r="AK101" s="28"/>
      <c r="AL101" s="28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s="31" customFormat="1" ht="10.15" hidden="1" customHeight="1" x14ac:dyDescent="0.25">
      <c r="A102" s="27"/>
      <c r="B102" s="27"/>
      <c r="C102" s="1"/>
      <c r="D102" s="1"/>
      <c r="E102" s="1"/>
      <c r="F102" s="1"/>
      <c r="G102" s="1"/>
      <c r="H102" s="28"/>
      <c r="I102" s="28"/>
      <c r="J102" s="1"/>
      <c r="K102" s="29"/>
      <c r="L102" s="28"/>
      <c r="M102" s="1"/>
      <c r="N102" s="1"/>
      <c r="O102" s="1"/>
      <c r="P102" s="1"/>
      <c r="Q102" s="1"/>
      <c r="R102" s="1"/>
      <c r="S102" s="28"/>
      <c r="T102" s="1"/>
      <c r="U102" s="1"/>
      <c r="V102" s="1"/>
      <c r="W102" s="28"/>
      <c r="X102" s="28"/>
      <c r="Y102" s="1"/>
      <c r="Z102" s="30"/>
      <c r="AA102" s="6"/>
      <c r="AB102" s="28"/>
      <c r="AC102" s="28"/>
      <c r="AD102" s="28"/>
      <c r="AE102" s="7"/>
      <c r="AF102" s="28"/>
      <c r="AG102" s="28"/>
      <c r="AH102" s="28"/>
      <c r="AI102" s="28"/>
      <c r="AJ102" s="28"/>
      <c r="AK102" s="28"/>
      <c r="AL102" s="28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10.15" customHeight="1" x14ac:dyDescent="0.25">
      <c r="A103" s="44">
        <f>1+A99</f>
        <v>26</v>
      </c>
      <c r="B103" s="38"/>
      <c r="C103" s="57"/>
      <c r="D103" s="57"/>
      <c r="E103" s="34" t="str">
        <f>+AQ103</f>
        <v/>
      </c>
      <c r="F103" s="60"/>
      <c r="G103" s="34" t="str">
        <f>+AV103</f>
        <v>000100</v>
      </c>
      <c r="H103" s="35">
        <f>+AK103</f>
        <v>0</v>
      </c>
      <c r="I103" s="35">
        <f>+ROUND(AD103,2)</f>
        <v>0</v>
      </c>
      <c r="J103" s="57"/>
      <c r="K103" s="36">
        <f>+AE103</f>
        <v>0</v>
      </c>
      <c r="L103" s="35">
        <f>+AJ103</f>
        <v>0</v>
      </c>
      <c r="M103" s="37" t="s">
        <v>37</v>
      </c>
      <c r="N103" s="68"/>
      <c r="O103" s="57"/>
      <c r="P103" s="38" t="e">
        <f>+VLOOKUP(C103,Hoja1!$A$4:$C$57,3,FALSE)</f>
        <v>#N/A</v>
      </c>
      <c r="Q103" s="37" t="s">
        <v>38</v>
      </c>
      <c r="R103" s="68"/>
      <c r="S103" s="35" t="str">
        <f>(RIGHT(O103,7))</f>
        <v/>
      </c>
      <c r="T103" s="68"/>
      <c r="U103" s="37" t="s">
        <v>39</v>
      </c>
      <c r="V103" s="37" t="s">
        <v>40</v>
      </c>
      <c r="W103" s="35">
        <f>+AI103</f>
        <v>0</v>
      </c>
      <c r="X103" s="35">
        <f>+AJ103</f>
        <v>0</v>
      </c>
      <c r="Y103" s="33" t="s">
        <v>41</v>
      </c>
      <c r="Z103" s="39">
        <f>+F103</f>
        <v>0</v>
      </c>
      <c r="AA103" s="40"/>
      <c r="AB103" s="65"/>
      <c r="AC103" s="35">
        <v>0</v>
      </c>
      <c r="AD103" s="35">
        <f t="shared" ref="AD103" si="100">+AB103+AC103</f>
        <v>0</v>
      </c>
      <c r="AE103" s="67"/>
      <c r="AF103" s="35">
        <f>+AB103*AE103</f>
        <v>0</v>
      </c>
      <c r="AG103" s="35">
        <f>+AC103*AE103</f>
        <v>0</v>
      </c>
      <c r="AH103" s="35">
        <f>+AD103*AE103</f>
        <v>0</v>
      </c>
      <c r="AI103" s="35">
        <f t="shared" ref="AI103" si="101">+ROUND(AF103,2)</f>
        <v>0</v>
      </c>
      <c r="AJ103" s="35">
        <f t="shared" ref="AJ103" si="102">+ROUND(AG103,2)</f>
        <v>0</v>
      </c>
      <c r="AK103" s="35">
        <f t="shared" ref="AK103" si="103">+ROUND(AH103,2)</f>
        <v>0</v>
      </c>
      <c r="AL103" s="35">
        <f>+AI103+AJ103-AK103</f>
        <v>0</v>
      </c>
      <c r="AM103" s="62"/>
      <c r="AN103" s="35" t="str">
        <f>+LEFT(AM103,2)</f>
        <v/>
      </c>
      <c r="AO103" s="35" t="str">
        <f>+MID(AM103,4,2)</f>
        <v/>
      </c>
      <c r="AP103" s="35" t="str">
        <f>+RIGHT(AM103,2)</f>
        <v/>
      </c>
      <c r="AQ103" s="35" t="str">
        <f>+CONCATENATE(AN103,AO103,AP103)</f>
        <v/>
      </c>
      <c r="AR103" s="41">
        <f>AM103+_xlfn.XLOOKUP(C103,Hoja1!A:A,Hoja1!B:B)</f>
        <v>0</v>
      </c>
      <c r="AS103" s="42">
        <f>+DAY(AR103)</f>
        <v>0</v>
      </c>
      <c r="AT103" s="35">
        <f>+MONTH(AR103)</f>
        <v>1</v>
      </c>
      <c r="AU103" s="35">
        <f>+YEAR(AR103)</f>
        <v>1900</v>
      </c>
      <c r="AV103" s="35" t="str">
        <f>+CONCATENATE(TEXT(AS103,"00"),TEXT(AT103,"00"),RIGHT(AU103,2))</f>
        <v>000100</v>
      </c>
    </row>
    <row r="104" spans="1:48" s="31" customFormat="1" ht="10.15" hidden="1" customHeight="1" x14ac:dyDescent="0.25">
      <c r="A104" s="27"/>
      <c r="B104" s="27"/>
      <c r="C104" s="1"/>
      <c r="D104" s="1"/>
      <c r="E104" s="1"/>
      <c r="F104" s="1"/>
      <c r="G104" s="1"/>
      <c r="H104" s="28"/>
      <c r="I104" s="28"/>
      <c r="J104" s="1"/>
      <c r="K104" s="29"/>
      <c r="L104" s="28"/>
      <c r="M104" s="1"/>
      <c r="N104" s="1"/>
      <c r="O104" s="1"/>
      <c r="P104" s="1"/>
      <c r="Q104" s="1"/>
      <c r="R104" s="1"/>
      <c r="S104" s="28"/>
      <c r="T104" s="1"/>
      <c r="U104" s="1"/>
      <c r="V104" s="1"/>
      <c r="W104" s="28"/>
      <c r="X104" s="28"/>
      <c r="Y104" s="1"/>
      <c r="Z104" s="30"/>
      <c r="AA104" s="6"/>
      <c r="AB104" s="28"/>
      <c r="AC104" s="28"/>
      <c r="AD104" s="28"/>
      <c r="AE104" s="7"/>
      <c r="AF104" s="28"/>
      <c r="AG104" s="28"/>
      <c r="AH104" s="28"/>
      <c r="AI104" s="28"/>
      <c r="AJ104" s="28"/>
      <c r="AK104" s="28"/>
      <c r="AL104" s="28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s="31" customFormat="1" ht="10.15" hidden="1" customHeight="1" x14ac:dyDescent="0.25">
      <c r="A105" s="27"/>
      <c r="B105" s="27"/>
      <c r="C105" s="1"/>
      <c r="D105" s="1"/>
      <c r="E105" s="1"/>
      <c r="F105" s="1"/>
      <c r="G105" s="1"/>
      <c r="H105" s="28"/>
      <c r="I105" s="28"/>
      <c r="J105" s="1"/>
      <c r="K105" s="29"/>
      <c r="L105" s="28"/>
      <c r="M105" s="1"/>
      <c r="N105" s="1"/>
      <c r="O105" s="1"/>
      <c r="P105" s="1"/>
      <c r="Q105" s="1"/>
      <c r="R105" s="1"/>
      <c r="S105" s="28"/>
      <c r="T105" s="1"/>
      <c r="U105" s="1"/>
      <c r="V105" s="1"/>
      <c r="W105" s="28"/>
      <c r="X105" s="28"/>
      <c r="Y105" s="1"/>
      <c r="Z105" s="30"/>
      <c r="AA105" s="6"/>
      <c r="AB105" s="28"/>
      <c r="AC105" s="28"/>
      <c r="AD105" s="28"/>
      <c r="AE105" s="7"/>
      <c r="AF105" s="28"/>
      <c r="AG105" s="28"/>
      <c r="AH105" s="28"/>
      <c r="AI105" s="28"/>
      <c r="AJ105" s="28"/>
      <c r="AK105" s="28"/>
      <c r="AL105" s="28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s="31" customFormat="1" ht="10.15" hidden="1" customHeight="1" x14ac:dyDescent="0.25">
      <c r="A106" s="27"/>
      <c r="B106" s="27"/>
      <c r="C106" s="1"/>
      <c r="D106" s="1"/>
      <c r="E106" s="1"/>
      <c r="F106" s="1"/>
      <c r="G106" s="1"/>
      <c r="H106" s="28"/>
      <c r="I106" s="28"/>
      <c r="J106" s="1"/>
      <c r="K106" s="29"/>
      <c r="L106" s="28"/>
      <c r="M106" s="1"/>
      <c r="N106" s="1"/>
      <c r="O106" s="1"/>
      <c r="P106" s="1"/>
      <c r="Q106" s="1"/>
      <c r="R106" s="1"/>
      <c r="S106" s="28"/>
      <c r="T106" s="1"/>
      <c r="U106" s="1"/>
      <c r="V106" s="1"/>
      <c r="W106" s="28"/>
      <c r="X106" s="28"/>
      <c r="Y106" s="1"/>
      <c r="Z106" s="30"/>
      <c r="AA106" s="6"/>
      <c r="AB106" s="28"/>
      <c r="AC106" s="28"/>
      <c r="AD106" s="28"/>
      <c r="AE106" s="7"/>
      <c r="AF106" s="28"/>
      <c r="AG106" s="28"/>
      <c r="AH106" s="28"/>
      <c r="AI106" s="28"/>
      <c r="AJ106" s="28"/>
      <c r="AK106" s="28"/>
      <c r="AL106" s="28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ht="10.15" customHeight="1" x14ac:dyDescent="0.25">
      <c r="A107" s="44">
        <f>1+A103</f>
        <v>27</v>
      </c>
      <c r="B107" s="38"/>
      <c r="C107" s="57"/>
      <c r="D107" s="57"/>
      <c r="E107" s="34" t="str">
        <f>+AQ107</f>
        <v/>
      </c>
      <c r="F107" s="60"/>
      <c r="G107" s="34" t="str">
        <f>+AV107</f>
        <v>000100</v>
      </c>
      <c r="H107" s="35">
        <f>+AK107</f>
        <v>0</v>
      </c>
      <c r="I107" s="35">
        <f>+ROUND(AD107,2)</f>
        <v>0</v>
      </c>
      <c r="J107" s="57"/>
      <c r="K107" s="36">
        <f>+AE107</f>
        <v>0</v>
      </c>
      <c r="L107" s="35">
        <f>+AJ107</f>
        <v>0</v>
      </c>
      <c r="M107" s="37" t="s">
        <v>37</v>
      </c>
      <c r="N107" s="68"/>
      <c r="O107" s="57"/>
      <c r="P107" s="38" t="e">
        <f>+VLOOKUP(C107,Hoja1!$A$4:$C$57,3,FALSE)</f>
        <v>#N/A</v>
      </c>
      <c r="Q107" s="37" t="s">
        <v>38</v>
      </c>
      <c r="R107" s="68"/>
      <c r="S107" s="35" t="str">
        <f>(RIGHT(O107,7))</f>
        <v/>
      </c>
      <c r="T107" s="68"/>
      <c r="U107" s="37" t="s">
        <v>39</v>
      </c>
      <c r="V107" s="37" t="s">
        <v>40</v>
      </c>
      <c r="W107" s="35">
        <f>+AI107</f>
        <v>0</v>
      </c>
      <c r="X107" s="35">
        <f>+AJ107</f>
        <v>0</v>
      </c>
      <c r="Y107" s="33" t="s">
        <v>41</v>
      </c>
      <c r="Z107" s="39">
        <f>+F107</f>
        <v>0</v>
      </c>
      <c r="AA107" s="40"/>
      <c r="AB107" s="65"/>
      <c r="AC107" s="35">
        <v>0</v>
      </c>
      <c r="AD107" s="35">
        <f t="shared" ref="AD107" si="104">+AB107+AC107</f>
        <v>0</v>
      </c>
      <c r="AE107" s="67"/>
      <c r="AF107" s="35">
        <f>+AB107*AE107</f>
        <v>0</v>
      </c>
      <c r="AG107" s="35">
        <f>+AC107*AE107</f>
        <v>0</v>
      </c>
      <c r="AH107" s="35">
        <f>+AD107*AE107</f>
        <v>0</v>
      </c>
      <c r="AI107" s="35">
        <f t="shared" ref="AI107" si="105">+ROUND(AF107,2)</f>
        <v>0</v>
      </c>
      <c r="AJ107" s="35">
        <f t="shared" ref="AJ107" si="106">+ROUND(AG107,2)</f>
        <v>0</v>
      </c>
      <c r="AK107" s="35">
        <f t="shared" ref="AK107" si="107">+ROUND(AH107,2)</f>
        <v>0</v>
      </c>
      <c r="AL107" s="35">
        <f>+AI107+AJ107-AK107</f>
        <v>0</v>
      </c>
      <c r="AM107" s="63"/>
      <c r="AN107" s="35" t="str">
        <f>+LEFT(AM107,2)</f>
        <v/>
      </c>
      <c r="AO107" s="35" t="str">
        <f>+MID(AM107,4,2)</f>
        <v/>
      </c>
      <c r="AP107" s="35" t="str">
        <f>+RIGHT(AM107,2)</f>
        <v/>
      </c>
      <c r="AQ107" s="35" t="str">
        <f>+CONCATENATE(AN107,AO107,AP107)</f>
        <v/>
      </c>
      <c r="AR107" s="41">
        <f>AM107+_xlfn.XLOOKUP(C107,Hoja1!A:A,Hoja1!B:B)</f>
        <v>0</v>
      </c>
      <c r="AS107" s="42">
        <f>+DAY(AR107)</f>
        <v>0</v>
      </c>
      <c r="AT107" s="35">
        <f>+MONTH(AR107)</f>
        <v>1</v>
      </c>
      <c r="AU107" s="35">
        <f>+YEAR(AR107)</f>
        <v>1900</v>
      </c>
      <c r="AV107" s="35" t="str">
        <f>+CONCATENATE(TEXT(AS107,"00"),TEXT(AT107,"00"),RIGHT(AU107,2))</f>
        <v>000100</v>
      </c>
    </row>
    <row r="108" spans="1:48" s="31" customFormat="1" ht="10.15" hidden="1" customHeight="1" x14ac:dyDescent="0.25">
      <c r="A108" s="27"/>
      <c r="B108" s="27"/>
      <c r="C108" s="1"/>
      <c r="D108" s="1"/>
      <c r="E108" s="1"/>
      <c r="F108" s="1"/>
      <c r="G108" s="1"/>
      <c r="H108" s="28"/>
      <c r="I108" s="28"/>
      <c r="J108" s="1"/>
      <c r="K108" s="29"/>
      <c r="L108" s="28"/>
      <c r="M108" s="1"/>
      <c r="N108" s="1"/>
      <c r="O108" s="1"/>
      <c r="P108" s="1"/>
      <c r="Q108" s="1"/>
      <c r="R108" s="1"/>
      <c r="S108" s="28"/>
      <c r="T108" s="1"/>
      <c r="U108" s="1"/>
      <c r="V108" s="1"/>
      <c r="W108" s="28"/>
      <c r="X108" s="28"/>
      <c r="Y108" s="1"/>
      <c r="Z108" s="30"/>
      <c r="AA108" s="6"/>
      <c r="AB108" s="28"/>
      <c r="AC108" s="28"/>
      <c r="AD108" s="28"/>
      <c r="AE108" s="7"/>
      <c r="AF108" s="28"/>
      <c r="AG108" s="28"/>
      <c r="AH108" s="28"/>
      <c r="AI108" s="28"/>
      <c r="AJ108" s="28"/>
      <c r="AK108" s="28"/>
      <c r="AL108" s="28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s="31" customFormat="1" ht="10.15" hidden="1" customHeight="1" x14ac:dyDescent="0.25">
      <c r="A109" s="27"/>
      <c r="B109" s="27"/>
      <c r="C109" s="1"/>
      <c r="D109" s="1"/>
      <c r="E109" s="1"/>
      <c r="F109" s="1"/>
      <c r="G109" s="1"/>
      <c r="H109" s="28"/>
      <c r="I109" s="28"/>
      <c r="J109" s="1"/>
      <c r="K109" s="29"/>
      <c r="L109" s="28"/>
      <c r="M109" s="1"/>
      <c r="N109" s="1"/>
      <c r="O109" s="1"/>
      <c r="P109" s="1"/>
      <c r="Q109" s="1"/>
      <c r="R109" s="1"/>
      <c r="S109" s="28"/>
      <c r="T109" s="1"/>
      <c r="U109" s="1"/>
      <c r="V109" s="1"/>
      <c r="W109" s="28"/>
      <c r="X109" s="28"/>
      <c r="Y109" s="1"/>
      <c r="Z109" s="30"/>
      <c r="AA109" s="6"/>
      <c r="AB109" s="28"/>
      <c r="AC109" s="28"/>
      <c r="AD109" s="28"/>
      <c r="AE109" s="7"/>
      <c r="AF109" s="28"/>
      <c r="AG109" s="28"/>
      <c r="AH109" s="28"/>
      <c r="AI109" s="28"/>
      <c r="AJ109" s="28"/>
      <c r="AK109" s="28"/>
      <c r="AL109" s="28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s="31" customFormat="1" ht="10.15" hidden="1" customHeight="1" x14ac:dyDescent="0.25">
      <c r="A110" s="27"/>
      <c r="B110" s="27"/>
      <c r="C110" s="1"/>
      <c r="D110" s="1"/>
      <c r="E110" s="1"/>
      <c r="F110" s="1"/>
      <c r="G110" s="1"/>
      <c r="H110" s="28"/>
      <c r="I110" s="28"/>
      <c r="J110" s="1"/>
      <c r="K110" s="29"/>
      <c r="L110" s="28"/>
      <c r="M110" s="1"/>
      <c r="N110" s="1"/>
      <c r="O110" s="1"/>
      <c r="P110" s="1"/>
      <c r="Q110" s="1"/>
      <c r="R110" s="1"/>
      <c r="S110" s="28"/>
      <c r="T110" s="1"/>
      <c r="U110" s="1"/>
      <c r="V110" s="1"/>
      <c r="W110" s="28"/>
      <c r="X110" s="28"/>
      <c r="Y110" s="1"/>
      <c r="Z110" s="30"/>
      <c r="AA110" s="6"/>
      <c r="AB110" s="28"/>
      <c r="AC110" s="28"/>
      <c r="AD110" s="28"/>
      <c r="AE110" s="7"/>
      <c r="AF110" s="28"/>
      <c r="AG110" s="28"/>
      <c r="AH110" s="28"/>
      <c r="AI110" s="28"/>
      <c r="AJ110" s="28"/>
      <c r="AK110" s="28"/>
      <c r="AL110" s="28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ht="10.15" customHeight="1" x14ac:dyDescent="0.25">
      <c r="A111" s="44">
        <f>1+A107</f>
        <v>28</v>
      </c>
      <c r="B111" s="50"/>
      <c r="C111" s="57"/>
      <c r="D111" s="57"/>
      <c r="E111" s="34" t="str">
        <f>+AQ111</f>
        <v/>
      </c>
      <c r="F111" s="60"/>
      <c r="G111" s="34" t="str">
        <f>+AV111</f>
        <v>000100</v>
      </c>
      <c r="H111" s="35">
        <f>+AK111</f>
        <v>0</v>
      </c>
      <c r="I111" s="35">
        <f>+ROUND(AD111,2)</f>
        <v>0</v>
      </c>
      <c r="J111" s="57"/>
      <c r="K111" s="36">
        <f>+AE111</f>
        <v>0</v>
      </c>
      <c r="L111" s="35">
        <f>+AJ111</f>
        <v>0</v>
      </c>
      <c r="M111" s="37" t="s">
        <v>37</v>
      </c>
      <c r="N111" s="68"/>
      <c r="O111" s="57"/>
      <c r="P111" s="38" t="e">
        <f>+VLOOKUP(C111,Hoja1!$A$4:$C$57,3,FALSE)</f>
        <v>#N/A</v>
      </c>
      <c r="Q111" s="37" t="s">
        <v>38</v>
      </c>
      <c r="R111" s="68"/>
      <c r="S111" s="35" t="str">
        <f>(RIGHT(O111,7))</f>
        <v/>
      </c>
      <c r="T111" s="68"/>
      <c r="U111" s="37" t="s">
        <v>39</v>
      </c>
      <c r="V111" s="37" t="s">
        <v>40</v>
      </c>
      <c r="W111" s="35">
        <f>+AI111</f>
        <v>0</v>
      </c>
      <c r="X111" s="35">
        <f>+AJ111</f>
        <v>0</v>
      </c>
      <c r="Y111" s="33" t="s">
        <v>41</v>
      </c>
      <c r="Z111" s="39">
        <f>+F111</f>
        <v>0</v>
      </c>
      <c r="AA111" s="40"/>
      <c r="AB111" s="65"/>
      <c r="AC111" s="35">
        <v>0</v>
      </c>
      <c r="AD111" s="35">
        <f t="shared" ref="AD111" si="108">+AB111+AC111</f>
        <v>0</v>
      </c>
      <c r="AE111" s="67"/>
      <c r="AF111" s="35">
        <f>+AB111*AE111</f>
        <v>0</v>
      </c>
      <c r="AG111" s="35">
        <f>+AC111*AE111</f>
        <v>0</v>
      </c>
      <c r="AH111" s="35">
        <f>+AD111*AE111</f>
        <v>0</v>
      </c>
      <c r="AI111" s="35">
        <f t="shared" ref="AI111" si="109">+ROUND(AF111,2)</f>
        <v>0</v>
      </c>
      <c r="AJ111" s="35">
        <f t="shared" ref="AJ111" si="110">+ROUND(AG111,2)</f>
        <v>0</v>
      </c>
      <c r="AK111" s="35">
        <f t="shared" ref="AK111" si="111">+ROUND(AH111,2)</f>
        <v>0</v>
      </c>
      <c r="AL111" s="35">
        <f>+AI111+AJ111-AK111</f>
        <v>0</v>
      </c>
      <c r="AM111" s="63"/>
      <c r="AN111" s="35" t="str">
        <f>+LEFT(AM111,2)</f>
        <v/>
      </c>
      <c r="AO111" s="35" t="str">
        <f>+MID(AM111,4,2)</f>
        <v/>
      </c>
      <c r="AP111" s="35" t="str">
        <f>+RIGHT(AM111,2)</f>
        <v/>
      </c>
      <c r="AQ111" s="35" t="str">
        <f>+CONCATENATE(AN111,AO111,AP111)</f>
        <v/>
      </c>
      <c r="AR111" s="41">
        <f>AM111+_xlfn.XLOOKUP(C111,Hoja1!A:A,Hoja1!B:B)</f>
        <v>0</v>
      </c>
      <c r="AS111" s="42">
        <f>+DAY(AR111)</f>
        <v>0</v>
      </c>
      <c r="AT111" s="35">
        <f>+MONTH(AR111)</f>
        <v>1</v>
      </c>
      <c r="AU111" s="35">
        <f>+YEAR(AR111)</f>
        <v>1900</v>
      </c>
      <c r="AV111" s="35" t="str">
        <f>+CONCATENATE(TEXT(AS111,"00"),TEXT(AT111,"00"),RIGHT(AU111,2))</f>
        <v>000100</v>
      </c>
    </row>
    <row r="112" spans="1:48" s="31" customFormat="1" ht="10.15" hidden="1" customHeight="1" x14ac:dyDescent="0.25">
      <c r="A112" s="27"/>
      <c r="B112" s="27"/>
      <c r="C112" s="1"/>
      <c r="D112" s="1"/>
      <c r="E112" s="1"/>
      <c r="F112" s="1"/>
      <c r="G112" s="1"/>
      <c r="H112" s="28"/>
      <c r="I112" s="28"/>
      <c r="J112" s="1"/>
      <c r="K112" s="29"/>
      <c r="L112" s="28"/>
      <c r="M112" s="1"/>
      <c r="N112" s="1"/>
      <c r="O112" s="1"/>
      <c r="P112" s="1"/>
      <c r="Q112" s="1"/>
      <c r="R112" s="1"/>
      <c r="S112" s="28"/>
      <c r="T112" s="1"/>
      <c r="U112" s="1"/>
      <c r="V112" s="1"/>
      <c r="W112" s="28"/>
      <c r="X112" s="28"/>
      <c r="Y112" s="1"/>
      <c r="Z112" s="30"/>
      <c r="AA112" s="6"/>
      <c r="AB112" s="28"/>
      <c r="AC112" s="28"/>
      <c r="AD112" s="28"/>
      <c r="AE112" s="7"/>
      <c r="AF112" s="28"/>
      <c r="AG112" s="28"/>
      <c r="AH112" s="28"/>
      <c r="AI112" s="28"/>
      <c r="AJ112" s="28"/>
      <c r="AK112" s="28"/>
      <c r="AL112" s="28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s="31" customFormat="1" ht="10.15" hidden="1" customHeight="1" x14ac:dyDescent="0.25">
      <c r="A113" s="27"/>
      <c r="B113" s="27"/>
      <c r="C113" s="1"/>
      <c r="D113" s="1"/>
      <c r="E113" s="1"/>
      <c r="F113" s="1"/>
      <c r="G113" s="1"/>
      <c r="H113" s="28"/>
      <c r="I113" s="28"/>
      <c r="J113" s="1"/>
      <c r="K113" s="29"/>
      <c r="L113" s="28"/>
      <c r="M113" s="1"/>
      <c r="N113" s="1"/>
      <c r="O113" s="1"/>
      <c r="P113" s="1"/>
      <c r="Q113" s="1"/>
      <c r="R113" s="1"/>
      <c r="S113" s="28"/>
      <c r="T113" s="1"/>
      <c r="U113" s="1"/>
      <c r="V113" s="1"/>
      <c r="W113" s="28"/>
      <c r="X113" s="28"/>
      <c r="Y113" s="1"/>
      <c r="Z113" s="30"/>
      <c r="AA113" s="6"/>
      <c r="AB113" s="28"/>
      <c r="AC113" s="28"/>
      <c r="AD113" s="28"/>
      <c r="AE113" s="7"/>
      <c r="AF113" s="28"/>
      <c r="AG113" s="28"/>
      <c r="AH113" s="28"/>
      <c r="AI113" s="28"/>
      <c r="AJ113" s="28"/>
      <c r="AK113" s="28"/>
      <c r="AL113" s="28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s="31" customFormat="1" ht="10.15" hidden="1" customHeight="1" x14ac:dyDescent="0.25">
      <c r="A114" s="27"/>
      <c r="B114" s="27"/>
      <c r="C114" s="1"/>
      <c r="D114" s="1"/>
      <c r="E114" s="1"/>
      <c r="F114" s="1"/>
      <c r="G114" s="1"/>
      <c r="H114" s="28"/>
      <c r="I114" s="28"/>
      <c r="J114" s="1"/>
      <c r="K114" s="29"/>
      <c r="L114" s="28"/>
      <c r="M114" s="1"/>
      <c r="N114" s="1"/>
      <c r="O114" s="1"/>
      <c r="P114" s="1"/>
      <c r="Q114" s="1"/>
      <c r="R114" s="1"/>
      <c r="S114" s="28"/>
      <c r="T114" s="1"/>
      <c r="U114" s="1"/>
      <c r="V114" s="1"/>
      <c r="W114" s="28"/>
      <c r="X114" s="28"/>
      <c r="Y114" s="1"/>
      <c r="Z114" s="30"/>
      <c r="AA114" s="6"/>
      <c r="AB114" s="28"/>
      <c r="AC114" s="28"/>
      <c r="AD114" s="28"/>
      <c r="AE114" s="7"/>
      <c r="AF114" s="28"/>
      <c r="AG114" s="28"/>
      <c r="AH114" s="28"/>
      <c r="AI114" s="28"/>
      <c r="AJ114" s="28"/>
      <c r="AK114" s="28"/>
      <c r="AL114" s="28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ht="10.15" customHeight="1" x14ac:dyDescent="0.25">
      <c r="A115" s="44">
        <f>1+A111</f>
        <v>29</v>
      </c>
      <c r="B115" s="50"/>
      <c r="C115" s="57"/>
      <c r="D115" s="57"/>
      <c r="E115" s="34" t="str">
        <f>+AQ115</f>
        <v/>
      </c>
      <c r="F115" s="60"/>
      <c r="G115" s="34" t="str">
        <f>+AV115</f>
        <v>000100</v>
      </c>
      <c r="H115" s="35">
        <f>+AK115</f>
        <v>0</v>
      </c>
      <c r="I115" s="35">
        <f>+ROUND(AD115,2)</f>
        <v>0</v>
      </c>
      <c r="J115" s="57"/>
      <c r="K115" s="36">
        <f>+AE115</f>
        <v>0</v>
      </c>
      <c r="L115" s="35">
        <f>+AJ115</f>
        <v>0</v>
      </c>
      <c r="M115" s="37" t="s">
        <v>37</v>
      </c>
      <c r="N115" s="68"/>
      <c r="O115" s="57"/>
      <c r="P115" s="38" t="e">
        <f>+VLOOKUP(C115,Hoja1!$A$4:$C$57,3,FALSE)</f>
        <v>#N/A</v>
      </c>
      <c r="Q115" s="37" t="s">
        <v>38</v>
      </c>
      <c r="R115" s="68"/>
      <c r="S115" s="35" t="str">
        <f>(RIGHT(O115,7))</f>
        <v/>
      </c>
      <c r="T115" s="68"/>
      <c r="U115" s="37" t="s">
        <v>39</v>
      </c>
      <c r="V115" s="37" t="s">
        <v>40</v>
      </c>
      <c r="W115" s="35">
        <f>+AI115</f>
        <v>0</v>
      </c>
      <c r="X115" s="35">
        <f>+AJ115</f>
        <v>0</v>
      </c>
      <c r="Y115" s="33" t="s">
        <v>41</v>
      </c>
      <c r="Z115" s="39">
        <f>+F115</f>
        <v>0</v>
      </c>
      <c r="AA115" s="40"/>
      <c r="AB115" s="65"/>
      <c r="AC115" s="35">
        <v>0</v>
      </c>
      <c r="AD115" s="35">
        <f t="shared" ref="AD115" si="112">+AB115+AC115</f>
        <v>0</v>
      </c>
      <c r="AE115" s="67"/>
      <c r="AF115" s="35">
        <f>+AB115*AE115</f>
        <v>0</v>
      </c>
      <c r="AG115" s="35">
        <f>+AC115*AE115</f>
        <v>0</v>
      </c>
      <c r="AH115" s="35">
        <f>+AD115*AE115</f>
        <v>0</v>
      </c>
      <c r="AI115" s="35">
        <f t="shared" ref="AI115" si="113">+ROUND(AF115,2)</f>
        <v>0</v>
      </c>
      <c r="AJ115" s="35">
        <f t="shared" ref="AJ115" si="114">+ROUND(AG115,2)</f>
        <v>0</v>
      </c>
      <c r="AK115" s="35">
        <f t="shared" ref="AK115" si="115">+ROUND(AH115,2)</f>
        <v>0</v>
      </c>
      <c r="AL115" s="35">
        <f>+AI115+AJ115-AK115</f>
        <v>0</v>
      </c>
      <c r="AM115" s="63"/>
      <c r="AN115" s="35" t="str">
        <f>+LEFT(AM115,2)</f>
        <v/>
      </c>
      <c r="AO115" s="35" t="str">
        <f>+MID(AM115,4,2)</f>
        <v/>
      </c>
      <c r="AP115" s="35" t="str">
        <f>+RIGHT(AM115,2)</f>
        <v/>
      </c>
      <c r="AQ115" s="35" t="str">
        <f>+CONCATENATE(AN115,AO115,AP115)</f>
        <v/>
      </c>
      <c r="AR115" s="41">
        <f>AM115+_xlfn.XLOOKUP(C115,Hoja1!A:A,Hoja1!B:B)</f>
        <v>0</v>
      </c>
      <c r="AS115" s="42">
        <f>+DAY(AR115)</f>
        <v>0</v>
      </c>
      <c r="AT115" s="35">
        <f>+MONTH(AR115)</f>
        <v>1</v>
      </c>
      <c r="AU115" s="35">
        <f>+YEAR(AR115)</f>
        <v>1900</v>
      </c>
      <c r="AV115" s="35" t="str">
        <f>+CONCATENATE(TEXT(AS115,"00"),TEXT(AT115,"00"),RIGHT(AU115,2))</f>
        <v>000100</v>
      </c>
    </row>
    <row r="116" spans="1:48" s="31" customFormat="1" ht="10.15" hidden="1" customHeight="1" x14ac:dyDescent="0.25">
      <c r="A116" s="27"/>
      <c r="B116" s="27"/>
      <c r="C116" s="1"/>
      <c r="D116" s="1"/>
      <c r="E116" s="1"/>
      <c r="F116" s="1"/>
      <c r="G116" s="1"/>
      <c r="H116" s="28"/>
      <c r="I116" s="28"/>
      <c r="J116" s="1"/>
      <c r="K116" s="29"/>
      <c r="L116" s="28"/>
      <c r="M116" s="1"/>
      <c r="N116" s="1"/>
      <c r="O116" s="1"/>
      <c r="P116" s="1"/>
      <c r="Q116" s="1"/>
      <c r="R116" s="1"/>
      <c r="S116" s="28"/>
      <c r="T116" s="1"/>
      <c r="U116" s="1"/>
      <c r="V116" s="1"/>
      <c r="W116" s="28"/>
      <c r="X116" s="28"/>
      <c r="Y116" s="1"/>
      <c r="Z116" s="30"/>
      <c r="AA116" s="6"/>
      <c r="AB116" s="28"/>
      <c r="AC116" s="28"/>
      <c r="AD116" s="28"/>
      <c r="AE116" s="7"/>
      <c r="AF116" s="28"/>
      <c r="AG116" s="28"/>
      <c r="AH116" s="28"/>
      <c r="AI116" s="28"/>
      <c r="AJ116" s="28"/>
      <c r="AK116" s="28"/>
      <c r="AL116" s="28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s="31" customFormat="1" ht="10.15" hidden="1" customHeight="1" x14ac:dyDescent="0.25">
      <c r="A117" s="27"/>
      <c r="B117" s="27"/>
      <c r="C117" s="1"/>
      <c r="D117" s="1"/>
      <c r="E117" s="1"/>
      <c r="F117" s="1"/>
      <c r="G117" s="1"/>
      <c r="H117" s="28"/>
      <c r="I117" s="28"/>
      <c r="J117" s="1"/>
      <c r="K117" s="29"/>
      <c r="L117" s="28"/>
      <c r="M117" s="1"/>
      <c r="N117" s="1"/>
      <c r="O117" s="1"/>
      <c r="P117" s="1"/>
      <c r="Q117" s="1"/>
      <c r="R117" s="1"/>
      <c r="S117" s="28"/>
      <c r="T117" s="1"/>
      <c r="U117" s="1"/>
      <c r="V117" s="1"/>
      <c r="W117" s="28"/>
      <c r="X117" s="28"/>
      <c r="Y117" s="1"/>
      <c r="Z117" s="30"/>
      <c r="AA117" s="6"/>
      <c r="AB117" s="28"/>
      <c r="AC117" s="28"/>
      <c r="AD117" s="28"/>
      <c r="AE117" s="7"/>
      <c r="AF117" s="28"/>
      <c r="AG117" s="28"/>
      <c r="AH117" s="28"/>
      <c r="AI117" s="28"/>
      <c r="AJ117" s="28"/>
      <c r="AK117" s="28"/>
      <c r="AL117" s="28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s="31" customFormat="1" ht="10.15" hidden="1" customHeight="1" x14ac:dyDescent="0.25">
      <c r="A118" s="27"/>
      <c r="B118" s="27"/>
      <c r="C118" s="1"/>
      <c r="D118" s="1"/>
      <c r="E118" s="1"/>
      <c r="F118" s="1"/>
      <c r="G118" s="1"/>
      <c r="H118" s="28"/>
      <c r="I118" s="28"/>
      <c r="J118" s="1"/>
      <c r="K118" s="29"/>
      <c r="L118" s="28"/>
      <c r="M118" s="1"/>
      <c r="N118" s="1"/>
      <c r="O118" s="1"/>
      <c r="P118" s="1"/>
      <c r="Q118" s="1"/>
      <c r="R118" s="1"/>
      <c r="S118" s="28"/>
      <c r="T118" s="1"/>
      <c r="U118" s="1"/>
      <c r="V118" s="1"/>
      <c r="W118" s="28"/>
      <c r="X118" s="28"/>
      <c r="Y118" s="1"/>
      <c r="Z118" s="30"/>
      <c r="AA118" s="6"/>
      <c r="AB118" s="28"/>
      <c r="AC118" s="28"/>
      <c r="AD118" s="28"/>
      <c r="AE118" s="7"/>
      <c r="AF118" s="28"/>
      <c r="AG118" s="28"/>
      <c r="AH118" s="28"/>
      <c r="AI118" s="28"/>
      <c r="AJ118" s="28"/>
      <c r="AK118" s="28"/>
      <c r="AL118" s="28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ht="10.15" customHeight="1" x14ac:dyDescent="0.25">
      <c r="A119" s="44">
        <f>1+A115</f>
        <v>30</v>
      </c>
      <c r="B119" s="38"/>
      <c r="C119" s="57"/>
      <c r="D119" s="57"/>
      <c r="E119" s="34" t="str">
        <f>+AQ119</f>
        <v/>
      </c>
      <c r="F119" s="60"/>
      <c r="G119" s="34" t="str">
        <f>+AV119</f>
        <v>000100</v>
      </c>
      <c r="H119" s="35">
        <f>+AK119</f>
        <v>0</v>
      </c>
      <c r="I119" s="35">
        <f>+ROUND(AD119,2)</f>
        <v>0</v>
      </c>
      <c r="J119" s="57"/>
      <c r="K119" s="36">
        <f>+AE119</f>
        <v>0</v>
      </c>
      <c r="L119" s="35">
        <f>+AJ119</f>
        <v>0</v>
      </c>
      <c r="M119" s="37" t="s">
        <v>37</v>
      </c>
      <c r="N119" s="68"/>
      <c r="O119" s="57"/>
      <c r="P119" s="38" t="e">
        <f>+VLOOKUP(C119,Hoja1!$A$4:$C$57,3,FALSE)</f>
        <v>#N/A</v>
      </c>
      <c r="Q119" s="37" t="s">
        <v>38</v>
      </c>
      <c r="R119" s="68"/>
      <c r="S119" s="35" t="str">
        <f>(RIGHT(O119,7))</f>
        <v/>
      </c>
      <c r="T119" s="68"/>
      <c r="U119" s="37" t="s">
        <v>39</v>
      </c>
      <c r="V119" s="37" t="s">
        <v>40</v>
      </c>
      <c r="W119" s="35">
        <f>+AI119</f>
        <v>0</v>
      </c>
      <c r="X119" s="35">
        <f>+AJ119</f>
        <v>0</v>
      </c>
      <c r="Y119" s="33" t="s">
        <v>41</v>
      </c>
      <c r="Z119" s="39">
        <f>+F119</f>
        <v>0</v>
      </c>
      <c r="AA119" s="40"/>
      <c r="AB119" s="65"/>
      <c r="AC119" s="35">
        <v>0</v>
      </c>
      <c r="AD119" s="35">
        <f t="shared" ref="AD119" si="116">+AB119+AC119</f>
        <v>0</v>
      </c>
      <c r="AE119" s="67"/>
      <c r="AF119" s="35">
        <f>+AB119*AE119</f>
        <v>0</v>
      </c>
      <c r="AG119" s="35">
        <f>+AC119*AE119</f>
        <v>0</v>
      </c>
      <c r="AH119" s="35">
        <f>+AD119*AE119</f>
        <v>0</v>
      </c>
      <c r="AI119" s="35">
        <f t="shared" ref="AI119" si="117">+ROUND(AF119,2)</f>
        <v>0</v>
      </c>
      <c r="AJ119" s="35">
        <f t="shared" ref="AJ119" si="118">+ROUND(AG119,2)</f>
        <v>0</v>
      </c>
      <c r="AK119" s="35">
        <f t="shared" ref="AK119" si="119">+ROUND(AH119,2)</f>
        <v>0</v>
      </c>
      <c r="AL119" s="35">
        <f>+AI119+AJ119-AK119</f>
        <v>0</v>
      </c>
      <c r="AM119" s="62"/>
      <c r="AN119" s="35" t="str">
        <f>+LEFT(AM119,2)</f>
        <v/>
      </c>
      <c r="AO119" s="35" t="str">
        <f>+MID(AM119,4,2)</f>
        <v/>
      </c>
      <c r="AP119" s="35" t="str">
        <f>+RIGHT(AM119,2)</f>
        <v/>
      </c>
      <c r="AQ119" s="35" t="str">
        <f>+CONCATENATE(AN119,AO119,AP119)</f>
        <v/>
      </c>
      <c r="AR119" s="41">
        <f>AM119+_xlfn.XLOOKUP(C119,Hoja1!A:A,Hoja1!B:B)</f>
        <v>0</v>
      </c>
      <c r="AS119" s="42">
        <f>+DAY(AR119)</f>
        <v>0</v>
      </c>
      <c r="AT119" s="35">
        <f>+MONTH(AR119)</f>
        <v>1</v>
      </c>
      <c r="AU119" s="35">
        <f>+YEAR(AR119)</f>
        <v>1900</v>
      </c>
      <c r="AV119" s="35" t="str">
        <f>+CONCATENATE(TEXT(AS119,"00"),TEXT(AT119,"00"),RIGHT(AU119,2))</f>
        <v>000100</v>
      </c>
    </row>
    <row r="120" spans="1:48" s="31" customFormat="1" ht="10.15" hidden="1" customHeight="1" x14ac:dyDescent="0.25">
      <c r="A120" s="27"/>
      <c r="B120" s="27"/>
      <c r="C120" s="1"/>
      <c r="D120" s="1"/>
      <c r="E120" s="1"/>
      <c r="F120" s="1"/>
      <c r="G120" s="1"/>
      <c r="H120" s="28"/>
      <c r="I120" s="28"/>
      <c r="J120" s="1"/>
      <c r="K120" s="29"/>
      <c r="L120" s="28"/>
      <c r="M120" s="1"/>
      <c r="N120" s="1"/>
      <c r="O120" s="1"/>
      <c r="P120" s="1"/>
      <c r="Q120" s="1"/>
      <c r="R120" s="1"/>
      <c r="S120" s="28"/>
      <c r="T120" s="1"/>
      <c r="U120" s="1"/>
      <c r="V120" s="1"/>
      <c r="W120" s="28"/>
      <c r="X120" s="28"/>
      <c r="Y120" s="1"/>
      <c r="Z120" s="30"/>
      <c r="AA120" s="6"/>
      <c r="AB120" s="28"/>
      <c r="AC120" s="28"/>
      <c r="AD120" s="28"/>
      <c r="AE120" s="7"/>
      <c r="AF120" s="28"/>
      <c r="AG120" s="28"/>
      <c r="AH120" s="28"/>
      <c r="AI120" s="28"/>
      <c r="AJ120" s="28"/>
      <c r="AK120" s="28"/>
      <c r="AL120" s="28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s="31" customFormat="1" ht="10.15" hidden="1" customHeight="1" x14ac:dyDescent="0.25">
      <c r="A121" s="27"/>
      <c r="B121" s="27"/>
      <c r="C121" s="1"/>
      <c r="D121" s="1"/>
      <c r="E121" s="1"/>
      <c r="F121" s="1"/>
      <c r="G121" s="1"/>
      <c r="H121" s="28"/>
      <c r="I121" s="28"/>
      <c r="J121" s="1"/>
      <c r="K121" s="29"/>
      <c r="L121" s="28"/>
      <c r="M121" s="1"/>
      <c r="N121" s="1"/>
      <c r="O121" s="1"/>
      <c r="P121" s="1"/>
      <c r="Q121" s="1"/>
      <c r="R121" s="1"/>
      <c r="S121" s="28"/>
      <c r="T121" s="1"/>
      <c r="U121" s="1"/>
      <c r="V121" s="1"/>
      <c r="W121" s="28"/>
      <c r="X121" s="28"/>
      <c r="Y121" s="1"/>
      <c r="Z121" s="30"/>
      <c r="AA121" s="6"/>
      <c r="AB121" s="28"/>
      <c r="AC121" s="28"/>
      <c r="AD121" s="28"/>
      <c r="AE121" s="7"/>
      <c r="AF121" s="28"/>
      <c r="AG121" s="28"/>
      <c r="AH121" s="28"/>
      <c r="AI121" s="28"/>
      <c r="AJ121" s="28"/>
      <c r="AK121" s="28"/>
      <c r="AL121" s="28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s="31" customFormat="1" ht="10.15" hidden="1" customHeight="1" x14ac:dyDescent="0.25">
      <c r="A122" s="27"/>
      <c r="B122" s="27"/>
      <c r="C122" s="1"/>
      <c r="D122" s="1"/>
      <c r="E122" s="1"/>
      <c r="F122" s="1"/>
      <c r="G122" s="1"/>
      <c r="H122" s="28"/>
      <c r="I122" s="28"/>
      <c r="J122" s="1"/>
      <c r="K122" s="29"/>
      <c r="L122" s="28"/>
      <c r="M122" s="1"/>
      <c r="N122" s="1"/>
      <c r="O122" s="1"/>
      <c r="P122" s="1"/>
      <c r="Q122" s="1"/>
      <c r="R122" s="1"/>
      <c r="S122" s="28"/>
      <c r="T122" s="1"/>
      <c r="U122" s="1"/>
      <c r="V122" s="1"/>
      <c r="W122" s="28"/>
      <c r="X122" s="28"/>
      <c r="Y122" s="1"/>
      <c r="Z122" s="30"/>
      <c r="AA122" s="6"/>
      <c r="AB122" s="28"/>
      <c r="AC122" s="28"/>
      <c r="AD122" s="28"/>
      <c r="AE122" s="7"/>
      <c r="AF122" s="28"/>
      <c r="AG122" s="28"/>
      <c r="AH122" s="28"/>
      <c r="AI122" s="28"/>
      <c r="AJ122" s="28"/>
      <c r="AK122" s="28"/>
      <c r="AL122" s="28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ht="10.15" customHeight="1" x14ac:dyDescent="0.25">
      <c r="A123" s="44">
        <f>1+A119</f>
        <v>31</v>
      </c>
      <c r="B123" s="38"/>
      <c r="C123" s="57"/>
      <c r="D123" s="57"/>
      <c r="E123" s="34" t="str">
        <f>+AQ123</f>
        <v/>
      </c>
      <c r="F123" s="60"/>
      <c r="G123" s="34" t="str">
        <f>+AV123</f>
        <v>000100</v>
      </c>
      <c r="H123" s="35">
        <f>+AK123</f>
        <v>0</v>
      </c>
      <c r="I123" s="35">
        <f>+ROUND(AD123,2)</f>
        <v>0</v>
      </c>
      <c r="J123" s="57"/>
      <c r="K123" s="36">
        <f>+AE123</f>
        <v>0</v>
      </c>
      <c r="L123" s="35">
        <f>+AJ123</f>
        <v>0</v>
      </c>
      <c r="M123" s="37" t="s">
        <v>37</v>
      </c>
      <c r="N123" s="68"/>
      <c r="O123" s="57"/>
      <c r="P123" s="38" t="e">
        <f>+VLOOKUP(C123,Hoja1!$A$4:$C$57,3,FALSE)</f>
        <v>#N/A</v>
      </c>
      <c r="Q123" s="37" t="s">
        <v>38</v>
      </c>
      <c r="R123" s="68"/>
      <c r="S123" s="35" t="str">
        <f>(RIGHT(O123,7))</f>
        <v/>
      </c>
      <c r="T123" s="68"/>
      <c r="U123" s="37" t="s">
        <v>39</v>
      </c>
      <c r="V123" s="37" t="s">
        <v>40</v>
      </c>
      <c r="W123" s="35">
        <f>+AI123</f>
        <v>0</v>
      </c>
      <c r="X123" s="35">
        <f>+AJ123</f>
        <v>0</v>
      </c>
      <c r="Y123" s="33" t="s">
        <v>41</v>
      </c>
      <c r="Z123" s="39">
        <f>+F123</f>
        <v>0</v>
      </c>
      <c r="AA123" s="40"/>
      <c r="AB123" s="65"/>
      <c r="AC123" s="35">
        <v>0</v>
      </c>
      <c r="AD123" s="35">
        <f t="shared" ref="AD123" si="120">+AB123+AC123</f>
        <v>0</v>
      </c>
      <c r="AE123" s="67"/>
      <c r="AF123" s="35">
        <f>+AB123*AE123</f>
        <v>0</v>
      </c>
      <c r="AG123" s="35">
        <f>+AC123*AE123</f>
        <v>0</v>
      </c>
      <c r="AH123" s="35">
        <f>+AD123*AE123</f>
        <v>0</v>
      </c>
      <c r="AI123" s="35">
        <f t="shared" ref="AI123" si="121">+ROUND(AF123,2)</f>
        <v>0</v>
      </c>
      <c r="AJ123" s="35">
        <f t="shared" ref="AJ123" si="122">+ROUND(AG123,2)</f>
        <v>0</v>
      </c>
      <c r="AK123" s="35">
        <f t="shared" ref="AK123" si="123">+ROUND(AH123,2)</f>
        <v>0</v>
      </c>
      <c r="AL123" s="35">
        <f>+AI123+AJ123-AK123</f>
        <v>0</v>
      </c>
      <c r="AM123" s="63"/>
      <c r="AN123" s="35" t="str">
        <f>+LEFT(AM123,2)</f>
        <v/>
      </c>
      <c r="AO123" s="35" t="str">
        <f>+MID(AM123,4,2)</f>
        <v/>
      </c>
      <c r="AP123" s="35" t="str">
        <f>+RIGHT(AM123,2)</f>
        <v/>
      </c>
      <c r="AQ123" s="35" t="str">
        <f>+CONCATENATE(AN123,AO123,AP123)</f>
        <v/>
      </c>
      <c r="AR123" s="41">
        <f>AM123+_xlfn.XLOOKUP(C123,Hoja1!A:A,Hoja1!B:B)</f>
        <v>0</v>
      </c>
      <c r="AS123" s="42">
        <f>+DAY(AR123)</f>
        <v>0</v>
      </c>
      <c r="AT123" s="35">
        <f>+MONTH(AR123)</f>
        <v>1</v>
      </c>
      <c r="AU123" s="35">
        <f>+YEAR(AR123)</f>
        <v>1900</v>
      </c>
      <c r="AV123" s="35" t="str">
        <f>+CONCATENATE(TEXT(AS123,"00"),TEXT(AT123,"00"),RIGHT(AU123,2))</f>
        <v>000100</v>
      </c>
    </row>
    <row r="124" spans="1:48" s="31" customFormat="1" ht="10.15" hidden="1" customHeight="1" x14ac:dyDescent="0.25">
      <c r="A124" s="27"/>
      <c r="B124" s="27"/>
      <c r="C124" s="1"/>
      <c r="D124" s="1"/>
      <c r="E124" s="1"/>
      <c r="F124" s="1"/>
      <c r="G124" s="1"/>
      <c r="H124" s="28"/>
      <c r="I124" s="28"/>
      <c r="J124" s="1"/>
      <c r="K124" s="29"/>
      <c r="L124" s="28"/>
      <c r="M124" s="1"/>
      <c r="N124" s="1"/>
      <c r="O124" s="1"/>
      <c r="P124" s="1"/>
      <c r="Q124" s="1"/>
      <c r="R124" s="1"/>
      <c r="S124" s="28"/>
      <c r="T124" s="1"/>
      <c r="U124" s="1"/>
      <c r="V124" s="1"/>
      <c r="W124" s="28"/>
      <c r="X124" s="28"/>
      <c r="Y124" s="1"/>
      <c r="Z124" s="30"/>
      <c r="AA124" s="6"/>
      <c r="AB124" s="28"/>
      <c r="AC124" s="28"/>
      <c r="AD124" s="28"/>
      <c r="AE124" s="7"/>
      <c r="AF124" s="28"/>
      <c r="AG124" s="28"/>
      <c r="AH124" s="28"/>
      <c r="AI124" s="28"/>
      <c r="AJ124" s="28"/>
      <c r="AK124" s="28"/>
      <c r="AL124" s="28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s="31" customFormat="1" ht="10.15" hidden="1" customHeight="1" x14ac:dyDescent="0.25">
      <c r="A125" s="27"/>
      <c r="B125" s="27"/>
      <c r="C125" s="1"/>
      <c r="D125" s="1"/>
      <c r="E125" s="1"/>
      <c r="F125" s="1"/>
      <c r="G125" s="1"/>
      <c r="H125" s="28"/>
      <c r="I125" s="28"/>
      <c r="J125" s="1"/>
      <c r="K125" s="29"/>
      <c r="L125" s="28"/>
      <c r="M125" s="1"/>
      <c r="N125" s="1"/>
      <c r="O125" s="1"/>
      <c r="P125" s="1"/>
      <c r="Q125" s="1"/>
      <c r="R125" s="1"/>
      <c r="S125" s="28"/>
      <c r="T125" s="1"/>
      <c r="U125" s="1"/>
      <c r="V125" s="1"/>
      <c r="W125" s="28"/>
      <c r="X125" s="28"/>
      <c r="Y125" s="1"/>
      <c r="Z125" s="30"/>
      <c r="AA125" s="6"/>
      <c r="AB125" s="28"/>
      <c r="AC125" s="28"/>
      <c r="AD125" s="28"/>
      <c r="AE125" s="7"/>
      <c r="AF125" s="28"/>
      <c r="AG125" s="28"/>
      <c r="AH125" s="28"/>
      <c r="AI125" s="28"/>
      <c r="AJ125" s="28"/>
      <c r="AK125" s="28"/>
      <c r="AL125" s="28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s="31" customFormat="1" ht="10.15" hidden="1" customHeight="1" x14ac:dyDescent="0.25">
      <c r="A126" s="27"/>
      <c r="B126" s="27"/>
      <c r="C126" s="1"/>
      <c r="D126" s="1"/>
      <c r="E126" s="1"/>
      <c r="F126" s="1"/>
      <c r="G126" s="1"/>
      <c r="H126" s="28"/>
      <c r="I126" s="28"/>
      <c r="J126" s="1"/>
      <c r="K126" s="29"/>
      <c r="L126" s="28"/>
      <c r="M126" s="1"/>
      <c r="N126" s="1"/>
      <c r="O126" s="1"/>
      <c r="P126" s="1"/>
      <c r="Q126" s="1"/>
      <c r="R126" s="1"/>
      <c r="S126" s="28"/>
      <c r="T126" s="1"/>
      <c r="U126" s="1"/>
      <c r="V126" s="1"/>
      <c r="W126" s="28"/>
      <c r="X126" s="28"/>
      <c r="Y126" s="1"/>
      <c r="Z126" s="30"/>
      <c r="AA126" s="6"/>
      <c r="AB126" s="28"/>
      <c r="AC126" s="28"/>
      <c r="AD126" s="28"/>
      <c r="AE126" s="7"/>
      <c r="AF126" s="28"/>
      <c r="AG126" s="28"/>
      <c r="AH126" s="28"/>
      <c r="AI126" s="28"/>
      <c r="AJ126" s="28"/>
      <c r="AK126" s="28"/>
      <c r="AL126" s="28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ht="10.15" customHeight="1" x14ac:dyDescent="0.25">
      <c r="A127" s="44">
        <f>1+A123</f>
        <v>32</v>
      </c>
      <c r="B127" s="50"/>
      <c r="C127" s="57"/>
      <c r="D127" s="57"/>
      <c r="E127" s="34" t="str">
        <f>+AQ127</f>
        <v/>
      </c>
      <c r="F127" s="60"/>
      <c r="G127" s="34" t="str">
        <f>+AV127</f>
        <v>000100</v>
      </c>
      <c r="H127" s="35">
        <f>+AK127</f>
        <v>0</v>
      </c>
      <c r="I127" s="35">
        <f>+ROUND(AD127,2)</f>
        <v>0</v>
      </c>
      <c r="J127" s="57"/>
      <c r="K127" s="36">
        <f>+AE127</f>
        <v>0</v>
      </c>
      <c r="L127" s="35">
        <f>+AJ127</f>
        <v>0</v>
      </c>
      <c r="M127" s="37" t="s">
        <v>37</v>
      </c>
      <c r="N127" s="68"/>
      <c r="O127" s="57"/>
      <c r="P127" s="38" t="e">
        <f>+VLOOKUP(C127,Hoja1!$A$4:$C$57,3,FALSE)</f>
        <v>#N/A</v>
      </c>
      <c r="Q127" s="37" t="s">
        <v>38</v>
      </c>
      <c r="R127" s="68"/>
      <c r="S127" s="35" t="str">
        <f>(RIGHT(O127,7))</f>
        <v/>
      </c>
      <c r="T127" s="68"/>
      <c r="U127" s="37" t="s">
        <v>39</v>
      </c>
      <c r="V127" s="37" t="s">
        <v>40</v>
      </c>
      <c r="W127" s="35">
        <f>+AI127</f>
        <v>0</v>
      </c>
      <c r="X127" s="35">
        <f>+AJ127</f>
        <v>0</v>
      </c>
      <c r="Y127" s="33" t="s">
        <v>41</v>
      </c>
      <c r="Z127" s="39">
        <f>+F127</f>
        <v>0</v>
      </c>
      <c r="AA127" s="40"/>
      <c r="AB127" s="65"/>
      <c r="AC127" s="35">
        <v>0</v>
      </c>
      <c r="AD127" s="35">
        <f t="shared" ref="AD127" si="124">+AB127+AC127</f>
        <v>0</v>
      </c>
      <c r="AE127" s="67"/>
      <c r="AF127" s="35">
        <f>+AB127*AE127</f>
        <v>0</v>
      </c>
      <c r="AG127" s="35">
        <f>+AC127*AE127</f>
        <v>0</v>
      </c>
      <c r="AH127" s="35">
        <f>+AD127*AE127</f>
        <v>0</v>
      </c>
      <c r="AI127" s="35">
        <f t="shared" ref="AI127" si="125">+ROUND(AF127,2)</f>
        <v>0</v>
      </c>
      <c r="AJ127" s="35">
        <f t="shared" ref="AJ127" si="126">+ROUND(AG127,2)</f>
        <v>0</v>
      </c>
      <c r="AK127" s="35">
        <f t="shared" ref="AK127" si="127">+ROUND(AH127,2)</f>
        <v>0</v>
      </c>
      <c r="AL127" s="35">
        <f>+AI127+AJ127-AK127</f>
        <v>0</v>
      </c>
      <c r="AM127" s="63"/>
      <c r="AN127" s="35" t="str">
        <f>+LEFT(AM127,2)</f>
        <v/>
      </c>
      <c r="AO127" s="35" t="str">
        <f>+MID(AM127,4,2)</f>
        <v/>
      </c>
      <c r="AP127" s="35" t="str">
        <f>+RIGHT(AM127,2)</f>
        <v/>
      </c>
      <c r="AQ127" s="35" t="str">
        <f>+CONCATENATE(AN127,AO127,AP127)</f>
        <v/>
      </c>
      <c r="AR127" s="41">
        <f>AM127+_xlfn.XLOOKUP(C127,Hoja1!A:A,Hoja1!B:B)</f>
        <v>0</v>
      </c>
      <c r="AS127" s="42">
        <f>+DAY(AR127)</f>
        <v>0</v>
      </c>
      <c r="AT127" s="35">
        <f>+MONTH(AR127)</f>
        <v>1</v>
      </c>
      <c r="AU127" s="35">
        <f>+YEAR(AR127)</f>
        <v>1900</v>
      </c>
      <c r="AV127" s="35" t="str">
        <f>+CONCATENATE(TEXT(AS127,"00"),TEXT(AT127,"00"),RIGHT(AU127,2))</f>
        <v>000100</v>
      </c>
    </row>
    <row r="128" spans="1:48" s="31" customFormat="1" ht="10.15" hidden="1" customHeight="1" x14ac:dyDescent="0.25">
      <c r="A128" s="27"/>
      <c r="B128" s="27"/>
      <c r="C128" s="1"/>
      <c r="D128" s="1"/>
      <c r="E128" s="1"/>
      <c r="F128" s="1"/>
      <c r="G128" s="1"/>
      <c r="H128" s="28"/>
      <c r="I128" s="28"/>
      <c r="J128" s="1"/>
      <c r="K128" s="29"/>
      <c r="L128" s="28"/>
      <c r="M128" s="1"/>
      <c r="N128" s="1"/>
      <c r="O128" s="1"/>
      <c r="P128" s="1"/>
      <c r="Q128" s="1"/>
      <c r="R128" s="1"/>
      <c r="S128" s="28"/>
      <c r="T128" s="1"/>
      <c r="U128" s="1"/>
      <c r="V128" s="1"/>
      <c r="W128" s="28"/>
      <c r="X128" s="28"/>
      <c r="Y128" s="1"/>
      <c r="Z128" s="30"/>
      <c r="AA128" s="6"/>
      <c r="AB128" s="28"/>
      <c r="AC128" s="28"/>
      <c r="AD128" s="28"/>
      <c r="AE128" s="7"/>
      <c r="AF128" s="28"/>
      <c r="AG128" s="28"/>
      <c r="AH128" s="28"/>
      <c r="AI128" s="28"/>
      <c r="AJ128" s="28"/>
      <c r="AK128" s="28"/>
      <c r="AL128" s="28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s="31" customFormat="1" ht="10.15" hidden="1" customHeight="1" x14ac:dyDescent="0.25">
      <c r="A129" s="27"/>
      <c r="B129" s="27"/>
      <c r="C129" s="1"/>
      <c r="D129" s="1"/>
      <c r="E129" s="1"/>
      <c r="F129" s="1"/>
      <c r="G129" s="1"/>
      <c r="H129" s="28"/>
      <c r="I129" s="28"/>
      <c r="J129" s="1"/>
      <c r="K129" s="29"/>
      <c r="L129" s="28"/>
      <c r="M129" s="1"/>
      <c r="N129" s="1"/>
      <c r="O129" s="1"/>
      <c r="P129" s="1"/>
      <c r="Q129" s="1"/>
      <c r="R129" s="1"/>
      <c r="S129" s="28"/>
      <c r="T129" s="1"/>
      <c r="U129" s="1"/>
      <c r="V129" s="1"/>
      <c r="W129" s="28"/>
      <c r="X129" s="28"/>
      <c r="Y129" s="1"/>
      <c r="Z129" s="30"/>
      <c r="AA129" s="6"/>
      <c r="AB129" s="28"/>
      <c r="AC129" s="28"/>
      <c r="AD129" s="28"/>
      <c r="AE129" s="7"/>
      <c r="AF129" s="28"/>
      <c r="AG129" s="28"/>
      <c r="AH129" s="28"/>
      <c r="AI129" s="28"/>
      <c r="AJ129" s="28"/>
      <c r="AK129" s="28"/>
      <c r="AL129" s="28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s="31" customFormat="1" ht="10.15" hidden="1" customHeight="1" x14ac:dyDescent="0.25">
      <c r="A130" s="27"/>
      <c r="B130" s="27"/>
      <c r="C130" s="1"/>
      <c r="D130" s="1"/>
      <c r="E130" s="1"/>
      <c r="F130" s="1"/>
      <c r="G130" s="1"/>
      <c r="H130" s="28"/>
      <c r="I130" s="28"/>
      <c r="J130" s="1"/>
      <c r="K130" s="29"/>
      <c r="L130" s="28"/>
      <c r="M130" s="1"/>
      <c r="N130" s="1"/>
      <c r="O130" s="1"/>
      <c r="P130" s="1"/>
      <c r="Q130" s="1"/>
      <c r="R130" s="1"/>
      <c r="S130" s="28"/>
      <c r="T130" s="1"/>
      <c r="U130" s="1"/>
      <c r="V130" s="1"/>
      <c r="W130" s="28"/>
      <c r="X130" s="28"/>
      <c r="Y130" s="1"/>
      <c r="Z130" s="30"/>
      <c r="AA130" s="6"/>
      <c r="AB130" s="28"/>
      <c r="AC130" s="28"/>
      <c r="AD130" s="28"/>
      <c r="AE130" s="7"/>
      <c r="AF130" s="28"/>
      <c r="AG130" s="28"/>
      <c r="AH130" s="28"/>
      <c r="AI130" s="28"/>
      <c r="AJ130" s="28"/>
      <c r="AK130" s="28"/>
      <c r="AL130" s="28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ht="10.15" customHeight="1" x14ac:dyDescent="0.25">
      <c r="A131" s="44">
        <f>1+A127</f>
        <v>33</v>
      </c>
      <c r="B131" s="50"/>
      <c r="C131" s="57"/>
      <c r="D131" s="57"/>
      <c r="E131" s="34" t="str">
        <f>+AQ131</f>
        <v/>
      </c>
      <c r="F131" s="60"/>
      <c r="G131" s="34" t="str">
        <f>+AV131</f>
        <v>000100</v>
      </c>
      <c r="H131" s="35">
        <f>+AK131</f>
        <v>0</v>
      </c>
      <c r="I131" s="35">
        <f>+ROUND(AD131,2)</f>
        <v>0</v>
      </c>
      <c r="J131" s="57"/>
      <c r="K131" s="36">
        <f>+AE131</f>
        <v>0</v>
      </c>
      <c r="L131" s="35">
        <f>+AJ131</f>
        <v>0</v>
      </c>
      <c r="M131" s="37" t="s">
        <v>37</v>
      </c>
      <c r="N131" s="68"/>
      <c r="O131" s="57"/>
      <c r="P131" s="38" t="e">
        <f>+VLOOKUP(C131,Hoja1!$A$4:$C$57,3,FALSE)</f>
        <v>#N/A</v>
      </c>
      <c r="Q131" s="37" t="s">
        <v>38</v>
      </c>
      <c r="R131" s="68"/>
      <c r="S131" s="35" t="str">
        <f>(RIGHT(O131,7))</f>
        <v/>
      </c>
      <c r="T131" s="68"/>
      <c r="U131" s="37" t="s">
        <v>39</v>
      </c>
      <c r="V131" s="37" t="s">
        <v>40</v>
      </c>
      <c r="W131" s="35">
        <f>+AI131</f>
        <v>0</v>
      </c>
      <c r="X131" s="35">
        <f>+AJ131</f>
        <v>0</v>
      </c>
      <c r="Y131" s="33" t="s">
        <v>41</v>
      </c>
      <c r="Z131" s="39">
        <f>+F131</f>
        <v>0</v>
      </c>
      <c r="AA131" s="40"/>
      <c r="AB131" s="65"/>
      <c r="AC131" s="35">
        <v>0</v>
      </c>
      <c r="AD131" s="35">
        <f t="shared" ref="AD131" si="128">+AB131+AC131</f>
        <v>0</v>
      </c>
      <c r="AE131" s="67"/>
      <c r="AF131" s="35">
        <f>+AB131*AE131</f>
        <v>0</v>
      </c>
      <c r="AG131" s="35">
        <f>+AC131*AE131</f>
        <v>0</v>
      </c>
      <c r="AH131" s="35">
        <f>+AD131*AE131</f>
        <v>0</v>
      </c>
      <c r="AI131" s="35">
        <f t="shared" ref="AI131" si="129">+ROUND(AF131,2)</f>
        <v>0</v>
      </c>
      <c r="AJ131" s="35">
        <f t="shared" ref="AJ131" si="130">+ROUND(AG131,2)</f>
        <v>0</v>
      </c>
      <c r="AK131" s="35">
        <f t="shared" ref="AK131" si="131">+ROUND(AH131,2)</f>
        <v>0</v>
      </c>
      <c r="AL131" s="35">
        <f>+AI131+AJ131-AK131</f>
        <v>0</v>
      </c>
      <c r="AM131" s="62"/>
      <c r="AN131" s="35" t="str">
        <f>+LEFT(AM131,2)</f>
        <v/>
      </c>
      <c r="AO131" s="35" t="str">
        <f>+MID(AM131,4,2)</f>
        <v/>
      </c>
      <c r="AP131" s="35" t="str">
        <f>+RIGHT(AM131,2)</f>
        <v/>
      </c>
      <c r="AQ131" s="35" t="str">
        <f>+CONCATENATE(AN131,AO131,AP131)</f>
        <v/>
      </c>
      <c r="AR131" s="41">
        <f>AM131+_xlfn.XLOOKUP(C131,Hoja1!A:A,Hoja1!B:B)</f>
        <v>0</v>
      </c>
      <c r="AS131" s="42">
        <f>+DAY(AR131)</f>
        <v>0</v>
      </c>
      <c r="AT131" s="35">
        <f>+MONTH(AR131)</f>
        <v>1</v>
      </c>
      <c r="AU131" s="35">
        <f>+YEAR(AR131)</f>
        <v>1900</v>
      </c>
      <c r="AV131" s="35" t="str">
        <f>+CONCATENATE(TEXT(AS131,"00"),TEXT(AT131,"00"),RIGHT(AU131,2))</f>
        <v>000100</v>
      </c>
    </row>
    <row r="132" spans="1:48" s="31" customFormat="1" ht="10.15" hidden="1" customHeight="1" x14ac:dyDescent="0.25">
      <c r="A132" s="27"/>
      <c r="B132" s="27"/>
      <c r="C132" s="1"/>
      <c r="D132" s="1"/>
      <c r="E132" s="1"/>
      <c r="F132" s="1"/>
      <c r="G132" s="1"/>
      <c r="H132" s="28"/>
      <c r="I132" s="28"/>
      <c r="J132" s="1"/>
      <c r="K132" s="29"/>
      <c r="L132" s="28"/>
      <c r="M132" s="1"/>
      <c r="N132" s="1"/>
      <c r="O132" s="1"/>
      <c r="P132" s="1"/>
      <c r="Q132" s="1"/>
      <c r="R132" s="1"/>
      <c r="S132" s="28"/>
      <c r="T132" s="1"/>
      <c r="U132" s="1"/>
      <c r="V132" s="1"/>
      <c r="W132" s="28"/>
      <c r="X132" s="28"/>
      <c r="Y132" s="1"/>
      <c r="Z132" s="30"/>
      <c r="AA132" s="6"/>
      <c r="AB132" s="28"/>
      <c r="AC132" s="28"/>
      <c r="AD132" s="28"/>
      <c r="AE132" s="7"/>
      <c r="AF132" s="28"/>
      <c r="AG132" s="28"/>
      <c r="AH132" s="28"/>
      <c r="AI132" s="28"/>
      <c r="AJ132" s="28"/>
      <c r="AK132" s="28"/>
      <c r="AL132" s="28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s="31" customFormat="1" ht="10.15" hidden="1" customHeight="1" x14ac:dyDescent="0.25">
      <c r="A133" s="27"/>
      <c r="B133" s="27"/>
      <c r="C133" s="1"/>
      <c r="D133" s="1"/>
      <c r="E133" s="1"/>
      <c r="F133" s="1"/>
      <c r="G133" s="1"/>
      <c r="H133" s="28"/>
      <c r="I133" s="28"/>
      <c r="J133" s="1"/>
      <c r="K133" s="29"/>
      <c r="L133" s="28"/>
      <c r="M133" s="1"/>
      <c r="N133" s="1"/>
      <c r="O133" s="1"/>
      <c r="P133" s="1"/>
      <c r="Q133" s="1"/>
      <c r="R133" s="1"/>
      <c r="S133" s="28"/>
      <c r="T133" s="1"/>
      <c r="U133" s="1"/>
      <c r="V133" s="1"/>
      <c r="W133" s="28"/>
      <c r="X133" s="28"/>
      <c r="Y133" s="1"/>
      <c r="Z133" s="30"/>
      <c r="AA133" s="6"/>
      <c r="AB133" s="28"/>
      <c r="AC133" s="28"/>
      <c r="AD133" s="28"/>
      <c r="AE133" s="7"/>
      <c r="AF133" s="28"/>
      <c r="AG133" s="28"/>
      <c r="AH133" s="28"/>
      <c r="AI133" s="28"/>
      <c r="AJ133" s="28"/>
      <c r="AK133" s="28"/>
      <c r="AL133" s="28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s="31" customFormat="1" ht="10.15" hidden="1" customHeight="1" x14ac:dyDescent="0.25">
      <c r="A134" s="27"/>
      <c r="B134" s="27"/>
      <c r="C134" s="1"/>
      <c r="D134" s="1"/>
      <c r="E134" s="1"/>
      <c r="F134" s="1"/>
      <c r="G134" s="1"/>
      <c r="H134" s="28"/>
      <c r="I134" s="28"/>
      <c r="J134" s="1"/>
      <c r="K134" s="29"/>
      <c r="L134" s="28"/>
      <c r="M134" s="1"/>
      <c r="N134" s="1"/>
      <c r="O134" s="1"/>
      <c r="P134" s="1"/>
      <c r="Q134" s="1"/>
      <c r="R134" s="1"/>
      <c r="S134" s="28"/>
      <c r="T134" s="1"/>
      <c r="U134" s="1"/>
      <c r="V134" s="1"/>
      <c r="W134" s="28"/>
      <c r="X134" s="28"/>
      <c r="Y134" s="1"/>
      <c r="Z134" s="30"/>
      <c r="AA134" s="6"/>
      <c r="AB134" s="28"/>
      <c r="AC134" s="28"/>
      <c r="AD134" s="28"/>
      <c r="AE134" s="7"/>
      <c r="AF134" s="28"/>
      <c r="AG134" s="28"/>
      <c r="AH134" s="28"/>
      <c r="AI134" s="28"/>
      <c r="AJ134" s="28"/>
      <c r="AK134" s="28"/>
      <c r="AL134" s="28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ht="10.15" customHeight="1" x14ac:dyDescent="0.25">
      <c r="A135" s="44">
        <f>1+A131</f>
        <v>34</v>
      </c>
      <c r="B135" s="38"/>
      <c r="C135" s="57"/>
      <c r="D135" s="57"/>
      <c r="E135" s="34" t="str">
        <f>+AQ135</f>
        <v/>
      </c>
      <c r="F135" s="60"/>
      <c r="G135" s="34" t="str">
        <f>+AV135</f>
        <v>000100</v>
      </c>
      <c r="H135" s="35">
        <f>+AK135</f>
        <v>0</v>
      </c>
      <c r="I135" s="35">
        <f>+ROUND(AD135,2)</f>
        <v>0</v>
      </c>
      <c r="J135" s="57"/>
      <c r="K135" s="36">
        <f>+AE135</f>
        <v>0</v>
      </c>
      <c r="L135" s="35">
        <f>+AJ135</f>
        <v>0</v>
      </c>
      <c r="M135" s="37" t="s">
        <v>37</v>
      </c>
      <c r="N135" s="68"/>
      <c r="O135" s="57"/>
      <c r="P135" s="38" t="e">
        <f>+VLOOKUP(C135,Hoja1!$A$4:$C$57,3,FALSE)</f>
        <v>#N/A</v>
      </c>
      <c r="Q135" s="37" t="s">
        <v>38</v>
      </c>
      <c r="R135" s="68"/>
      <c r="S135" s="35" t="str">
        <f>(RIGHT(O135,7))</f>
        <v/>
      </c>
      <c r="T135" s="68"/>
      <c r="U135" s="37" t="s">
        <v>39</v>
      </c>
      <c r="V135" s="37" t="s">
        <v>40</v>
      </c>
      <c r="W135" s="35">
        <f>+AI135</f>
        <v>0</v>
      </c>
      <c r="X135" s="35">
        <f>+AJ135</f>
        <v>0</v>
      </c>
      <c r="Y135" s="33" t="s">
        <v>41</v>
      </c>
      <c r="Z135" s="39">
        <f>+F135</f>
        <v>0</v>
      </c>
      <c r="AA135" s="40"/>
      <c r="AB135" s="65"/>
      <c r="AC135" s="35">
        <v>0</v>
      </c>
      <c r="AD135" s="35">
        <f t="shared" ref="AD135" si="132">+AB135+AC135</f>
        <v>0</v>
      </c>
      <c r="AE135" s="67"/>
      <c r="AF135" s="35">
        <f>+AB135*AE135</f>
        <v>0</v>
      </c>
      <c r="AG135" s="35">
        <f>+AC135*AE135</f>
        <v>0</v>
      </c>
      <c r="AH135" s="35">
        <f>+AD135*AE135</f>
        <v>0</v>
      </c>
      <c r="AI135" s="35">
        <f t="shared" ref="AI135" si="133">+ROUND(AF135,2)</f>
        <v>0</v>
      </c>
      <c r="AJ135" s="35">
        <f t="shared" ref="AJ135" si="134">+ROUND(AG135,2)</f>
        <v>0</v>
      </c>
      <c r="AK135" s="35">
        <f t="shared" ref="AK135" si="135">+ROUND(AH135,2)</f>
        <v>0</v>
      </c>
      <c r="AL135" s="35">
        <f>+AI135+AJ135-AK135</f>
        <v>0</v>
      </c>
      <c r="AM135" s="62"/>
      <c r="AN135" s="35" t="str">
        <f>+LEFT(AM135,2)</f>
        <v/>
      </c>
      <c r="AO135" s="35" t="str">
        <f>+MID(AM135,4,2)</f>
        <v/>
      </c>
      <c r="AP135" s="35" t="str">
        <f>+RIGHT(AM135,2)</f>
        <v/>
      </c>
      <c r="AQ135" s="35" t="str">
        <f>+CONCATENATE(AN135,AO135,AP135)</f>
        <v/>
      </c>
      <c r="AR135" s="41">
        <f>AM135+_xlfn.XLOOKUP(C135,Hoja1!A:A,Hoja1!B:B)</f>
        <v>0</v>
      </c>
      <c r="AS135" s="42">
        <f>+DAY(AR135)</f>
        <v>0</v>
      </c>
      <c r="AT135" s="35">
        <f>+MONTH(AR135)</f>
        <v>1</v>
      </c>
      <c r="AU135" s="35">
        <f>+YEAR(AR135)</f>
        <v>1900</v>
      </c>
      <c r="AV135" s="35" t="str">
        <f>+CONCATENATE(TEXT(AS135,"00"),TEXT(AT135,"00"),RIGHT(AU135,2))</f>
        <v>000100</v>
      </c>
    </row>
    <row r="136" spans="1:48" s="31" customFormat="1" ht="10.15" hidden="1" customHeight="1" x14ac:dyDescent="0.25">
      <c r="A136" s="27"/>
      <c r="B136" s="27"/>
      <c r="C136" s="1"/>
      <c r="D136" s="1"/>
      <c r="E136" s="1"/>
      <c r="F136" s="1"/>
      <c r="G136" s="1"/>
      <c r="H136" s="28"/>
      <c r="I136" s="28"/>
      <c r="J136" s="1"/>
      <c r="K136" s="29"/>
      <c r="L136" s="28"/>
      <c r="M136" s="1"/>
      <c r="N136" s="1"/>
      <c r="O136" s="1"/>
      <c r="P136" s="1"/>
      <c r="Q136" s="1"/>
      <c r="R136" s="1"/>
      <c r="S136" s="28"/>
      <c r="T136" s="1"/>
      <c r="U136" s="1"/>
      <c r="V136" s="1"/>
      <c r="W136" s="28"/>
      <c r="X136" s="28"/>
      <c r="Y136" s="1"/>
      <c r="Z136" s="30"/>
      <c r="AA136" s="6"/>
      <c r="AB136" s="28"/>
      <c r="AC136" s="28"/>
      <c r="AD136" s="28"/>
      <c r="AE136" s="7"/>
      <c r="AF136" s="28"/>
      <c r="AG136" s="28"/>
      <c r="AH136" s="28"/>
      <c r="AI136" s="28"/>
      <c r="AJ136" s="28"/>
      <c r="AK136" s="28"/>
      <c r="AL136" s="28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s="31" customFormat="1" ht="10.15" hidden="1" customHeight="1" x14ac:dyDescent="0.25">
      <c r="A137" s="27"/>
      <c r="B137" s="27"/>
      <c r="C137" s="1"/>
      <c r="D137" s="1"/>
      <c r="E137" s="1"/>
      <c r="F137" s="1"/>
      <c r="G137" s="1"/>
      <c r="H137" s="28"/>
      <c r="I137" s="28"/>
      <c r="J137" s="1"/>
      <c r="K137" s="29"/>
      <c r="L137" s="28"/>
      <c r="M137" s="1"/>
      <c r="N137" s="1"/>
      <c r="O137" s="1"/>
      <c r="P137" s="1"/>
      <c r="Q137" s="1"/>
      <c r="R137" s="1"/>
      <c r="S137" s="28"/>
      <c r="T137" s="1"/>
      <c r="U137" s="1"/>
      <c r="V137" s="1"/>
      <c r="W137" s="28"/>
      <c r="X137" s="28"/>
      <c r="Y137" s="1"/>
      <c r="Z137" s="30"/>
      <c r="AA137" s="6"/>
      <c r="AB137" s="28"/>
      <c r="AC137" s="28"/>
      <c r="AD137" s="28"/>
      <c r="AE137" s="7"/>
      <c r="AF137" s="28"/>
      <c r="AG137" s="28"/>
      <c r="AH137" s="28"/>
      <c r="AI137" s="28"/>
      <c r="AJ137" s="28"/>
      <c r="AK137" s="28"/>
      <c r="AL137" s="28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s="31" customFormat="1" ht="10.15" hidden="1" customHeight="1" x14ac:dyDescent="0.25">
      <c r="A138" s="27"/>
      <c r="B138" s="27"/>
      <c r="C138" s="1"/>
      <c r="D138" s="1"/>
      <c r="E138" s="1"/>
      <c r="F138" s="1"/>
      <c r="G138" s="1"/>
      <c r="H138" s="28"/>
      <c r="I138" s="28"/>
      <c r="J138" s="1"/>
      <c r="K138" s="29"/>
      <c r="L138" s="28"/>
      <c r="M138" s="1"/>
      <c r="N138" s="1"/>
      <c r="O138" s="1"/>
      <c r="P138" s="1"/>
      <c r="Q138" s="1"/>
      <c r="R138" s="1"/>
      <c r="S138" s="28"/>
      <c r="T138" s="1"/>
      <c r="U138" s="1"/>
      <c r="V138" s="1"/>
      <c r="W138" s="28"/>
      <c r="X138" s="28"/>
      <c r="Y138" s="1"/>
      <c r="Z138" s="30"/>
      <c r="AA138" s="6"/>
      <c r="AB138" s="28"/>
      <c r="AC138" s="28"/>
      <c r="AD138" s="28"/>
      <c r="AE138" s="7"/>
      <c r="AF138" s="28"/>
      <c r="AG138" s="28"/>
      <c r="AH138" s="28"/>
      <c r="AI138" s="28"/>
      <c r="AJ138" s="28"/>
      <c r="AK138" s="28"/>
      <c r="AL138" s="28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ht="10.15" customHeight="1" x14ac:dyDescent="0.25">
      <c r="A139" s="44">
        <f>1+A135</f>
        <v>35</v>
      </c>
      <c r="B139" s="38"/>
      <c r="C139" s="57"/>
      <c r="D139" s="57"/>
      <c r="E139" s="34" t="str">
        <f>+AQ139</f>
        <v/>
      </c>
      <c r="F139" s="60"/>
      <c r="G139" s="34" t="str">
        <f>+AV139</f>
        <v>000100</v>
      </c>
      <c r="H139" s="35">
        <f>+AK139</f>
        <v>0</v>
      </c>
      <c r="I139" s="35">
        <f>+ROUND(AD139,2)</f>
        <v>0</v>
      </c>
      <c r="J139" s="57"/>
      <c r="K139" s="36">
        <f>+AE139</f>
        <v>0</v>
      </c>
      <c r="L139" s="35">
        <f>+AJ139</f>
        <v>0</v>
      </c>
      <c r="M139" s="37" t="s">
        <v>37</v>
      </c>
      <c r="N139" s="68"/>
      <c r="O139" s="57"/>
      <c r="P139" s="38" t="e">
        <f>+VLOOKUP(C139,Hoja1!$A$4:$C$57,3,FALSE)</f>
        <v>#N/A</v>
      </c>
      <c r="Q139" s="37" t="s">
        <v>38</v>
      </c>
      <c r="R139" s="68"/>
      <c r="S139" s="35" t="str">
        <f>(RIGHT(O139,7))</f>
        <v/>
      </c>
      <c r="T139" s="68"/>
      <c r="U139" s="37" t="s">
        <v>39</v>
      </c>
      <c r="V139" s="37" t="s">
        <v>40</v>
      </c>
      <c r="W139" s="35">
        <f>+AI139</f>
        <v>0</v>
      </c>
      <c r="X139" s="35">
        <f>+AJ139</f>
        <v>0</v>
      </c>
      <c r="Y139" s="33" t="s">
        <v>41</v>
      </c>
      <c r="Z139" s="39">
        <f>+F139</f>
        <v>0</v>
      </c>
      <c r="AA139" s="40"/>
      <c r="AB139" s="65"/>
      <c r="AC139" s="35">
        <v>0</v>
      </c>
      <c r="AD139" s="35">
        <f t="shared" ref="AD139" si="136">+AB139+AC139</f>
        <v>0</v>
      </c>
      <c r="AE139" s="67"/>
      <c r="AF139" s="35">
        <f>+AB139*AE139</f>
        <v>0</v>
      </c>
      <c r="AG139" s="35">
        <f>+AC139*AE139</f>
        <v>0</v>
      </c>
      <c r="AH139" s="35">
        <f>+AD139*AE139</f>
        <v>0</v>
      </c>
      <c r="AI139" s="35">
        <f t="shared" ref="AI139" si="137">+ROUND(AF139,2)</f>
        <v>0</v>
      </c>
      <c r="AJ139" s="35">
        <f t="shared" ref="AJ139" si="138">+ROUND(AG139,2)</f>
        <v>0</v>
      </c>
      <c r="AK139" s="35">
        <f t="shared" ref="AK139" si="139">+ROUND(AH139,2)</f>
        <v>0</v>
      </c>
      <c r="AL139" s="35">
        <f>+AI139+AJ139-AK139</f>
        <v>0</v>
      </c>
      <c r="AM139" s="63"/>
      <c r="AN139" s="35" t="str">
        <f>+LEFT(AM139,2)</f>
        <v/>
      </c>
      <c r="AO139" s="35" t="str">
        <f>+MID(AM139,4,2)</f>
        <v/>
      </c>
      <c r="AP139" s="35" t="str">
        <f>+RIGHT(AM139,2)</f>
        <v/>
      </c>
      <c r="AQ139" s="35" t="str">
        <f>+CONCATENATE(AN139,AO139,AP139)</f>
        <v/>
      </c>
      <c r="AR139" s="41">
        <f>AM139+_xlfn.XLOOKUP(C139,Hoja1!A:A,Hoja1!B:B)</f>
        <v>0</v>
      </c>
      <c r="AS139" s="42">
        <f>+DAY(AR139)</f>
        <v>0</v>
      </c>
      <c r="AT139" s="35">
        <f>+MONTH(AR139)</f>
        <v>1</v>
      </c>
      <c r="AU139" s="35">
        <f>+YEAR(AR139)</f>
        <v>1900</v>
      </c>
      <c r="AV139" s="35" t="str">
        <f>+CONCATENATE(TEXT(AS139,"00"),TEXT(AT139,"00"),RIGHT(AU139,2))</f>
        <v>000100</v>
      </c>
    </row>
    <row r="140" spans="1:48" s="31" customFormat="1" ht="10.15" hidden="1" customHeight="1" x14ac:dyDescent="0.25">
      <c r="A140" s="27"/>
      <c r="B140" s="27"/>
      <c r="C140" s="1"/>
      <c r="D140" s="1"/>
      <c r="E140" s="1"/>
      <c r="F140" s="1"/>
      <c r="G140" s="1"/>
      <c r="H140" s="28"/>
      <c r="I140" s="28"/>
      <c r="J140" s="1"/>
      <c r="K140" s="29"/>
      <c r="L140" s="28"/>
      <c r="M140" s="1"/>
      <c r="N140" s="1"/>
      <c r="O140" s="1"/>
      <c r="P140" s="1"/>
      <c r="Q140" s="1"/>
      <c r="R140" s="1"/>
      <c r="S140" s="28"/>
      <c r="T140" s="1"/>
      <c r="U140" s="1"/>
      <c r="V140" s="1"/>
      <c r="W140" s="28"/>
      <c r="X140" s="28"/>
      <c r="Y140" s="1"/>
      <c r="Z140" s="30"/>
      <c r="AA140" s="6"/>
      <c r="AB140" s="28"/>
      <c r="AC140" s="28"/>
      <c r="AD140" s="28"/>
      <c r="AE140" s="7"/>
      <c r="AF140" s="28"/>
      <c r="AG140" s="28"/>
      <c r="AH140" s="28"/>
      <c r="AI140" s="28"/>
      <c r="AJ140" s="28"/>
      <c r="AK140" s="28"/>
      <c r="AL140" s="28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s="31" customFormat="1" ht="10.15" hidden="1" customHeight="1" x14ac:dyDescent="0.25">
      <c r="A141" s="27"/>
      <c r="B141" s="27"/>
      <c r="C141" s="1"/>
      <c r="D141" s="1"/>
      <c r="E141" s="1"/>
      <c r="F141" s="1"/>
      <c r="G141" s="1"/>
      <c r="H141" s="28"/>
      <c r="I141" s="28"/>
      <c r="J141" s="1"/>
      <c r="K141" s="29"/>
      <c r="L141" s="28"/>
      <c r="M141" s="1"/>
      <c r="N141" s="1"/>
      <c r="O141" s="1"/>
      <c r="P141" s="1"/>
      <c r="Q141" s="1"/>
      <c r="R141" s="1"/>
      <c r="S141" s="28"/>
      <c r="T141" s="1"/>
      <c r="U141" s="1"/>
      <c r="V141" s="1"/>
      <c r="W141" s="28"/>
      <c r="X141" s="28"/>
      <c r="Y141" s="1"/>
      <c r="Z141" s="30"/>
      <c r="AA141" s="6"/>
      <c r="AB141" s="28"/>
      <c r="AC141" s="28"/>
      <c r="AD141" s="28"/>
      <c r="AE141" s="7"/>
      <c r="AF141" s="28"/>
      <c r="AG141" s="28"/>
      <c r="AH141" s="28"/>
      <c r="AI141" s="28"/>
      <c r="AJ141" s="28"/>
      <c r="AK141" s="28"/>
      <c r="AL141" s="28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s="31" customFormat="1" ht="10.15" hidden="1" customHeight="1" x14ac:dyDescent="0.25">
      <c r="A142" s="27"/>
      <c r="B142" s="27"/>
      <c r="C142" s="1"/>
      <c r="D142" s="1"/>
      <c r="E142" s="1"/>
      <c r="F142" s="1"/>
      <c r="G142" s="1"/>
      <c r="H142" s="28"/>
      <c r="I142" s="28"/>
      <c r="J142" s="1"/>
      <c r="K142" s="29"/>
      <c r="L142" s="28"/>
      <c r="M142" s="1"/>
      <c r="N142" s="1"/>
      <c r="O142" s="1"/>
      <c r="P142" s="1"/>
      <c r="Q142" s="1"/>
      <c r="R142" s="1"/>
      <c r="S142" s="28"/>
      <c r="T142" s="1"/>
      <c r="U142" s="1"/>
      <c r="V142" s="1"/>
      <c r="W142" s="28"/>
      <c r="X142" s="28"/>
      <c r="Y142" s="1"/>
      <c r="Z142" s="30"/>
      <c r="AA142" s="6"/>
      <c r="AB142" s="28"/>
      <c r="AC142" s="28"/>
      <c r="AD142" s="28"/>
      <c r="AE142" s="7"/>
      <c r="AF142" s="28"/>
      <c r="AG142" s="28"/>
      <c r="AH142" s="28"/>
      <c r="AI142" s="28"/>
      <c r="AJ142" s="28"/>
      <c r="AK142" s="28"/>
      <c r="AL142" s="28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ht="10.15" customHeight="1" x14ac:dyDescent="0.25">
      <c r="A143" s="44">
        <f>1+A139</f>
        <v>36</v>
      </c>
      <c r="B143" s="50"/>
      <c r="C143" s="57"/>
      <c r="D143" s="57"/>
      <c r="E143" s="34" t="str">
        <f>+AQ143</f>
        <v/>
      </c>
      <c r="F143" s="60"/>
      <c r="G143" s="34" t="str">
        <f>+AV143</f>
        <v>000100</v>
      </c>
      <c r="H143" s="35">
        <f>+AK143</f>
        <v>0</v>
      </c>
      <c r="I143" s="35">
        <f>+ROUND(AD143,2)</f>
        <v>0</v>
      </c>
      <c r="J143" s="57"/>
      <c r="K143" s="36">
        <f>+AE143</f>
        <v>0</v>
      </c>
      <c r="L143" s="35">
        <f>+AJ143</f>
        <v>0</v>
      </c>
      <c r="M143" s="37" t="s">
        <v>37</v>
      </c>
      <c r="N143" s="68"/>
      <c r="O143" s="57"/>
      <c r="P143" s="38" t="e">
        <f>+VLOOKUP(C143,Hoja1!$A$4:$C$57,3,FALSE)</f>
        <v>#N/A</v>
      </c>
      <c r="Q143" s="37" t="s">
        <v>38</v>
      </c>
      <c r="R143" s="68"/>
      <c r="S143" s="35" t="str">
        <f>(RIGHT(O143,7))</f>
        <v/>
      </c>
      <c r="T143" s="68"/>
      <c r="U143" s="37" t="s">
        <v>39</v>
      </c>
      <c r="V143" s="37" t="s">
        <v>40</v>
      </c>
      <c r="W143" s="35">
        <f>+AI143</f>
        <v>0</v>
      </c>
      <c r="X143" s="35">
        <f>+AJ143</f>
        <v>0</v>
      </c>
      <c r="Y143" s="33" t="s">
        <v>41</v>
      </c>
      <c r="Z143" s="39">
        <f>+F143</f>
        <v>0</v>
      </c>
      <c r="AA143" s="40"/>
      <c r="AB143" s="65"/>
      <c r="AC143" s="35">
        <v>0</v>
      </c>
      <c r="AD143" s="35">
        <f t="shared" ref="AD143" si="140">+AB143+AC143</f>
        <v>0</v>
      </c>
      <c r="AE143" s="67"/>
      <c r="AF143" s="35">
        <f>+AB143*AE143</f>
        <v>0</v>
      </c>
      <c r="AG143" s="35">
        <f>+AC143*AE143</f>
        <v>0</v>
      </c>
      <c r="AH143" s="35">
        <f>+AD143*AE143</f>
        <v>0</v>
      </c>
      <c r="AI143" s="35">
        <f t="shared" ref="AI143" si="141">+ROUND(AF143,2)</f>
        <v>0</v>
      </c>
      <c r="AJ143" s="35">
        <f t="shared" ref="AJ143" si="142">+ROUND(AG143,2)</f>
        <v>0</v>
      </c>
      <c r="AK143" s="35">
        <f t="shared" ref="AK143" si="143">+ROUND(AH143,2)</f>
        <v>0</v>
      </c>
      <c r="AL143" s="35">
        <f>+AI143+AJ143-AK143</f>
        <v>0</v>
      </c>
      <c r="AM143" s="62"/>
      <c r="AN143" s="35" t="str">
        <f>+LEFT(AM143,2)</f>
        <v/>
      </c>
      <c r="AO143" s="35" t="str">
        <f>+MID(AM143,4,2)</f>
        <v/>
      </c>
      <c r="AP143" s="35" t="str">
        <f>+RIGHT(AM143,2)</f>
        <v/>
      </c>
      <c r="AQ143" s="35" t="str">
        <f>+CONCATENATE(AN143,AO143,AP143)</f>
        <v/>
      </c>
      <c r="AR143" s="41">
        <f>AM143+_xlfn.XLOOKUP(C143,Hoja1!A:A,Hoja1!B:B)</f>
        <v>0</v>
      </c>
      <c r="AS143" s="42">
        <f>+DAY(AR143)</f>
        <v>0</v>
      </c>
      <c r="AT143" s="35">
        <f>+MONTH(AR143)</f>
        <v>1</v>
      </c>
      <c r="AU143" s="35">
        <f>+YEAR(AR143)</f>
        <v>1900</v>
      </c>
      <c r="AV143" s="35" t="str">
        <f>+CONCATENATE(TEXT(AS143,"00"),TEXT(AT143,"00"),RIGHT(AU143,2))</f>
        <v>000100</v>
      </c>
    </row>
    <row r="144" spans="1:48" s="31" customFormat="1" ht="10.15" hidden="1" customHeight="1" x14ac:dyDescent="0.25">
      <c r="A144" s="27"/>
      <c r="B144" s="27"/>
      <c r="C144" s="1"/>
      <c r="D144" s="1"/>
      <c r="E144" s="1"/>
      <c r="F144" s="1"/>
      <c r="G144" s="1"/>
      <c r="H144" s="28"/>
      <c r="I144" s="28"/>
      <c r="J144" s="1"/>
      <c r="K144" s="29"/>
      <c r="L144" s="28"/>
      <c r="M144" s="1"/>
      <c r="N144" s="1"/>
      <c r="O144" s="1"/>
      <c r="P144" s="1"/>
      <c r="Q144" s="1"/>
      <c r="R144" s="1"/>
      <c r="S144" s="28"/>
      <c r="T144" s="1"/>
      <c r="U144" s="1"/>
      <c r="V144" s="1"/>
      <c r="W144" s="28"/>
      <c r="X144" s="28"/>
      <c r="Y144" s="1"/>
      <c r="Z144" s="30"/>
      <c r="AA144" s="6"/>
      <c r="AB144" s="28"/>
      <c r="AC144" s="28"/>
      <c r="AD144" s="28"/>
      <c r="AE144" s="7"/>
      <c r="AF144" s="28"/>
      <c r="AG144" s="28"/>
      <c r="AH144" s="28"/>
      <c r="AI144" s="28"/>
      <c r="AJ144" s="28"/>
      <c r="AK144" s="28"/>
      <c r="AL144" s="28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s="31" customFormat="1" ht="10.15" hidden="1" customHeight="1" x14ac:dyDescent="0.25">
      <c r="A145" s="27"/>
      <c r="B145" s="27"/>
      <c r="C145" s="1"/>
      <c r="D145" s="1"/>
      <c r="E145" s="1"/>
      <c r="F145" s="1"/>
      <c r="G145" s="1"/>
      <c r="H145" s="28"/>
      <c r="I145" s="28"/>
      <c r="J145" s="1"/>
      <c r="K145" s="29"/>
      <c r="L145" s="28"/>
      <c r="M145" s="1"/>
      <c r="N145" s="1"/>
      <c r="O145" s="1"/>
      <c r="P145" s="1"/>
      <c r="Q145" s="1"/>
      <c r="R145" s="1"/>
      <c r="S145" s="28"/>
      <c r="T145" s="1"/>
      <c r="U145" s="1"/>
      <c r="V145" s="1"/>
      <c r="W145" s="28"/>
      <c r="X145" s="28"/>
      <c r="Y145" s="1"/>
      <c r="Z145" s="30"/>
      <c r="AA145" s="6"/>
      <c r="AB145" s="28"/>
      <c r="AC145" s="28"/>
      <c r="AD145" s="28"/>
      <c r="AE145" s="7"/>
      <c r="AF145" s="28"/>
      <c r="AG145" s="28"/>
      <c r="AH145" s="28"/>
      <c r="AI145" s="28"/>
      <c r="AJ145" s="28"/>
      <c r="AK145" s="28"/>
      <c r="AL145" s="28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s="31" customFormat="1" ht="10.15" hidden="1" customHeight="1" x14ac:dyDescent="0.25">
      <c r="A146" s="27"/>
      <c r="B146" s="27"/>
      <c r="C146" s="1"/>
      <c r="D146" s="1"/>
      <c r="E146" s="1"/>
      <c r="F146" s="1"/>
      <c r="G146" s="1"/>
      <c r="H146" s="28"/>
      <c r="I146" s="28"/>
      <c r="J146" s="1"/>
      <c r="K146" s="29"/>
      <c r="L146" s="28"/>
      <c r="M146" s="1"/>
      <c r="N146" s="1"/>
      <c r="O146" s="1"/>
      <c r="P146" s="1"/>
      <c r="Q146" s="1"/>
      <c r="R146" s="1"/>
      <c r="S146" s="28"/>
      <c r="T146" s="1"/>
      <c r="U146" s="1"/>
      <c r="V146" s="1"/>
      <c r="W146" s="28"/>
      <c r="X146" s="28"/>
      <c r="Y146" s="1"/>
      <c r="Z146" s="30"/>
      <c r="AA146" s="6"/>
      <c r="AB146" s="28"/>
      <c r="AC146" s="28"/>
      <c r="AD146" s="28"/>
      <c r="AE146" s="7"/>
      <c r="AF146" s="28"/>
      <c r="AG146" s="28"/>
      <c r="AH146" s="28"/>
      <c r="AI146" s="28"/>
      <c r="AJ146" s="28"/>
      <c r="AK146" s="28"/>
      <c r="AL146" s="28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ht="10.15" customHeight="1" x14ac:dyDescent="0.25">
      <c r="A147" s="44">
        <f>1+A143</f>
        <v>37</v>
      </c>
      <c r="B147" s="50"/>
      <c r="C147" s="57"/>
      <c r="D147" s="57"/>
      <c r="E147" s="34" t="str">
        <f>+AQ147</f>
        <v/>
      </c>
      <c r="F147" s="60"/>
      <c r="G147" s="34" t="str">
        <f>+AV147</f>
        <v>000100</v>
      </c>
      <c r="H147" s="35">
        <f>+AK147</f>
        <v>0</v>
      </c>
      <c r="I147" s="35">
        <f>+ROUND(AD147,2)</f>
        <v>0</v>
      </c>
      <c r="J147" s="57"/>
      <c r="K147" s="36">
        <f>+AE147</f>
        <v>0</v>
      </c>
      <c r="L147" s="35">
        <f>+AJ147</f>
        <v>0</v>
      </c>
      <c r="M147" s="37" t="s">
        <v>37</v>
      </c>
      <c r="N147" s="68"/>
      <c r="O147" s="57"/>
      <c r="P147" s="38" t="e">
        <f>+VLOOKUP(C147,Hoja1!$A$4:$C$57,3,FALSE)</f>
        <v>#N/A</v>
      </c>
      <c r="Q147" s="37" t="s">
        <v>38</v>
      </c>
      <c r="R147" s="68"/>
      <c r="S147" s="35" t="str">
        <f>(RIGHT(O147,7))</f>
        <v/>
      </c>
      <c r="T147" s="68"/>
      <c r="U147" s="37" t="s">
        <v>39</v>
      </c>
      <c r="V147" s="37" t="s">
        <v>40</v>
      </c>
      <c r="W147" s="35">
        <f>+AI147</f>
        <v>0</v>
      </c>
      <c r="X147" s="35">
        <f>+AJ147</f>
        <v>0</v>
      </c>
      <c r="Y147" s="33" t="s">
        <v>41</v>
      </c>
      <c r="Z147" s="39">
        <f>+F147</f>
        <v>0</v>
      </c>
      <c r="AA147" s="40"/>
      <c r="AB147" s="65"/>
      <c r="AC147" s="35">
        <v>0</v>
      </c>
      <c r="AD147" s="35">
        <f t="shared" ref="AD147" si="144">+AB147+AC147</f>
        <v>0</v>
      </c>
      <c r="AE147" s="67"/>
      <c r="AF147" s="35">
        <f>+AB147*AE147</f>
        <v>0</v>
      </c>
      <c r="AG147" s="35">
        <f>+AC147*AE147</f>
        <v>0</v>
      </c>
      <c r="AH147" s="35">
        <f>+AD147*AE147</f>
        <v>0</v>
      </c>
      <c r="AI147" s="35">
        <f t="shared" ref="AI147" si="145">+ROUND(AF147,2)</f>
        <v>0</v>
      </c>
      <c r="AJ147" s="35">
        <f t="shared" ref="AJ147" si="146">+ROUND(AG147,2)</f>
        <v>0</v>
      </c>
      <c r="AK147" s="35">
        <f t="shared" ref="AK147" si="147">+ROUND(AH147,2)</f>
        <v>0</v>
      </c>
      <c r="AL147" s="35">
        <f>+AI147+AJ147-AK147</f>
        <v>0</v>
      </c>
      <c r="AM147" s="63"/>
      <c r="AN147" s="35" t="str">
        <f>+LEFT(AM147,2)</f>
        <v/>
      </c>
      <c r="AO147" s="35" t="str">
        <f>+MID(AM147,4,2)</f>
        <v/>
      </c>
      <c r="AP147" s="35" t="str">
        <f>+RIGHT(AM147,2)</f>
        <v/>
      </c>
      <c r="AQ147" s="35" t="str">
        <f>+CONCATENATE(AN147,AO147,AP147)</f>
        <v/>
      </c>
      <c r="AR147" s="41">
        <f>AM147+_xlfn.XLOOKUP(C147,Hoja1!A:A,Hoja1!B:B)</f>
        <v>0</v>
      </c>
      <c r="AS147" s="42">
        <f>+DAY(AR147)</f>
        <v>0</v>
      </c>
      <c r="AT147" s="35">
        <f>+MONTH(AR147)</f>
        <v>1</v>
      </c>
      <c r="AU147" s="35">
        <f>+YEAR(AR147)</f>
        <v>1900</v>
      </c>
      <c r="AV147" s="35" t="str">
        <f>+CONCATENATE(TEXT(AS147,"00"),TEXT(AT147,"00"),RIGHT(AU147,2))</f>
        <v>000100</v>
      </c>
    </row>
    <row r="148" spans="1:48" s="31" customFormat="1" ht="10.15" hidden="1" customHeight="1" x14ac:dyDescent="0.25">
      <c r="A148" s="27"/>
      <c r="B148" s="27"/>
      <c r="C148" s="1"/>
      <c r="D148" s="1"/>
      <c r="E148" s="1"/>
      <c r="F148" s="1"/>
      <c r="G148" s="1"/>
      <c r="H148" s="28"/>
      <c r="I148" s="28"/>
      <c r="J148" s="1"/>
      <c r="K148" s="29"/>
      <c r="L148" s="28"/>
      <c r="M148" s="1"/>
      <c r="N148" s="1"/>
      <c r="O148" s="1"/>
      <c r="P148" s="1"/>
      <c r="Q148" s="1"/>
      <c r="R148" s="1"/>
      <c r="S148" s="28"/>
      <c r="T148" s="1"/>
      <c r="U148" s="1"/>
      <c r="V148" s="1"/>
      <c r="W148" s="28"/>
      <c r="X148" s="28"/>
      <c r="Y148" s="1"/>
      <c r="Z148" s="30"/>
      <c r="AA148" s="6"/>
      <c r="AB148" s="28"/>
      <c r="AC148" s="28"/>
      <c r="AD148" s="28"/>
      <c r="AE148" s="7"/>
      <c r="AF148" s="28"/>
      <c r="AG148" s="28"/>
      <c r="AH148" s="28"/>
      <c r="AI148" s="28"/>
      <c r="AJ148" s="28"/>
      <c r="AK148" s="28"/>
      <c r="AL148" s="28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s="31" customFormat="1" ht="10.15" hidden="1" customHeight="1" x14ac:dyDescent="0.25">
      <c r="A149" s="27"/>
      <c r="B149" s="27"/>
      <c r="C149" s="1"/>
      <c r="D149" s="1"/>
      <c r="E149" s="1"/>
      <c r="F149" s="1"/>
      <c r="G149" s="1"/>
      <c r="H149" s="28"/>
      <c r="I149" s="28"/>
      <c r="J149" s="1"/>
      <c r="K149" s="29"/>
      <c r="L149" s="28"/>
      <c r="M149" s="1"/>
      <c r="N149" s="1"/>
      <c r="O149" s="1"/>
      <c r="P149" s="1"/>
      <c r="Q149" s="1"/>
      <c r="R149" s="1"/>
      <c r="S149" s="28"/>
      <c r="T149" s="1"/>
      <c r="U149" s="1"/>
      <c r="V149" s="1"/>
      <c r="W149" s="28"/>
      <c r="X149" s="28"/>
      <c r="Y149" s="1"/>
      <c r="Z149" s="30"/>
      <c r="AA149" s="6"/>
      <c r="AB149" s="28"/>
      <c r="AC149" s="28"/>
      <c r="AD149" s="28"/>
      <c r="AE149" s="7"/>
      <c r="AF149" s="28"/>
      <c r="AG149" s="28"/>
      <c r="AH149" s="28"/>
      <c r="AI149" s="28"/>
      <c r="AJ149" s="28"/>
      <c r="AK149" s="28"/>
      <c r="AL149" s="28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s="31" customFormat="1" ht="10.15" hidden="1" customHeight="1" x14ac:dyDescent="0.25">
      <c r="A150" s="27"/>
      <c r="B150" s="27"/>
      <c r="C150" s="1"/>
      <c r="D150" s="1"/>
      <c r="E150" s="1"/>
      <c r="F150" s="1"/>
      <c r="G150" s="1"/>
      <c r="H150" s="28"/>
      <c r="I150" s="28"/>
      <c r="J150" s="1"/>
      <c r="K150" s="29"/>
      <c r="L150" s="28"/>
      <c r="M150" s="1"/>
      <c r="N150" s="1"/>
      <c r="O150" s="1"/>
      <c r="P150" s="1"/>
      <c r="Q150" s="1"/>
      <c r="R150" s="1"/>
      <c r="S150" s="28"/>
      <c r="T150" s="1"/>
      <c r="U150" s="1"/>
      <c r="V150" s="1"/>
      <c r="W150" s="28"/>
      <c r="X150" s="28"/>
      <c r="Y150" s="1"/>
      <c r="Z150" s="30"/>
      <c r="AA150" s="6"/>
      <c r="AB150" s="28"/>
      <c r="AC150" s="28"/>
      <c r="AD150" s="28"/>
      <c r="AE150" s="7"/>
      <c r="AF150" s="28"/>
      <c r="AG150" s="28"/>
      <c r="AH150" s="28"/>
      <c r="AI150" s="28"/>
      <c r="AJ150" s="28"/>
      <c r="AK150" s="28"/>
      <c r="AL150" s="28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ht="10.15" customHeight="1" x14ac:dyDescent="0.25">
      <c r="A151" s="44">
        <f>1+A147</f>
        <v>38</v>
      </c>
      <c r="B151" s="38"/>
      <c r="C151" s="57"/>
      <c r="D151" s="57"/>
      <c r="E151" s="34" t="str">
        <f>+AQ151</f>
        <v/>
      </c>
      <c r="F151" s="60"/>
      <c r="G151" s="34" t="str">
        <f>+AV151</f>
        <v>000100</v>
      </c>
      <c r="H151" s="35">
        <f>+AK151</f>
        <v>0</v>
      </c>
      <c r="I151" s="35">
        <f>+ROUND(AD151,2)</f>
        <v>0</v>
      </c>
      <c r="J151" s="57"/>
      <c r="K151" s="36">
        <f>+AE151</f>
        <v>0</v>
      </c>
      <c r="L151" s="35">
        <f>+AJ151</f>
        <v>0</v>
      </c>
      <c r="M151" s="37" t="s">
        <v>37</v>
      </c>
      <c r="N151" s="68"/>
      <c r="O151" s="57"/>
      <c r="P151" s="38" t="e">
        <f>+VLOOKUP(C151,Hoja1!$A$4:$C$57,3,FALSE)</f>
        <v>#N/A</v>
      </c>
      <c r="Q151" s="37" t="s">
        <v>38</v>
      </c>
      <c r="R151" s="68"/>
      <c r="S151" s="35" t="str">
        <f>(RIGHT(O151,7))</f>
        <v/>
      </c>
      <c r="T151" s="68"/>
      <c r="U151" s="37" t="s">
        <v>39</v>
      </c>
      <c r="V151" s="37" t="s">
        <v>40</v>
      </c>
      <c r="W151" s="35">
        <f>+AI151</f>
        <v>0</v>
      </c>
      <c r="X151" s="35">
        <f>+AJ151</f>
        <v>0</v>
      </c>
      <c r="Y151" s="33" t="s">
        <v>41</v>
      </c>
      <c r="Z151" s="39">
        <f>+F151</f>
        <v>0</v>
      </c>
      <c r="AA151" s="40"/>
      <c r="AB151" s="65"/>
      <c r="AC151" s="35">
        <v>0</v>
      </c>
      <c r="AD151" s="35">
        <f t="shared" ref="AD151" si="148">+AB151+AC151</f>
        <v>0</v>
      </c>
      <c r="AE151" s="67"/>
      <c r="AF151" s="35">
        <f>+AB151*AE151</f>
        <v>0</v>
      </c>
      <c r="AG151" s="35">
        <f>+AC151*AE151</f>
        <v>0</v>
      </c>
      <c r="AH151" s="35">
        <f>+AD151*AE151</f>
        <v>0</v>
      </c>
      <c r="AI151" s="35">
        <f t="shared" ref="AI151" si="149">+ROUND(AF151,2)</f>
        <v>0</v>
      </c>
      <c r="AJ151" s="35">
        <f t="shared" ref="AJ151" si="150">+ROUND(AG151,2)</f>
        <v>0</v>
      </c>
      <c r="AK151" s="35">
        <f t="shared" ref="AK151" si="151">+ROUND(AH151,2)</f>
        <v>0</v>
      </c>
      <c r="AL151" s="35">
        <f>+AI151+AJ151-AK151</f>
        <v>0</v>
      </c>
      <c r="AM151" s="62"/>
      <c r="AN151" s="35" t="str">
        <f>+LEFT(AM151,2)</f>
        <v/>
      </c>
      <c r="AO151" s="35" t="str">
        <f>+MID(AM151,4,2)</f>
        <v/>
      </c>
      <c r="AP151" s="35" t="str">
        <f>+RIGHT(AM151,2)</f>
        <v/>
      </c>
      <c r="AQ151" s="35" t="str">
        <f>+CONCATENATE(AN151,AO151,AP151)</f>
        <v/>
      </c>
      <c r="AR151" s="41">
        <f>AM151+_xlfn.XLOOKUP(C151,Hoja1!A:A,Hoja1!B:B)</f>
        <v>0</v>
      </c>
      <c r="AS151" s="42">
        <f>+DAY(AR151)</f>
        <v>0</v>
      </c>
      <c r="AT151" s="35">
        <f>+MONTH(AR151)</f>
        <v>1</v>
      </c>
      <c r="AU151" s="35">
        <f>+YEAR(AR151)</f>
        <v>1900</v>
      </c>
      <c r="AV151" s="35" t="str">
        <f>+CONCATENATE(TEXT(AS151,"00"),TEXT(AT151,"00"),RIGHT(AU151,2))</f>
        <v>000100</v>
      </c>
    </row>
    <row r="152" spans="1:48" s="31" customFormat="1" ht="10.15" hidden="1" customHeight="1" x14ac:dyDescent="0.25">
      <c r="A152" s="27"/>
      <c r="B152" s="27"/>
      <c r="C152" s="1"/>
      <c r="D152" s="1"/>
      <c r="E152" s="1"/>
      <c r="F152" s="1"/>
      <c r="G152" s="1"/>
      <c r="H152" s="28"/>
      <c r="I152" s="28"/>
      <c r="J152" s="1"/>
      <c r="K152" s="29"/>
      <c r="L152" s="28"/>
      <c r="M152" s="1"/>
      <c r="N152" s="1"/>
      <c r="O152" s="1"/>
      <c r="P152" s="1"/>
      <c r="Q152" s="1"/>
      <c r="R152" s="1"/>
      <c r="S152" s="28"/>
      <c r="T152" s="1"/>
      <c r="U152" s="1"/>
      <c r="V152" s="1"/>
      <c r="W152" s="28"/>
      <c r="X152" s="28"/>
      <c r="Y152" s="1"/>
      <c r="Z152" s="30"/>
      <c r="AA152" s="6"/>
      <c r="AB152" s="28"/>
      <c r="AC152" s="28"/>
      <c r="AD152" s="28"/>
      <c r="AE152" s="7"/>
      <c r="AF152" s="28"/>
      <c r="AG152" s="28"/>
      <c r="AH152" s="28"/>
      <c r="AI152" s="28"/>
      <c r="AJ152" s="28"/>
      <c r="AK152" s="28"/>
      <c r="AL152" s="28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s="31" customFormat="1" ht="10.15" hidden="1" customHeight="1" x14ac:dyDescent="0.25">
      <c r="A153" s="27"/>
      <c r="B153" s="27"/>
      <c r="C153" s="1"/>
      <c r="D153" s="1"/>
      <c r="E153" s="1"/>
      <c r="F153" s="1"/>
      <c r="G153" s="1"/>
      <c r="H153" s="28"/>
      <c r="I153" s="28"/>
      <c r="J153" s="1"/>
      <c r="K153" s="29"/>
      <c r="L153" s="28"/>
      <c r="M153" s="1"/>
      <c r="N153" s="1"/>
      <c r="O153" s="1"/>
      <c r="P153" s="1"/>
      <c r="Q153" s="1"/>
      <c r="R153" s="1"/>
      <c r="S153" s="28"/>
      <c r="T153" s="1"/>
      <c r="U153" s="1"/>
      <c r="V153" s="1"/>
      <c r="W153" s="28"/>
      <c r="X153" s="28"/>
      <c r="Y153" s="1"/>
      <c r="Z153" s="30"/>
      <c r="AA153" s="6"/>
      <c r="AB153" s="28"/>
      <c r="AC153" s="28"/>
      <c r="AD153" s="28"/>
      <c r="AE153" s="7"/>
      <c r="AF153" s="28"/>
      <c r="AG153" s="28"/>
      <c r="AH153" s="28"/>
      <c r="AI153" s="28"/>
      <c r="AJ153" s="28"/>
      <c r="AK153" s="28"/>
      <c r="AL153" s="28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s="31" customFormat="1" ht="10.15" hidden="1" customHeight="1" x14ac:dyDescent="0.25">
      <c r="A154" s="27"/>
      <c r="B154" s="27"/>
      <c r="C154" s="1"/>
      <c r="D154" s="1"/>
      <c r="E154" s="1"/>
      <c r="F154" s="1"/>
      <c r="G154" s="1"/>
      <c r="H154" s="28"/>
      <c r="I154" s="28"/>
      <c r="J154" s="1"/>
      <c r="K154" s="29"/>
      <c r="L154" s="28"/>
      <c r="M154" s="1"/>
      <c r="N154" s="1"/>
      <c r="O154" s="1"/>
      <c r="P154" s="1"/>
      <c r="Q154" s="1"/>
      <c r="R154" s="1"/>
      <c r="S154" s="28"/>
      <c r="T154" s="1"/>
      <c r="U154" s="1"/>
      <c r="V154" s="1"/>
      <c r="W154" s="28"/>
      <c r="X154" s="28"/>
      <c r="Y154" s="1"/>
      <c r="Z154" s="30"/>
      <c r="AA154" s="6"/>
      <c r="AB154" s="28"/>
      <c r="AC154" s="28"/>
      <c r="AD154" s="28"/>
      <c r="AE154" s="7"/>
      <c r="AF154" s="28"/>
      <c r="AG154" s="28"/>
      <c r="AH154" s="28"/>
      <c r="AI154" s="28"/>
      <c r="AJ154" s="28"/>
      <c r="AK154" s="28"/>
      <c r="AL154" s="28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ht="10.15" customHeight="1" x14ac:dyDescent="0.25">
      <c r="A155" s="44">
        <f>1+A151</f>
        <v>39</v>
      </c>
      <c r="B155" s="38"/>
      <c r="C155" s="57"/>
      <c r="D155" s="57"/>
      <c r="E155" s="34" t="str">
        <f>+AQ155</f>
        <v/>
      </c>
      <c r="F155" s="60"/>
      <c r="G155" s="34" t="str">
        <f>+AV155</f>
        <v>000100</v>
      </c>
      <c r="H155" s="35">
        <f>+AK155</f>
        <v>0</v>
      </c>
      <c r="I155" s="35">
        <f>+ROUND(AD155,2)</f>
        <v>0</v>
      </c>
      <c r="J155" s="57"/>
      <c r="K155" s="36">
        <f>+AE155</f>
        <v>0</v>
      </c>
      <c r="L155" s="35">
        <f>+AJ155</f>
        <v>0</v>
      </c>
      <c r="M155" s="37" t="s">
        <v>37</v>
      </c>
      <c r="N155" s="68"/>
      <c r="O155" s="57"/>
      <c r="P155" s="38" t="e">
        <f>+VLOOKUP(C155,Hoja1!$A$4:$C$57,3,FALSE)</f>
        <v>#N/A</v>
      </c>
      <c r="Q155" s="37" t="s">
        <v>38</v>
      </c>
      <c r="R155" s="68"/>
      <c r="S155" s="35" t="str">
        <f>(RIGHT(O155,7))</f>
        <v/>
      </c>
      <c r="T155" s="68"/>
      <c r="U155" s="37" t="s">
        <v>39</v>
      </c>
      <c r="V155" s="37" t="s">
        <v>40</v>
      </c>
      <c r="W155" s="35">
        <f>+AI155</f>
        <v>0</v>
      </c>
      <c r="X155" s="35">
        <f>+AJ155</f>
        <v>0</v>
      </c>
      <c r="Y155" s="33" t="s">
        <v>41</v>
      </c>
      <c r="Z155" s="39">
        <f>+F155</f>
        <v>0</v>
      </c>
      <c r="AA155" s="40"/>
      <c r="AB155" s="65"/>
      <c r="AC155" s="35">
        <v>0</v>
      </c>
      <c r="AD155" s="35">
        <f t="shared" ref="AD155" si="152">+AB155+AC155</f>
        <v>0</v>
      </c>
      <c r="AE155" s="67"/>
      <c r="AF155" s="35">
        <f>+AB155*AE155</f>
        <v>0</v>
      </c>
      <c r="AG155" s="35">
        <f>+AC155*AE155</f>
        <v>0</v>
      </c>
      <c r="AH155" s="35">
        <f>+AD155*AE155</f>
        <v>0</v>
      </c>
      <c r="AI155" s="35">
        <f t="shared" ref="AI155" si="153">+ROUND(AF155,2)</f>
        <v>0</v>
      </c>
      <c r="AJ155" s="35">
        <f t="shared" ref="AJ155" si="154">+ROUND(AG155,2)</f>
        <v>0</v>
      </c>
      <c r="AK155" s="35">
        <f t="shared" ref="AK155" si="155">+ROUND(AH155,2)</f>
        <v>0</v>
      </c>
      <c r="AL155" s="35">
        <f>+AI155+AJ155-AK155</f>
        <v>0</v>
      </c>
      <c r="AM155" s="62"/>
      <c r="AN155" s="35" t="str">
        <f>+LEFT(AM155,2)</f>
        <v/>
      </c>
      <c r="AO155" s="35" t="str">
        <f>+MID(AM155,4,2)</f>
        <v/>
      </c>
      <c r="AP155" s="35" t="str">
        <f>+RIGHT(AM155,2)</f>
        <v/>
      </c>
      <c r="AQ155" s="35" t="str">
        <f>+CONCATENATE(AN155,AO155,AP155)</f>
        <v/>
      </c>
      <c r="AR155" s="41">
        <f>AM155+_xlfn.XLOOKUP(C155,Hoja1!A:A,Hoja1!B:B)</f>
        <v>0</v>
      </c>
      <c r="AS155" s="42">
        <f>+DAY(AR155)</f>
        <v>0</v>
      </c>
      <c r="AT155" s="35">
        <f>+MONTH(AR155)</f>
        <v>1</v>
      </c>
      <c r="AU155" s="35">
        <f>+YEAR(AR155)</f>
        <v>1900</v>
      </c>
      <c r="AV155" s="35" t="str">
        <f>+CONCATENATE(TEXT(AS155,"00"),TEXT(AT155,"00"),RIGHT(AU155,2))</f>
        <v>000100</v>
      </c>
    </row>
    <row r="156" spans="1:48" s="31" customFormat="1" ht="10.15" hidden="1" customHeight="1" x14ac:dyDescent="0.25">
      <c r="A156" s="27"/>
      <c r="B156" s="27"/>
      <c r="C156" s="1"/>
      <c r="D156" s="1"/>
      <c r="E156" s="1"/>
      <c r="F156" s="1"/>
      <c r="G156" s="1"/>
      <c r="H156" s="28"/>
      <c r="I156" s="28"/>
      <c r="J156" s="1"/>
      <c r="K156" s="29"/>
      <c r="L156" s="28"/>
      <c r="M156" s="1"/>
      <c r="N156" s="1"/>
      <c r="O156" s="1"/>
      <c r="P156" s="1"/>
      <c r="Q156" s="1"/>
      <c r="R156" s="1"/>
      <c r="S156" s="28"/>
      <c r="T156" s="1"/>
      <c r="U156" s="1"/>
      <c r="V156" s="1"/>
      <c r="W156" s="28"/>
      <c r="X156" s="28"/>
      <c r="Y156" s="1"/>
      <c r="Z156" s="30"/>
      <c r="AA156" s="6"/>
      <c r="AB156" s="28"/>
      <c r="AC156" s="28"/>
      <c r="AD156" s="28"/>
      <c r="AE156" s="7"/>
      <c r="AF156" s="28"/>
      <c r="AG156" s="28"/>
      <c r="AH156" s="28"/>
      <c r="AI156" s="28"/>
      <c r="AJ156" s="28"/>
      <c r="AK156" s="28"/>
      <c r="AL156" s="28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s="31" customFormat="1" ht="10.15" hidden="1" customHeight="1" x14ac:dyDescent="0.25">
      <c r="A157" s="27"/>
      <c r="B157" s="27"/>
      <c r="C157" s="1"/>
      <c r="D157" s="1"/>
      <c r="E157" s="1"/>
      <c r="F157" s="1"/>
      <c r="G157" s="1"/>
      <c r="H157" s="28"/>
      <c r="I157" s="28"/>
      <c r="J157" s="1"/>
      <c r="K157" s="29"/>
      <c r="L157" s="28"/>
      <c r="M157" s="1"/>
      <c r="N157" s="1"/>
      <c r="O157" s="1"/>
      <c r="P157" s="1"/>
      <c r="Q157" s="1"/>
      <c r="R157" s="1"/>
      <c r="S157" s="28"/>
      <c r="T157" s="1"/>
      <c r="U157" s="1"/>
      <c r="V157" s="1"/>
      <c r="W157" s="28"/>
      <c r="X157" s="28"/>
      <c r="Y157" s="1"/>
      <c r="Z157" s="30"/>
      <c r="AA157" s="6"/>
      <c r="AB157" s="28"/>
      <c r="AC157" s="28"/>
      <c r="AD157" s="28"/>
      <c r="AE157" s="7"/>
      <c r="AF157" s="28"/>
      <c r="AG157" s="28"/>
      <c r="AH157" s="28"/>
      <c r="AI157" s="28"/>
      <c r="AJ157" s="28"/>
      <c r="AK157" s="28"/>
      <c r="AL157" s="28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s="31" customFormat="1" ht="10.15" hidden="1" customHeight="1" x14ac:dyDescent="0.25">
      <c r="A158" s="27"/>
      <c r="B158" s="27"/>
      <c r="C158" s="1"/>
      <c r="D158" s="1"/>
      <c r="E158" s="1"/>
      <c r="F158" s="1"/>
      <c r="G158" s="1"/>
      <c r="H158" s="28"/>
      <c r="I158" s="28"/>
      <c r="J158" s="1"/>
      <c r="K158" s="29"/>
      <c r="L158" s="28"/>
      <c r="M158" s="1"/>
      <c r="N158" s="1"/>
      <c r="O158" s="1"/>
      <c r="P158" s="1"/>
      <c r="Q158" s="1"/>
      <c r="R158" s="1"/>
      <c r="S158" s="28"/>
      <c r="T158" s="1"/>
      <c r="U158" s="1"/>
      <c r="V158" s="1"/>
      <c r="W158" s="28"/>
      <c r="X158" s="28"/>
      <c r="Y158" s="1"/>
      <c r="Z158" s="30"/>
      <c r="AA158" s="6"/>
      <c r="AB158" s="28"/>
      <c r="AC158" s="28"/>
      <c r="AD158" s="28"/>
      <c r="AE158" s="7"/>
      <c r="AF158" s="28"/>
      <c r="AG158" s="28"/>
      <c r="AH158" s="28"/>
      <c r="AI158" s="28"/>
      <c r="AJ158" s="28"/>
      <c r="AK158" s="28"/>
      <c r="AL158" s="28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ht="10.15" customHeight="1" x14ac:dyDescent="0.25">
      <c r="A159" s="44">
        <f>1+A155</f>
        <v>40</v>
      </c>
      <c r="B159" s="38"/>
      <c r="C159" s="57"/>
      <c r="D159" s="57"/>
      <c r="E159" s="34" t="str">
        <f>+AQ159</f>
        <v/>
      </c>
      <c r="F159" s="60"/>
      <c r="G159" s="34" t="str">
        <f>+AV159</f>
        <v>000100</v>
      </c>
      <c r="H159" s="35">
        <f>+AK159</f>
        <v>0</v>
      </c>
      <c r="I159" s="35">
        <f>+ROUND(AD159,2)</f>
        <v>0</v>
      </c>
      <c r="J159" s="57"/>
      <c r="K159" s="36">
        <f>+AE159</f>
        <v>0</v>
      </c>
      <c r="L159" s="35">
        <f>+AJ159</f>
        <v>0</v>
      </c>
      <c r="M159" s="37" t="s">
        <v>37</v>
      </c>
      <c r="N159" s="68"/>
      <c r="O159" s="57"/>
      <c r="P159" s="38" t="e">
        <f>+VLOOKUP(C159,Hoja1!$A$4:$C$57,3,FALSE)</f>
        <v>#N/A</v>
      </c>
      <c r="Q159" s="37" t="s">
        <v>38</v>
      </c>
      <c r="R159" s="68"/>
      <c r="S159" s="35" t="str">
        <f>(RIGHT(O159,7))</f>
        <v/>
      </c>
      <c r="T159" s="68"/>
      <c r="U159" s="37" t="s">
        <v>39</v>
      </c>
      <c r="V159" s="37" t="s">
        <v>40</v>
      </c>
      <c r="W159" s="35">
        <f>+AI159</f>
        <v>0</v>
      </c>
      <c r="X159" s="35">
        <f>+AJ159</f>
        <v>0</v>
      </c>
      <c r="Y159" s="33" t="s">
        <v>41</v>
      </c>
      <c r="Z159" s="39">
        <f>+F159</f>
        <v>0</v>
      </c>
      <c r="AA159" s="40"/>
      <c r="AB159" s="65"/>
      <c r="AC159" s="35">
        <v>0</v>
      </c>
      <c r="AD159" s="35">
        <f t="shared" ref="AD159" si="156">+AB159+AC159</f>
        <v>0</v>
      </c>
      <c r="AE159" s="67"/>
      <c r="AF159" s="35">
        <f>+AB159*AE159</f>
        <v>0</v>
      </c>
      <c r="AG159" s="35">
        <f>+AC159*AE159</f>
        <v>0</v>
      </c>
      <c r="AH159" s="35">
        <f>+AD159*AE159</f>
        <v>0</v>
      </c>
      <c r="AI159" s="35">
        <f t="shared" ref="AI159" si="157">+ROUND(AF159,2)</f>
        <v>0</v>
      </c>
      <c r="AJ159" s="35">
        <f t="shared" ref="AJ159" si="158">+ROUND(AG159,2)</f>
        <v>0</v>
      </c>
      <c r="AK159" s="35">
        <f t="shared" ref="AK159" si="159">+ROUND(AH159,2)</f>
        <v>0</v>
      </c>
      <c r="AL159" s="35">
        <f>+AI159+AJ159-AK159</f>
        <v>0</v>
      </c>
      <c r="AM159" s="62"/>
      <c r="AN159" s="35" t="str">
        <f>+LEFT(AM159,2)</f>
        <v/>
      </c>
      <c r="AO159" s="35" t="str">
        <f>+MID(AM159,4,2)</f>
        <v/>
      </c>
      <c r="AP159" s="35" t="str">
        <f>+RIGHT(AM159,2)</f>
        <v/>
      </c>
      <c r="AQ159" s="35" t="str">
        <f>+CONCATENATE(AN159,AO159,AP159)</f>
        <v/>
      </c>
      <c r="AR159" s="41">
        <f>AM159+_xlfn.XLOOKUP(C159,Hoja1!A:A,Hoja1!B:B)</f>
        <v>0</v>
      </c>
      <c r="AS159" s="42">
        <f>+DAY(AR159)</f>
        <v>0</v>
      </c>
      <c r="AT159" s="35">
        <f>+MONTH(AR159)</f>
        <v>1</v>
      </c>
      <c r="AU159" s="35">
        <f>+YEAR(AR159)</f>
        <v>1900</v>
      </c>
      <c r="AV159" s="35" t="str">
        <f>+CONCATENATE(TEXT(AS159,"00"),TEXT(AT159,"00"),RIGHT(AU159,2))</f>
        <v>000100</v>
      </c>
    </row>
    <row r="160" spans="1:48" s="31" customFormat="1" ht="10.15" hidden="1" customHeight="1" x14ac:dyDescent="0.25">
      <c r="A160" s="27"/>
      <c r="B160" s="27"/>
      <c r="C160" s="1"/>
      <c r="D160" s="1"/>
      <c r="E160" s="1"/>
      <c r="F160" s="1"/>
      <c r="G160" s="1"/>
      <c r="H160" s="28"/>
      <c r="I160" s="28"/>
      <c r="J160" s="1"/>
      <c r="K160" s="29"/>
      <c r="L160" s="28"/>
      <c r="M160" s="1"/>
      <c r="N160" s="1"/>
      <c r="O160" s="1"/>
      <c r="P160" s="1"/>
      <c r="Q160" s="1"/>
      <c r="R160" s="1"/>
      <c r="S160" s="28"/>
      <c r="T160" s="1"/>
      <c r="U160" s="1"/>
      <c r="V160" s="1"/>
      <c r="W160" s="28"/>
      <c r="X160" s="28"/>
      <c r="Y160" s="1"/>
      <c r="Z160" s="30"/>
      <c r="AA160" s="6"/>
      <c r="AB160" s="28"/>
      <c r="AC160" s="28"/>
      <c r="AD160" s="28"/>
      <c r="AE160" s="7"/>
      <c r="AF160" s="28"/>
      <c r="AG160" s="28"/>
      <c r="AH160" s="28"/>
      <c r="AI160" s="28"/>
      <c r="AJ160" s="28"/>
      <c r="AK160" s="28"/>
      <c r="AL160" s="28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s="31" customFormat="1" ht="10.15" hidden="1" customHeight="1" x14ac:dyDescent="0.25">
      <c r="A161" s="27"/>
      <c r="B161" s="27"/>
      <c r="C161" s="1"/>
      <c r="D161" s="1"/>
      <c r="E161" s="1"/>
      <c r="F161" s="1"/>
      <c r="G161" s="1"/>
      <c r="H161" s="28"/>
      <c r="I161" s="28"/>
      <c r="J161" s="1"/>
      <c r="K161" s="29"/>
      <c r="L161" s="28"/>
      <c r="M161" s="1"/>
      <c r="N161" s="1"/>
      <c r="O161" s="1"/>
      <c r="P161" s="1"/>
      <c r="Q161" s="1"/>
      <c r="R161" s="1"/>
      <c r="S161" s="28"/>
      <c r="T161" s="1"/>
      <c r="U161" s="1"/>
      <c r="V161" s="1"/>
      <c r="W161" s="28"/>
      <c r="X161" s="28"/>
      <c r="Y161" s="1"/>
      <c r="Z161" s="30"/>
      <c r="AA161" s="6"/>
      <c r="AB161" s="28"/>
      <c r="AC161" s="28"/>
      <c r="AD161" s="28"/>
      <c r="AE161" s="7"/>
      <c r="AF161" s="28"/>
      <c r="AG161" s="28"/>
      <c r="AH161" s="28"/>
      <c r="AI161" s="28"/>
      <c r="AJ161" s="28"/>
      <c r="AK161" s="28"/>
      <c r="AL161" s="28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s="31" customFormat="1" ht="10.15" hidden="1" customHeight="1" x14ac:dyDescent="0.25">
      <c r="A162" s="27"/>
      <c r="B162" s="27"/>
      <c r="C162" s="1"/>
      <c r="D162" s="1"/>
      <c r="E162" s="1"/>
      <c r="F162" s="1"/>
      <c r="G162" s="1"/>
      <c r="H162" s="28"/>
      <c r="I162" s="28"/>
      <c r="J162" s="1"/>
      <c r="K162" s="29"/>
      <c r="L162" s="28"/>
      <c r="M162" s="1"/>
      <c r="N162" s="1"/>
      <c r="O162" s="1"/>
      <c r="P162" s="1"/>
      <c r="Q162" s="1"/>
      <c r="R162" s="1"/>
      <c r="S162" s="28"/>
      <c r="T162" s="1"/>
      <c r="U162" s="1"/>
      <c r="V162" s="1"/>
      <c r="W162" s="28"/>
      <c r="X162" s="28"/>
      <c r="Y162" s="1"/>
      <c r="Z162" s="30"/>
      <c r="AA162" s="6"/>
      <c r="AB162" s="28"/>
      <c r="AC162" s="28"/>
      <c r="AD162" s="28"/>
      <c r="AE162" s="7"/>
      <c r="AF162" s="28"/>
      <c r="AG162" s="28"/>
      <c r="AH162" s="28"/>
      <c r="AI162" s="28"/>
      <c r="AJ162" s="28"/>
      <c r="AK162" s="28"/>
      <c r="AL162" s="28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ht="10.15" customHeight="1" x14ac:dyDescent="0.25">
      <c r="A163" s="44">
        <f>1+A159</f>
        <v>41</v>
      </c>
      <c r="B163" s="50"/>
      <c r="C163" s="57"/>
      <c r="D163" s="57"/>
      <c r="E163" s="34" t="str">
        <f>+AQ163</f>
        <v/>
      </c>
      <c r="F163" s="60"/>
      <c r="G163" s="34" t="str">
        <f>+AV163</f>
        <v>000100</v>
      </c>
      <c r="H163" s="35">
        <f>+AK163</f>
        <v>0</v>
      </c>
      <c r="I163" s="35">
        <f>+ROUND(AD163,2)</f>
        <v>0</v>
      </c>
      <c r="J163" s="57"/>
      <c r="K163" s="36">
        <f>+AE163</f>
        <v>0</v>
      </c>
      <c r="L163" s="35">
        <f>+AJ163</f>
        <v>0</v>
      </c>
      <c r="M163" s="37" t="s">
        <v>37</v>
      </c>
      <c r="N163" s="68"/>
      <c r="O163" s="57"/>
      <c r="P163" s="38" t="e">
        <f>+VLOOKUP(C163,Hoja1!$A$4:$C$57,3,FALSE)</f>
        <v>#N/A</v>
      </c>
      <c r="Q163" s="37" t="s">
        <v>38</v>
      </c>
      <c r="R163" s="68"/>
      <c r="S163" s="35" t="str">
        <f>(RIGHT(O163,7))</f>
        <v/>
      </c>
      <c r="T163" s="68"/>
      <c r="U163" s="37" t="s">
        <v>39</v>
      </c>
      <c r="V163" s="37" t="s">
        <v>40</v>
      </c>
      <c r="W163" s="35">
        <f>+AI163</f>
        <v>0</v>
      </c>
      <c r="X163" s="35">
        <f>+AJ163</f>
        <v>0</v>
      </c>
      <c r="Y163" s="33" t="s">
        <v>41</v>
      </c>
      <c r="Z163" s="39">
        <f>+F163</f>
        <v>0</v>
      </c>
      <c r="AA163" s="40"/>
      <c r="AB163" s="65"/>
      <c r="AC163" s="35">
        <v>0</v>
      </c>
      <c r="AD163" s="35">
        <f t="shared" ref="AD163" si="160">+AB163+AC163</f>
        <v>0</v>
      </c>
      <c r="AE163" s="67"/>
      <c r="AF163" s="35">
        <f>+AB163*AE163</f>
        <v>0</v>
      </c>
      <c r="AG163" s="35">
        <f>+AC163*AE163</f>
        <v>0</v>
      </c>
      <c r="AH163" s="35">
        <f>+AD163*AE163</f>
        <v>0</v>
      </c>
      <c r="AI163" s="35">
        <f t="shared" ref="AI163" si="161">+ROUND(AF163,2)</f>
        <v>0</v>
      </c>
      <c r="AJ163" s="35">
        <f t="shared" ref="AJ163" si="162">+ROUND(AG163,2)</f>
        <v>0</v>
      </c>
      <c r="AK163" s="35">
        <f t="shared" ref="AK163" si="163">+ROUND(AH163,2)</f>
        <v>0</v>
      </c>
      <c r="AL163" s="35">
        <f>+AI163+AJ163-AK163</f>
        <v>0</v>
      </c>
      <c r="AM163" s="62"/>
      <c r="AN163" s="35" t="str">
        <f>+LEFT(AM163,2)</f>
        <v/>
      </c>
      <c r="AO163" s="35" t="str">
        <f>+MID(AM163,4,2)</f>
        <v/>
      </c>
      <c r="AP163" s="35" t="str">
        <f>+RIGHT(AM163,2)</f>
        <v/>
      </c>
      <c r="AQ163" s="35" t="str">
        <f>+CONCATENATE(AN163,AO163,AP163)</f>
        <v/>
      </c>
      <c r="AR163" s="41">
        <f>AM163+_xlfn.XLOOKUP(C163,Hoja1!A:A,Hoja1!B:B)</f>
        <v>0</v>
      </c>
      <c r="AS163" s="42">
        <f>+DAY(AR163)</f>
        <v>0</v>
      </c>
      <c r="AT163" s="35">
        <f>+MONTH(AR163)</f>
        <v>1</v>
      </c>
      <c r="AU163" s="35">
        <f>+YEAR(AR163)</f>
        <v>1900</v>
      </c>
      <c r="AV163" s="35" t="str">
        <f>+CONCATENATE(TEXT(AS163,"00"),TEXT(AT163,"00"),RIGHT(AU163,2))</f>
        <v>000100</v>
      </c>
    </row>
    <row r="164" spans="1:48" s="31" customFormat="1" ht="10.15" hidden="1" customHeight="1" x14ac:dyDescent="0.25">
      <c r="A164" s="27"/>
      <c r="B164" s="27"/>
      <c r="C164" s="1"/>
      <c r="D164" s="1"/>
      <c r="E164" s="1"/>
      <c r="F164" s="1"/>
      <c r="G164" s="1"/>
      <c r="H164" s="28"/>
      <c r="I164" s="28"/>
      <c r="J164" s="1"/>
      <c r="K164" s="29"/>
      <c r="L164" s="28"/>
      <c r="M164" s="1"/>
      <c r="N164" s="1"/>
      <c r="O164" s="1"/>
      <c r="P164" s="1"/>
      <c r="Q164" s="1"/>
      <c r="R164" s="1"/>
      <c r="S164" s="28"/>
      <c r="T164" s="1"/>
      <c r="U164" s="1"/>
      <c r="V164" s="1"/>
      <c r="W164" s="28"/>
      <c r="X164" s="28"/>
      <c r="Y164" s="1"/>
      <c r="Z164" s="30"/>
      <c r="AA164" s="6"/>
      <c r="AB164" s="28"/>
      <c r="AC164" s="28"/>
      <c r="AD164" s="28"/>
      <c r="AE164" s="7"/>
      <c r="AF164" s="28"/>
      <c r="AG164" s="28"/>
      <c r="AH164" s="28"/>
      <c r="AI164" s="28"/>
      <c r="AJ164" s="28"/>
      <c r="AK164" s="28"/>
      <c r="AL164" s="28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s="31" customFormat="1" ht="10.15" hidden="1" customHeight="1" x14ac:dyDescent="0.25">
      <c r="A165" s="27"/>
      <c r="B165" s="27"/>
      <c r="C165" s="1"/>
      <c r="D165" s="1"/>
      <c r="E165" s="1"/>
      <c r="F165" s="1"/>
      <c r="G165" s="1"/>
      <c r="H165" s="28"/>
      <c r="I165" s="28"/>
      <c r="J165" s="1"/>
      <c r="K165" s="29"/>
      <c r="L165" s="28"/>
      <c r="M165" s="1"/>
      <c r="N165" s="1"/>
      <c r="O165" s="1"/>
      <c r="P165" s="1"/>
      <c r="Q165" s="1"/>
      <c r="R165" s="1"/>
      <c r="S165" s="28"/>
      <c r="T165" s="1"/>
      <c r="U165" s="1"/>
      <c r="V165" s="1"/>
      <c r="W165" s="28"/>
      <c r="X165" s="28"/>
      <c r="Y165" s="1"/>
      <c r="Z165" s="30"/>
      <c r="AA165" s="6"/>
      <c r="AB165" s="28"/>
      <c r="AC165" s="28"/>
      <c r="AD165" s="28"/>
      <c r="AE165" s="7"/>
      <c r="AF165" s="28"/>
      <c r="AG165" s="28"/>
      <c r="AH165" s="28"/>
      <c r="AI165" s="28"/>
      <c r="AJ165" s="28"/>
      <c r="AK165" s="28"/>
      <c r="AL165" s="28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s="31" customFormat="1" ht="10.15" hidden="1" customHeight="1" x14ac:dyDescent="0.25">
      <c r="A166" s="27"/>
      <c r="B166" s="27"/>
      <c r="C166" s="1"/>
      <c r="D166" s="1"/>
      <c r="E166" s="1"/>
      <c r="F166" s="1"/>
      <c r="G166" s="1"/>
      <c r="H166" s="28"/>
      <c r="I166" s="28"/>
      <c r="J166" s="1"/>
      <c r="K166" s="29"/>
      <c r="L166" s="28"/>
      <c r="M166" s="1"/>
      <c r="N166" s="1"/>
      <c r="O166" s="1"/>
      <c r="P166" s="1"/>
      <c r="Q166" s="1"/>
      <c r="R166" s="1"/>
      <c r="S166" s="28"/>
      <c r="T166" s="1"/>
      <c r="U166" s="1"/>
      <c r="V166" s="1"/>
      <c r="W166" s="28"/>
      <c r="X166" s="28"/>
      <c r="Y166" s="1"/>
      <c r="Z166" s="30"/>
      <c r="AA166" s="6"/>
      <c r="AB166" s="28"/>
      <c r="AC166" s="28"/>
      <c r="AD166" s="28"/>
      <c r="AE166" s="7"/>
      <c r="AF166" s="28"/>
      <c r="AG166" s="28"/>
      <c r="AH166" s="28"/>
      <c r="AI166" s="28"/>
      <c r="AJ166" s="28"/>
      <c r="AK166" s="28"/>
      <c r="AL166" s="28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ht="10.15" customHeight="1" x14ac:dyDescent="0.25">
      <c r="A167" s="44">
        <f>1+A163</f>
        <v>42</v>
      </c>
      <c r="B167" s="38"/>
      <c r="C167" s="57"/>
      <c r="D167" s="57"/>
      <c r="E167" s="34" t="str">
        <f>+AQ167</f>
        <v/>
      </c>
      <c r="F167" s="60"/>
      <c r="G167" s="34" t="str">
        <f>+AV167</f>
        <v>000100</v>
      </c>
      <c r="H167" s="35">
        <f>+AK167</f>
        <v>0</v>
      </c>
      <c r="I167" s="35">
        <f>+ROUND(AD167,2)</f>
        <v>0</v>
      </c>
      <c r="J167" s="57"/>
      <c r="K167" s="36">
        <f>+AE167</f>
        <v>0</v>
      </c>
      <c r="L167" s="35">
        <f>+AJ167</f>
        <v>0</v>
      </c>
      <c r="M167" s="37" t="s">
        <v>37</v>
      </c>
      <c r="N167" s="68"/>
      <c r="O167" s="57"/>
      <c r="P167" s="38" t="e">
        <f>+VLOOKUP(C167,Hoja1!$A$4:$C$57,3,FALSE)</f>
        <v>#N/A</v>
      </c>
      <c r="Q167" s="37" t="s">
        <v>38</v>
      </c>
      <c r="R167" s="68"/>
      <c r="S167" s="35" t="str">
        <f>(RIGHT(O167,7))</f>
        <v/>
      </c>
      <c r="T167" s="68"/>
      <c r="U167" s="37" t="s">
        <v>39</v>
      </c>
      <c r="V167" s="37" t="s">
        <v>40</v>
      </c>
      <c r="W167" s="35">
        <f>+AI167</f>
        <v>0</v>
      </c>
      <c r="X167" s="35">
        <f>+AJ167</f>
        <v>0</v>
      </c>
      <c r="Y167" s="33" t="s">
        <v>41</v>
      </c>
      <c r="Z167" s="39">
        <f>+F167</f>
        <v>0</v>
      </c>
      <c r="AA167" s="40"/>
      <c r="AB167" s="65"/>
      <c r="AC167" s="35">
        <v>0</v>
      </c>
      <c r="AD167" s="35">
        <f t="shared" ref="AD167" si="164">+AB167+AC167</f>
        <v>0</v>
      </c>
      <c r="AE167" s="67"/>
      <c r="AF167" s="35">
        <f>+AB167*AE167</f>
        <v>0</v>
      </c>
      <c r="AG167" s="35">
        <f>+AC167*AE167</f>
        <v>0</v>
      </c>
      <c r="AH167" s="35">
        <f>+AD167*AE167</f>
        <v>0</v>
      </c>
      <c r="AI167" s="35">
        <f t="shared" ref="AI167" si="165">+ROUND(AF167,2)</f>
        <v>0</v>
      </c>
      <c r="AJ167" s="35">
        <f t="shared" ref="AJ167" si="166">+ROUND(AG167,2)</f>
        <v>0</v>
      </c>
      <c r="AK167" s="35">
        <f t="shared" ref="AK167" si="167">+ROUND(AH167,2)</f>
        <v>0</v>
      </c>
      <c r="AL167" s="35">
        <f>+AI167+AJ167-AK167</f>
        <v>0</v>
      </c>
      <c r="AM167" s="62"/>
      <c r="AN167" s="35" t="str">
        <f>+LEFT(AM167,2)</f>
        <v/>
      </c>
      <c r="AO167" s="35" t="str">
        <f>+MID(AM167,4,2)</f>
        <v/>
      </c>
      <c r="AP167" s="35" t="str">
        <f>+RIGHT(AM167,2)</f>
        <v/>
      </c>
      <c r="AQ167" s="35" t="str">
        <f>+CONCATENATE(AN167,AO167,AP167)</f>
        <v/>
      </c>
      <c r="AR167" s="41">
        <f>AM167+_xlfn.XLOOKUP(C167,Hoja1!A:A,Hoja1!B:B)</f>
        <v>0</v>
      </c>
      <c r="AS167" s="42">
        <f>+DAY(AR167)</f>
        <v>0</v>
      </c>
      <c r="AT167" s="35">
        <f>+MONTH(AR167)</f>
        <v>1</v>
      </c>
      <c r="AU167" s="35">
        <f>+YEAR(AR167)</f>
        <v>1900</v>
      </c>
      <c r="AV167" s="35" t="str">
        <f>+CONCATENATE(TEXT(AS167,"00"),TEXT(AT167,"00"),RIGHT(AU167,2))</f>
        <v>000100</v>
      </c>
    </row>
    <row r="168" spans="1:48" s="31" customFormat="1" ht="10.15" hidden="1" customHeight="1" x14ac:dyDescent="0.25">
      <c r="A168" s="27"/>
      <c r="B168" s="27"/>
      <c r="C168" s="1"/>
      <c r="D168" s="1"/>
      <c r="E168" s="1"/>
      <c r="F168" s="1"/>
      <c r="G168" s="1"/>
      <c r="H168" s="28"/>
      <c r="I168" s="28"/>
      <c r="J168" s="1"/>
      <c r="K168" s="29"/>
      <c r="L168" s="28"/>
      <c r="M168" s="1"/>
      <c r="N168" s="1"/>
      <c r="O168" s="1"/>
      <c r="P168" s="1"/>
      <c r="Q168" s="1"/>
      <c r="R168" s="1"/>
      <c r="S168" s="28"/>
      <c r="T168" s="1"/>
      <c r="U168" s="1"/>
      <c r="V168" s="1"/>
      <c r="W168" s="28"/>
      <c r="X168" s="28"/>
      <c r="Y168" s="1"/>
      <c r="Z168" s="30"/>
      <c r="AA168" s="6"/>
      <c r="AB168" s="28"/>
      <c r="AC168" s="28"/>
      <c r="AD168" s="28"/>
      <c r="AE168" s="7"/>
      <c r="AF168" s="28"/>
      <c r="AG168" s="28"/>
      <c r="AH168" s="28"/>
      <c r="AI168" s="28"/>
      <c r="AJ168" s="28"/>
      <c r="AK168" s="28"/>
      <c r="AL168" s="28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s="31" customFormat="1" ht="10.15" hidden="1" customHeight="1" x14ac:dyDescent="0.25">
      <c r="A169" s="27"/>
      <c r="B169" s="27"/>
      <c r="C169" s="1"/>
      <c r="D169" s="1"/>
      <c r="E169" s="1"/>
      <c r="F169" s="1"/>
      <c r="G169" s="1"/>
      <c r="H169" s="28"/>
      <c r="I169" s="28"/>
      <c r="J169" s="1"/>
      <c r="K169" s="29"/>
      <c r="L169" s="28"/>
      <c r="M169" s="1"/>
      <c r="N169" s="1"/>
      <c r="O169" s="1"/>
      <c r="P169" s="1"/>
      <c r="Q169" s="1"/>
      <c r="R169" s="1"/>
      <c r="S169" s="28"/>
      <c r="T169" s="1"/>
      <c r="U169" s="1"/>
      <c r="V169" s="1"/>
      <c r="W169" s="28"/>
      <c r="X169" s="28"/>
      <c r="Y169" s="1"/>
      <c r="Z169" s="30"/>
      <c r="AA169" s="6"/>
      <c r="AB169" s="28"/>
      <c r="AC169" s="28"/>
      <c r="AD169" s="28"/>
      <c r="AE169" s="7"/>
      <c r="AF169" s="28"/>
      <c r="AG169" s="28"/>
      <c r="AH169" s="28"/>
      <c r="AI169" s="28"/>
      <c r="AJ169" s="28"/>
      <c r="AK169" s="28"/>
      <c r="AL169" s="28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s="31" customFormat="1" ht="10.15" hidden="1" customHeight="1" x14ac:dyDescent="0.25">
      <c r="A170" s="27"/>
      <c r="B170" s="27"/>
      <c r="C170" s="1"/>
      <c r="D170" s="1"/>
      <c r="E170" s="1"/>
      <c r="F170" s="1"/>
      <c r="G170" s="1"/>
      <c r="H170" s="28"/>
      <c r="I170" s="28"/>
      <c r="J170" s="1"/>
      <c r="K170" s="29"/>
      <c r="L170" s="28"/>
      <c r="M170" s="1"/>
      <c r="N170" s="1"/>
      <c r="O170" s="1"/>
      <c r="P170" s="1"/>
      <c r="Q170" s="1"/>
      <c r="R170" s="1"/>
      <c r="S170" s="28"/>
      <c r="T170" s="1"/>
      <c r="U170" s="1"/>
      <c r="V170" s="1"/>
      <c r="W170" s="28"/>
      <c r="X170" s="28"/>
      <c r="Y170" s="1"/>
      <c r="Z170" s="30"/>
      <c r="AA170" s="6"/>
      <c r="AB170" s="28"/>
      <c r="AC170" s="28"/>
      <c r="AD170" s="28"/>
      <c r="AE170" s="7"/>
      <c r="AF170" s="28"/>
      <c r="AG170" s="28"/>
      <c r="AH170" s="28"/>
      <c r="AI170" s="28"/>
      <c r="AJ170" s="28"/>
      <c r="AK170" s="28"/>
      <c r="AL170" s="28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ht="10.15" customHeight="1" x14ac:dyDescent="0.25">
      <c r="A171" s="44">
        <f>1+A167</f>
        <v>43</v>
      </c>
      <c r="B171" s="38"/>
      <c r="C171" s="57"/>
      <c r="D171" s="57"/>
      <c r="E171" s="34" t="str">
        <f>+AQ171</f>
        <v/>
      </c>
      <c r="F171" s="60"/>
      <c r="G171" s="34" t="str">
        <f>+AV171</f>
        <v>000100</v>
      </c>
      <c r="H171" s="35">
        <f>+AK171</f>
        <v>0</v>
      </c>
      <c r="I171" s="35">
        <f>+ROUND(AD171,2)</f>
        <v>0</v>
      </c>
      <c r="J171" s="57"/>
      <c r="K171" s="36">
        <f>+AE171</f>
        <v>0</v>
      </c>
      <c r="L171" s="35">
        <f>+AJ171</f>
        <v>0</v>
      </c>
      <c r="M171" s="37" t="s">
        <v>37</v>
      </c>
      <c r="N171" s="68"/>
      <c r="O171" s="57"/>
      <c r="P171" s="38" t="e">
        <f>+VLOOKUP(C171,Hoja1!$A$4:$C$57,3,FALSE)</f>
        <v>#N/A</v>
      </c>
      <c r="Q171" s="37" t="s">
        <v>38</v>
      </c>
      <c r="R171" s="68"/>
      <c r="S171" s="35" t="str">
        <f>(RIGHT(O171,7))</f>
        <v/>
      </c>
      <c r="T171" s="68"/>
      <c r="U171" s="37" t="s">
        <v>39</v>
      </c>
      <c r="V171" s="37" t="s">
        <v>40</v>
      </c>
      <c r="W171" s="35">
        <f>+AI171</f>
        <v>0</v>
      </c>
      <c r="X171" s="35">
        <f>+AJ171</f>
        <v>0</v>
      </c>
      <c r="Y171" s="33" t="s">
        <v>41</v>
      </c>
      <c r="Z171" s="39">
        <f>+F171</f>
        <v>0</v>
      </c>
      <c r="AA171" s="40"/>
      <c r="AB171" s="65"/>
      <c r="AC171" s="35">
        <v>0</v>
      </c>
      <c r="AD171" s="35">
        <f t="shared" ref="AD171" si="168">+AB171+AC171</f>
        <v>0</v>
      </c>
      <c r="AE171" s="67"/>
      <c r="AF171" s="35">
        <f>+AB171*AE171</f>
        <v>0</v>
      </c>
      <c r="AG171" s="35">
        <f>+AC171*AE171</f>
        <v>0</v>
      </c>
      <c r="AH171" s="35">
        <f>+AD171*AE171</f>
        <v>0</v>
      </c>
      <c r="AI171" s="35">
        <f t="shared" ref="AI171" si="169">+ROUND(AF171,2)</f>
        <v>0</v>
      </c>
      <c r="AJ171" s="35">
        <f t="shared" ref="AJ171" si="170">+ROUND(AG171,2)</f>
        <v>0</v>
      </c>
      <c r="AK171" s="35">
        <f t="shared" ref="AK171" si="171">+ROUND(AH171,2)</f>
        <v>0</v>
      </c>
      <c r="AL171" s="35">
        <f>+AI171+AJ171-AK171</f>
        <v>0</v>
      </c>
      <c r="AM171" s="62"/>
      <c r="AN171" s="35" t="str">
        <f>+LEFT(AM171,2)</f>
        <v/>
      </c>
      <c r="AO171" s="35" t="str">
        <f>+MID(AM171,4,2)</f>
        <v/>
      </c>
      <c r="AP171" s="35" t="str">
        <f>+RIGHT(AM171,2)</f>
        <v/>
      </c>
      <c r="AQ171" s="35" t="str">
        <f>+CONCATENATE(AN171,AO171,AP171)</f>
        <v/>
      </c>
      <c r="AR171" s="41">
        <f>AM171+_xlfn.XLOOKUP(C171,Hoja1!A:A,Hoja1!B:B)</f>
        <v>0</v>
      </c>
      <c r="AS171" s="42">
        <f>+DAY(AR171)</f>
        <v>0</v>
      </c>
      <c r="AT171" s="35">
        <f>+MONTH(AR171)</f>
        <v>1</v>
      </c>
      <c r="AU171" s="35">
        <f>+YEAR(AR171)</f>
        <v>1900</v>
      </c>
      <c r="AV171" s="35" t="str">
        <f>+CONCATENATE(TEXT(AS171,"00"),TEXT(AT171,"00"),RIGHT(AU171,2))</f>
        <v>000100</v>
      </c>
    </row>
    <row r="172" spans="1:48" s="31" customFormat="1" ht="10.15" hidden="1" customHeight="1" x14ac:dyDescent="0.25">
      <c r="A172" s="27"/>
      <c r="B172" s="27"/>
      <c r="C172" s="1"/>
      <c r="D172" s="1"/>
      <c r="E172" s="1"/>
      <c r="F172" s="1"/>
      <c r="G172" s="1"/>
      <c r="H172" s="28"/>
      <c r="I172" s="28"/>
      <c r="J172" s="1"/>
      <c r="K172" s="29"/>
      <c r="L172" s="28"/>
      <c r="M172" s="1"/>
      <c r="N172" s="1"/>
      <c r="O172" s="1"/>
      <c r="P172" s="1"/>
      <c r="Q172" s="1"/>
      <c r="R172" s="1"/>
      <c r="S172" s="28"/>
      <c r="T172" s="1"/>
      <c r="U172" s="1"/>
      <c r="V172" s="1"/>
      <c r="W172" s="28"/>
      <c r="X172" s="28"/>
      <c r="Y172" s="1"/>
      <c r="Z172" s="30"/>
      <c r="AA172" s="6"/>
      <c r="AB172" s="28"/>
      <c r="AC172" s="28"/>
      <c r="AD172" s="28"/>
      <c r="AE172" s="7"/>
      <c r="AF172" s="28"/>
      <c r="AG172" s="28"/>
      <c r="AH172" s="28"/>
      <c r="AI172" s="28"/>
      <c r="AJ172" s="28"/>
      <c r="AK172" s="28"/>
      <c r="AL172" s="28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s="31" customFormat="1" ht="10.15" hidden="1" customHeight="1" x14ac:dyDescent="0.25">
      <c r="A173" s="27"/>
      <c r="B173" s="27"/>
      <c r="C173" s="1"/>
      <c r="D173" s="1"/>
      <c r="E173" s="1"/>
      <c r="F173" s="1"/>
      <c r="G173" s="1"/>
      <c r="H173" s="28"/>
      <c r="I173" s="28"/>
      <c r="J173" s="1"/>
      <c r="K173" s="29"/>
      <c r="L173" s="28"/>
      <c r="M173" s="1"/>
      <c r="N173" s="1"/>
      <c r="O173" s="1"/>
      <c r="P173" s="1"/>
      <c r="Q173" s="1"/>
      <c r="R173" s="1"/>
      <c r="S173" s="28"/>
      <c r="T173" s="1"/>
      <c r="U173" s="1"/>
      <c r="V173" s="1"/>
      <c r="W173" s="28"/>
      <c r="X173" s="28"/>
      <c r="Y173" s="1"/>
      <c r="Z173" s="30"/>
      <c r="AA173" s="6"/>
      <c r="AB173" s="28"/>
      <c r="AC173" s="28"/>
      <c r="AD173" s="28"/>
      <c r="AE173" s="7"/>
      <c r="AF173" s="28"/>
      <c r="AG173" s="28"/>
      <c r="AH173" s="28"/>
      <c r="AI173" s="28"/>
      <c r="AJ173" s="28"/>
      <c r="AK173" s="28"/>
      <c r="AL173" s="28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s="31" customFormat="1" ht="10.15" hidden="1" customHeight="1" x14ac:dyDescent="0.25">
      <c r="A174" s="27"/>
      <c r="B174" s="27"/>
      <c r="C174" s="1"/>
      <c r="D174" s="1"/>
      <c r="E174" s="1"/>
      <c r="F174" s="1"/>
      <c r="G174" s="1"/>
      <c r="H174" s="28"/>
      <c r="I174" s="28"/>
      <c r="J174" s="1"/>
      <c r="K174" s="29"/>
      <c r="L174" s="28"/>
      <c r="M174" s="1"/>
      <c r="N174" s="1"/>
      <c r="O174" s="1"/>
      <c r="P174" s="1"/>
      <c r="Q174" s="1"/>
      <c r="R174" s="1"/>
      <c r="S174" s="28"/>
      <c r="T174" s="1"/>
      <c r="U174" s="1"/>
      <c r="V174" s="1"/>
      <c r="W174" s="28"/>
      <c r="X174" s="28"/>
      <c r="Y174" s="1"/>
      <c r="Z174" s="30"/>
      <c r="AA174" s="6"/>
      <c r="AB174" s="28"/>
      <c r="AC174" s="28"/>
      <c r="AD174" s="28"/>
      <c r="AE174" s="7"/>
      <c r="AF174" s="28"/>
      <c r="AG174" s="28"/>
      <c r="AH174" s="28"/>
      <c r="AI174" s="28"/>
      <c r="AJ174" s="28"/>
      <c r="AK174" s="28"/>
      <c r="AL174" s="28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ht="10.15" customHeight="1" x14ac:dyDescent="0.25">
      <c r="A175" s="44">
        <f>1+A171</f>
        <v>44</v>
      </c>
      <c r="B175" s="50"/>
      <c r="C175" s="57"/>
      <c r="D175" s="57"/>
      <c r="E175" s="34" t="str">
        <f>+AQ175</f>
        <v/>
      </c>
      <c r="F175" s="60"/>
      <c r="G175" s="34" t="str">
        <f>+AV175</f>
        <v>000100</v>
      </c>
      <c r="H175" s="35">
        <f>+AK175</f>
        <v>0</v>
      </c>
      <c r="I175" s="35">
        <f>+ROUND(AD175,2)</f>
        <v>0</v>
      </c>
      <c r="J175" s="57"/>
      <c r="K175" s="36">
        <f>+AE175</f>
        <v>0</v>
      </c>
      <c r="L175" s="35">
        <f>+AJ175</f>
        <v>0</v>
      </c>
      <c r="M175" s="37" t="s">
        <v>37</v>
      </c>
      <c r="N175" s="68"/>
      <c r="O175" s="57"/>
      <c r="P175" s="38" t="e">
        <f>+VLOOKUP(C175,Hoja1!$A$4:$C$57,3,FALSE)</f>
        <v>#N/A</v>
      </c>
      <c r="Q175" s="37" t="s">
        <v>38</v>
      </c>
      <c r="R175" s="68"/>
      <c r="S175" s="35" t="str">
        <f>(RIGHT(O175,7))</f>
        <v/>
      </c>
      <c r="T175" s="68"/>
      <c r="U175" s="37" t="s">
        <v>39</v>
      </c>
      <c r="V175" s="37" t="s">
        <v>40</v>
      </c>
      <c r="W175" s="35">
        <f>+AI175</f>
        <v>0</v>
      </c>
      <c r="X175" s="35">
        <f>+AJ175</f>
        <v>0</v>
      </c>
      <c r="Y175" s="33" t="s">
        <v>41</v>
      </c>
      <c r="Z175" s="39">
        <f>+F175</f>
        <v>0</v>
      </c>
      <c r="AA175" s="40"/>
      <c r="AB175" s="65"/>
      <c r="AC175" s="35">
        <v>0</v>
      </c>
      <c r="AD175" s="35">
        <f t="shared" ref="AD175" si="172">+AB175+AC175</f>
        <v>0</v>
      </c>
      <c r="AE175" s="67"/>
      <c r="AF175" s="35">
        <f>+AB175*AE175</f>
        <v>0</v>
      </c>
      <c r="AG175" s="35">
        <f>+AC175*AE175</f>
        <v>0</v>
      </c>
      <c r="AH175" s="35">
        <f>+AD175*AE175</f>
        <v>0</v>
      </c>
      <c r="AI175" s="35">
        <f t="shared" ref="AI175" si="173">+ROUND(AF175,2)</f>
        <v>0</v>
      </c>
      <c r="AJ175" s="35">
        <f t="shared" ref="AJ175" si="174">+ROUND(AG175,2)</f>
        <v>0</v>
      </c>
      <c r="AK175" s="35">
        <f t="shared" ref="AK175" si="175">+ROUND(AH175,2)</f>
        <v>0</v>
      </c>
      <c r="AL175" s="35">
        <f>+AI175+AJ175-AK175</f>
        <v>0</v>
      </c>
      <c r="AM175" s="62"/>
      <c r="AN175" s="35" t="str">
        <f>+LEFT(AM175,2)</f>
        <v/>
      </c>
      <c r="AO175" s="35" t="str">
        <f>+MID(AM175,4,2)</f>
        <v/>
      </c>
      <c r="AP175" s="35" t="str">
        <f>+RIGHT(AM175,2)</f>
        <v/>
      </c>
      <c r="AQ175" s="35" t="str">
        <f>+CONCATENATE(AN175,AO175,AP175)</f>
        <v/>
      </c>
      <c r="AR175" s="41">
        <f>AM175+_xlfn.XLOOKUP(C175,Hoja1!A:A,Hoja1!B:B)</f>
        <v>0</v>
      </c>
      <c r="AS175" s="42">
        <f>+DAY(AR175)</f>
        <v>0</v>
      </c>
      <c r="AT175" s="35">
        <f>+MONTH(AR175)</f>
        <v>1</v>
      </c>
      <c r="AU175" s="35">
        <f>+YEAR(AR175)</f>
        <v>1900</v>
      </c>
      <c r="AV175" s="35" t="str">
        <f>+CONCATENATE(TEXT(AS175,"00"),TEXT(AT175,"00"),RIGHT(AU175,2))</f>
        <v>000100</v>
      </c>
    </row>
    <row r="176" spans="1:48" s="31" customFormat="1" ht="10.15" hidden="1" customHeight="1" x14ac:dyDescent="0.25">
      <c r="A176" s="27"/>
      <c r="B176" s="27"/>
      <c r="C176" s="1"/>
      <c r="D176" s="1"/>
      <c r="E176" s="1"/>
      <c r="F176" s="1"/>
      <c r="G176" s="1"/>
      <c r="H176" s="28"/>
      <c r="I176" s="28"/>
      <c r="J176" s="1"/>
      <c r="K176" s="29"/>
      <c r="L176" s="28"/>
      <c r="M176" s="1"/>
      <c r="N176" s="1"/>
      <c r="O176" s="1"/>
      <c r="P176" s="1"/>
      <c r="Q176" s="1"/>
      <c r="R176" s="1"/>
      <c r="S176" s="28"/>
      <c r="T176" s="1"/>
      <c r="U176" s="1"/>
      <c r="V176" s="1"/>
      <c r="W176" s="28"/>
      <c r="X176" s="28"/>
      <c r="Y176" s="1"/>
      <c r="Z176" s="30"/>
      <c r="AA176" s="6"/>
      <c r="AB176" s="28"/>
      <c r="AC176" s="28"/>
      <c r="AD176" s="28"/>
      <c r="AE176" s="7"/>
      <c r="AF176" s="28"/>
      <c r="AG176" s="28"/>
      <c r="AH176" s="28"/>
      <c r="AI176" s="28"/>
      <c r="AJ176" s="28"/>
      <c r="AK176" s="28"/>
      <c r="AL176" s="28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s="31" customFormat="1" ht="10.15" hidden="1" customHeight="1" x14ac:dyDescent="0.25">
      <c r="A177" s="27"/>
      <c r="B177" s="27"/>
      <c r="C177" s="1"/>
      <c r="D177" s="1"/>
      <c r="E177" s="1"/>
      <c r="F177" s="1"/>
      <c r="G177" s="1"/>
      <c r="H177" s="28"/>
      <c r="I177" s="28"/>
      <c r="J177" s="1"/>
      <c r="K177" s="29"/>
      <c r="L177" s="28"/>
      <c r="M177" s="1"/>
      <c r="N177" s="1"/>
      <c r="O177" s="1"/>
      <c r="P177" s="1"/>
      <c r="Q177" s="1"/>
      <c r="R177" s="1"/>
      <c r="S177" s="28"/>
      <c r="T177" s="1"/>
      <c r="U177" s="1"/>
      <c r="V177" s="1"/>
      <c r="W177" s="28"/>
      <c r="X177" s="28"/>
      <c r="Y177" s="1"/>
      <c r="Z177" s="30"/>
      <c r="AA177" s="6"/>
      <c r="AB177" s="28"/>
      <c r="AC177" s="28"/>
      <c r="AD177" s="28"/>
      <c r="AE177" s="7"/>
      <c r="AF177" s="28"/>
      <c r="AG177" s="28"/>
      <c r="AH177" s="28"/>
      <c r="AI177" s="28"/>
      <c r="AJ177" s="28"/>
      <c r="AK177" s="28"/>
      <c r="AL177" s="28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s="31" customFormat="1" ht="10.15" hidden="1" customHeight="1" x14ac:dyDescent="0.25">
      <c r="A178" s="27"/>
      <c r="B178" s="27"/>
      <c r="C178" s="1"/>
      <c r="D178" s="1"/>
      <c r="E178" s="1"/>
      <c r="F178" s="1"/>
      <c r="G178" s="1"/>
      <c r="H178" s="28"/>
      <c r="I178" s="28"/>
      <c r="J178" s="1"/>
      <c r="K178" s="29"/>
      <c r="L178" s="28"/>
      <c r="M178" s="1"/>
      <c r="N178" s="1"/>
      <c r="O178" s="1"/>
      <c r="P178" s="1"/>
      <c r="Q178" s="1"/>
      <c r="R178" s="1"/>
      <c r="S178" s="28"/>
      <c r="T178" s="1"/>
      <c r="U178" s="1"/>
      <c r="V178" s="1"/>
      <c r="W178" s="28"/>
      <c r="X178" s="28"/>
      <c r="Y178" s="1"/>
      <c r="Z178" s="30"/>
      <c r="AA178" s="6"/>
      <c r="AB178" s="28"/>
      <c r="AC178" s="28"/>
      <c r="AD178" s="28"/>
      <c r="AE178" s="7"/>
      <c r="AF178" s="28"/>
      <c r="AG178" s="28"/>
      <c r="AH178" s="28"/>
      <c r="AI178" s="28"/>
      <c r="AJ178" s="28"/>
      <c r="AK178" s="28"/>
      <c r="AL178" s="28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ht="10.15" customHeight="1" x14ac:dyDescent="0.25">
      <c r="A179" s="44">
        <f>1+A175</f>
        <v>45</v>
      </c>
      <c r="B179" s="50"/>
      <c r="C179" s="57"/>
      <c r="D179" s="57"/>
      <c r="E179" s="34" t="str">
        <f>+AQ179</f>
        <v/>
      </c>
      <c r="F179" s="60"/>
      <c r="G179" s="34" t="str">
        <f>+AV179</f>
        <v>000100</v>
      </c>
      <c r="H179" s="35">
        <f>+AK179</f>
        <v>0</v>
      </c>
      <c r="I179" s="35">
        <f>+ROUND(AD179,2)</f>
        <v>0</v>
      </c>
      <c r="J179" s="57"/>
      <c r="K179" s="36">
        <f>+AE179</f>
        <v>0</v>
      </c>
      <c r="L179" s="35">
        <f>+AJ179</f>
        <v>0</v>
      </c>
      <c r="M179" s="37" t="s">
        <v>37</v>
      </c>
      <c r="N179" s="68"/>
      <c r="O179" s="57"/>
      <c r="P179" s="38" t="e">
        <f>+VLOOKUP(C179,Hoja1!$A$4:$C$57,3,FALSE)</f>
        <v>#N/A</v>
      </c>
      <c r="Q179" s="37" t="s">
        <v>38</v>
      </c>
      <c r="R179" s="68"/>
      <c r="S179" s="35" t="str">
        <f>(RIGHT(O179,7))</f>
        <v/>
      </c>
      <c r="T179" s="68"/>
      <c r="U179" s="37" t="s">
        <v>39</v>
      </c>
      <c r="V179" s="37" t="s">
        <v>40</v>
      </c>
      <c r="W179" s="35">
        <f>+AI179</f>
        <v>0</v>
      </c>
      <c r="X179" s="35">
        <f>+AJ179</f>
        <v>0</v>
      </c>
      <c r="Y179" s="33" t="s">
        <v>41</v>
      </c>
      <c r="Z179" s="39">
        <f>+F179</f>
        <v>0</v>
      </c>
      <c r="AA179" s="40"/>
      <c r="AB179" s="65"/>
      <c r="AC179" s="35">
        <v>0</v>
      </c>
      <c r="AD179" s="35">
        <f t="shared" ref="AD179" si="176">+AB179+AC179</f>
        <v>0</v>
      </c>
      <c r="AE179" s="67"/>
      <c r="AF179" s="35">
        <f>+AB179*AE179</f>
        <v>0</v>
      </c>
      <c r="AG179" s="35">
        <f>+AC179*AE179</f>
        <v>0</v>
      </c>
      <c r="AH179" s="35">
        <f>+AD179*AE179</f>
        <v>0</v>
      </c>
      <c r="AI179" s="35">
        <f t="shared" ref="AI179" si="177">+ROUND(AF179,2)</f>
        <v>0</v>
      </c>
      <c r="AJ179" s="35">
        <f t="shared" ref="AJ179" si="178">+ROUND(AG179,2)</f>
        <v>0</v>
      </c>
      <c r="AK179" s="35">
        <f t="shared" ref="AK179" si="179">+ROUND(AH179,2)</f>
        <v>0</v>
      </c>
      <c r="AL179" s="35">
        <f>+AI179+AJ179-AK179</f>
        <v>0</v>
      </c>
      <c r="AM179" s="62"/>
      <c r="AN179" s="35" t="str">
        <f>+LEFT(AM179,2)</f>
        <v/>
      </c>
      <c r="AO179" s="35" t="str">
        <f>+MID(AM179,4,2)</f>
        <v/>
      </c>
      <c r="AP179" s="35" t="str">
        <f>+RIGHT(AM179,2)</f>
        <v/>
      </c>
      <c r="AQ179" s="35" t="str">
        <f>+CONCATENATE(AN179,AO179,AP179)</f>
        <v/>
      </c>
      <c r="AR179" s="41">
        <f>AM179+_xlfn.XLOOKUP(C179,Hoja1!A:A,Hoja1!B:B)</f>
        <v>0</v>
      </c>
      <c r="AS179" s="42">
        <f>+DAY(AR179)</f>
        <v>0</v>
      </c>
      <c r="AT179" s="35">
        <f>+MONTH(AR179)</f>
        <v>1</v>
      </c>
      <c r="AU179" s="35">
        <f>+YEAR(AR179)</f>
        <v>1900</v>
      </c>
      <c r="AV179" s="35" t="str">
        <f>+CONCATENATE(TEXT(AS179,"00"),TEXT(AT179,"00"),RIGHT(AU179,2))</f>
        <v>000100</v>
      </c>
    </row>
    <row r="180" spans="1:48" s="31" customFormat="1" ht="10.15" hidden="1" customHeight="1" x14ac:dyDescent="0.25">
      <c r="A180" s="27"/>
      <c r="B180" s="27"/>
      <c r="C180" s="1"/>
      <c r="D180" s="1"/>
      <c r="E180" s="1"/>
      <c r="F180" s="1"/>
      <c r="G180" s="1"/>
      <c r="H180" s="28"/>
      <c r="I180" s="28"/>
      <c r="J180" s="1"/>
      <c r="K180" s="29"/>
      <c r="L180" s="28"/>
      <c r="M180" s="1"/>
      <c r="N180" s="1"/>
      <c r="O180" s="1"/>
      <c r="P180" s="1"/>
      <c r="Q180" s="1"/>
      <c r="R180" s="1"/>
      <c r="S180" s="28"/>
      <c r="T180" s="1"/>
      <c r="U180" s="1"/>
      <c r="V180" s="1"/>
      <c r="W180" s="28"/>
      <c r="X180" s="28"/>
      <c r="Y180" s="1"/>
      <c r="Z180" s="30"/>
      <c r="AA180" s="6"/>
      <c r="AB180" s="28"/>
      <c r="AC180" s="28"/>
      <c r="AD180" s="28"/>
      <c r="AE180" s="7"/>
      <c r="AF180" s="28"/>
      <c r="AG180" s="28"/>
      <c r="AH180" s="28"/>
      <c r="AI180" s="28"/>
      <c r="AJ180" s="28"/>
      <c r="AK180" s="28"/>
      <c r="AL180" s="28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s="31" customFormat="1" ht="10.15" hidden="1" customHeight="1" x14ac:dyDescent="0.25">
      <c r="A181" s="27"/>
      <c r="B181" s="27"/>
      <c r="C181" s="1"/>
      <c r="D181" s="1"/>
      <c r="E181" s="1"/>
      <c r="F181" s="1"/>
      <c r="G181" s="1"/>
      <c r="H181" s="28"/>
      <c r="I181" s="28"/>
      <c r="J181" s="1"/>
      <c r="K181" s="29"/>
      <c r="L181" s="28"/>
      <c r="M181" s="1"/>
      <c r="N181" s="1"/>
      <c r="O181" s="1"/>
      <c r="P181" s="1"/>
      <c r="Q181" s="1"/>
      <c r="R181" s="1"/>
      <c r="S181" s="28"/>
      <c r="T181" s="1"/>
      <c r="U181" s="1"/>
      <c r="V181" s="1"/>
      <c r="W181" s="28"/>
      <c r="X181" s="28"/>
      <c r="Y181" s="1"/>
      <c r="Z181" s="30"/>
      <c r="AA181" s="6"/>
      <c r="AB181" s="28"/>
      <c r="AC181" s="28"/>
      <c r="AD181" s="28"/>
      <c r="AE181" s="7"/>
      <c r="AF181" s="28"/>
      <c r="AG181" s="28"/>
      <c r="AH181" s="28"/>
      <c r="AI181" s="28"/>
      <c r="AJ181" s="28"/>
      <c r="AK181" s="28"/>
      <c r="AL181" s="28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s="31" customFormat="1" ht="10.15" hidden="1" customHeight="1" x14ac:dyDescent="0.25">
      <c r="A182" s="27"/>
      <c r="B182" s="27"/>
      <c r="C182" s="1"/>
      <c r="D182" s="1"/>
      <c r="E182" s="1"/>
      <c r="F182" s="1"/>
      <c r="G182" s="1"/>
      <c r="H182" s="28"/>
      <c r="I182" s="28"/>
      <c r="J182" s="1"/>
      <c r="K182" s="29"/>
      <c r="L182" s="28"/>
      <c r="M182" s="1"/>
      <c r="N182" s="1"/>
      <c r="O182" s="1"/>
      <c r="P182" s="1"/>
      <c r="Q182" s="1"/>
      <c r="R182" s="1"/>
      <c r="S182" s="28"/>
      <c r="T182" s="1"/>
      <c r="U182" s="1"/>
      <c r="V182" s="1"/>
      <c r="W182" s="28"/>
      <c r="X182" s="28"/>
      <c r="Y182" s="1"/>
      <c r="Z182" s="30"/>
      <c r="AA182" s="6"/>
      <c r="AB182" s="28"/>
      <c r="AC182" s="28"/>
      <c r="AD182" s="28"/>
      <c r="AE182" s="7"/>
      <c r="AF182" s="28"/>
      <c r="AG182" s="28"/>
      <c r="AH182" s="28"/>
      <c r="AI182" s="28"/>
      <c r="AJ182" s="28"/>
      <c r="AK182" s="28"/>
      <c r="AL182" s="28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ht="10.15" customHeight="1" x14ac:dyDescent="0.25">
      <c r="A183" s="44">
        <f>1+A179</f>
        <v>46</v>
      </c>
      <c r="B183" s="38"/>
      <c r="C183" s="57"/>
      <c r="D183" s="57"/>
      <c r="E183" s="34" t="str">
        <f>+AQ183</f>
        <v/>
      </c>
      <c r="F183" s="60"/>
      <c r="G183" s="34" t="str">
        <f>+AV183</f>
        <v>000100</v>
      </c>
      <c r="H183" s="35">
        <f>+AK183</f>
        <v>0</v>
      </c>
      <c r="I183" s="35">
        <f>+ROUND(AD183,2)</f>
        <v>0</v>
      </c>
      <c r="J183" s="57"/>
      <c r="K183" s="36">
        <f>+AE183</f>
        <v>0</v>
      </c>
      <c r="L183" s="35">
        <f>+AJ183</f>
        <v>0</v>
      </c>
      <c r="M183" s="37" t="s">
        <v>37</v>
      </c>
      <c r="N183" s="68"/>
      <c r="O183" s="57"/>
      <c r="P183" s="38" t="e">
        <f>+VLOOKUP(C183,Hoja1!$A$4:$C$57,3,FALSE)</f>
        <v>#N/A</v>
      </c>
      <c r="Q183" s="37" t="s">
        <v>38</v>
      </c>
      <c r="R183" s="68"/>
      <c r="S183" s="35" t="str">
        <f>(RIGHT(O183,7))</f>
        <v/>
      </c>
      <c r="T183" s="68"/>
      <c r="U183" s="37" t="s">
        <v>39</v>
      </c>
      <c r="V183" s="37" t="s">
        <v>40</v>
      </c>
      <c r="W183" s="35">
        <f>+AI183</f>
        <v>0</v>
      </c>
      <c r="X183" s="35">
        <f>+AJ183</f>
        <v>0</v>
      </c>
      <c r="Y183" s="33" t="s">
        <v>41</v>
      </c>
      <c r="Z183" s="39">
        <f>+F183</f>
        <v>0</v>
      </c>
      <c r="AA183" s="40"/>
      <c r="AB183" s="65"/>
      <c r="AC183" s="35">
        <v>0</v>
      </c>
      <c r="AD183" s="35">
        <f t="shared" ref="AD183" si="180">+AB183+AC183</f>
        <v>0</v>
      </c>
      <c r="AE183" s="67"/>
      <c r="AF183" s="35">
        <f>+AB183*AE183</f>
        <v>0</v>
      </c>
      <c r="AG183" s="35">
        <f>+AC183*AE183</f>
        <v>0</v>
      </c>
      <c r="AH183" s="35">
        <f>+AD183*AE183</f>
        <v>0</v>
      </c>
      <c r="AI183" s="35">
        <f t="shared" ref="AI183" si="181">+ROUND(AF183,2)</f>
        <v>0</v>
      </c>
      <c r="AJ183" s="35">
        <f t="shared" ref="AJ183" si="182">+ROUND(AG183,2)</f>
        <v>0</v>
      </c>
      <c r="AK183" s="35">
        <f t="shared" ref="AK183" si="183">+ROUND(AH183,2)</f>
        <v>0</v>
      </c>
      <c r="AL183" s="35">
        <f>+AI183+AJ183-AK183</f>
        <v>0</v>
      </c>
      <c r="AM183" s="62"/>
      <c r="AN183" s="35" t="str">
        <f>+LEFT(AM183,2)</f>
        <v/>
      </c>
      <c r="AO183" s="35" t="str">
        <f>+MID(AM183,4,2)</f>
        <v/>
      </c>
      <c r="AP183" s="35" t="str">
        <f>+RIGHT(AM183,2)</f>
        <v/>
      </c>
      <c r="AQ183" s="35" t="str">
        <f>+CONCATENATE(AN183,AO183,AP183)</f>
        <v/>
      </c>
      <c r="AR183" s="41">
        <f>AM183+_xlfn.XLOOKUP(C183,Hoja1!A:A,Hoja1!B:B)</f>
        <v>0</v>
      </c>
      <c r="AS183" s="42">
        <f>+DAY(AR183)</f>
        <v>0</v>
      </c>
      <c r="AT183" s="35">
        <f>+MONTH(AR183)</f>
        <v>1</v>
      </c>
      <c r="AU183" s="35">
        <f>+YEAR(AR183)</f>
        <v>1900</v>
      </c>
      <c r="AV183" s="35" t="str">
        <f>+CONCATENATE(TEXT(AS183,"00"),TEXT(AT183,"00"),RIGHT(AU183,2))</f>
        <v>000100</v>
      </c>
    </row>
    <row r="184" spans="1:48" s="31" customFormat="1" ht="10.15" hidden="1" customHeight="1" x14ac:dyDescent="0.25">
      <c r="A184" s="27"/>
      <c r="B184" s="27"/>
      <c r="C184" s="1"/>
      <c r="D184" s="1"/>
      <c r="E184" s="1"/>
      <c r="F184" s="1"/>
      <c r="G184" s="1"/>
      <c r="H184" s="28"/>
      <c r="I184" s="28"/>
      <c r="J184" s="1"/>
      <c r="K184" s="29"/>
      <c r="L184" s="28"/>
      <c r="M184" s="1"/>
      <c r="N184" s="1"/>
      <c r="O184" s="1"/>
      <c r="P184" s="1"/>
      <c r="Q184" s="1"/>
      <c r="R184" s="1"/>
      <c r="S184" s="28"/>
      <c r="T184" s="1"/>
      <c r="U184" s="1"/>
      <c r="V184" s="1"/>
      <c r="W184" s="28"/>
      <c r="X184" s="28"/>
      <c r="Y184" s="1"/>
      <c r="Z184" s="30"/>
      <c r="AA184" s="6"/>
      <c r="AB184" s="28"/>
      <c r="AC184" s="28"/>
      <c r="AD184" s="28"/>
      <c r="AE184" s="7"/>
      <c r="AF184" s="28"/>
      <c r="AG184" s="28"/>
      <c r="AH184" s="28"/>
      <c r="AI184" s="28"/>
      <c r="AJ184" s="28"/>
      <c r="AK184" s="28"/>
      <c r="AL184" s="28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s="31" customFormat="1" ht="10.15" hidden="1" customHeight="1" x14ac:dyDescent="0.25">
      <c r="A185" s="27"/>
      <c r="B185" s="27"/>
      <c r="C185" s="1"/>
      <c r="D185" s="1"/>
      <c r="E185" s="1"/>
      <c r="F185" s="1"/>
      <c r="G185" s="1"/>
      <c r="H185" s="28"/>
      <c r="I185" s="28"/>
      <c r="J185" s="1"/>
      <c r="K185" s="29"/>
      <c r="L185" s="28"/>
      <c r="M185" s="1"/>
      <c r="N185" s="1"/>
      <c r="O185" s="1"/>
      <c r="P185" s="1"/>
      <c r="Q185" s="1"/>
      <c r="R185" s="1"/>
      <c r="S185" s="28"/>
      <c r="T185" s="1"/>
      <c r="U185" s="1"/>
      <c r="V185" s="1"/>
      <c r="W185" s="28"/>
      <c r="X185" s="28"/>
      <c r="Y185" s="1"/>
      <c r="Z185" s="30"/>
      <c r="AA185" s="6"/>
      <c r="AB185" s="28"/>
      <c r="AC185" s="28"/>
      <c r="AD185" s="28"/>
      <c r="AE185" s="7"/>
      <c r="AF185" s="28"/>
      <c r="AG185" s="28"/>
      <c r="AH185" s="28"/>
      <c r="AI185" s="28"/>
      <c r="AJ185" s="28"/>
      <c r="AK185" s="28"/>
      <c r="AL185" s="28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s="31" customFormat="1" ht="10.15" hidden="1" customHeight="1" x14ac:dyDescent="0.25">
      <c r="A186" s="27"/>
      <c r="B186" s="27"/>
      <c r="C186" s="1"/>
      <c r="D186" s="1"/>
      <c r="E186" s="1"/>
      <c r="F186" s="1"/>
      <c r="G186" s="1"/>
      <c r="H186" s="28"/>
      <c r="I186" s="28"/>
      <c r="J186" s="1"/>
      <c r="K186" s="29"/>
      <c r="L186" s="28"/>
      <c r="M186" s="1"/>
      <c r="N186" s="1"/>
      <c r="O186" s="1"/>
      <c r="P186" s="1"/>
      <c r="Q186" s="1"/>
      <c r="R186" s="1"/>
      <c r="S186" s="28"/>
      <c r="T186" s="1"/>
      <c r="U186" s="1"/>
      <c r="V186" s="1"/>
      <c r="W186" s="28"/>
      <c r="X186" s="28"/>
      <c r="Y186" s="1"/>
      <c r="Z186" s="30"/>
      <c r="AA186" s="6"/>
      <c r="AB186" s="28"/>
      <c r="AC186" s="28"/>
      <c r="AD186" s="28"/>
      <c r="AE186" s="7"/>
      <c r="AF186" s="28"/>
      <c r="AG186" s="28"/>
      <c r="AH186" s="28"/>
      <c r="AI186" s="28"/>
      <c r="AJ186" s="28"/>
      <c r="AK186" s="28"/>
      <c r="AL186" s="28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ht="10.15" customHeight="1" x14ac:dyDescent="0.25">
      <c r="A187" s="44">
        <f>1+A183</f>
        <v>47</v>
      </c>
      <c r="B187" s="38"/>
      <c r="C187" s="57"/>
      <c r="D187" s="57"/>
      <c r="E187" s="34" t="str">
        <f>+AQ187</f>
        <v/>
      </c>
      <c r="F187" s="60"/>
      <c r="G187" s="34" t="str">
        <f>+AV187</f>
        <v>000100</v>
      </c>
      <c r="H187" s="35">
        <f>+AK187</f>
        <v>0</v>
      </c>
      <c r="I187" s="35">
        <f>+ROUND(AD187,2)</f>
        <v>0</v>
      </c>
      <c r="J187" s="57"/>
      <c r="K187" s="36">
        <f>+AE187</f>
        <v>0</v>
      </c>
      <c r="L187" s="35">
        <f>+AJ187</f>
        <v>0</v>
      </c>
      <c r="M187" s="37" t="s">
        <v>37</v>
      </c>
      <c r="N187" s="68"/>
      <c r="O187" s="57"/>
      <c r="P187" s="38" t="e">
        <f>+VLOOKUP(C187,Hoja1!$A$4:$C$57,3,FALSE)</f>
        <v>#N/A</v>
      </c>
      <c r="Q187" s="37" t="s">
        <v>38</v>
      </c>
      <c r="R187" s="68"/>
      <c r="S187" s="35" t="str">
        <f>(RIGHT(O187,7))</f>
        <v/>
      </c>
      <c r="T187" s="68"/>
      <c r="U187" s="37" t="s">
        <v>39</v>
      </c>
      <c r="V187" s="37" t="s">
        <v>40</v>
      </c>
      <c r="W187" s="35">
        <f>+AI187</f>
        <v>0</v>
      </c>
      <c r="X187" s="35">
        <f>+AJ187</f>
        <v>0</v>
      </c>
      <c r="Y187" s="33" t="s">
        <v>41</v>
      </c>
      <c r="Z187" s="39">
        <f>+F187</f>
        <v>0</v>
      </c>
      <c r="AA187" s="40"/>
      <c r="AB187" s="65"/>
      <c r="AC187" s="35">
        <v>0</v>
      </c>
      <c r="AD187" s="35">
        <f t="shared" ref="AD187" si="184">+AB187+AC187</f>
        <v>0</v>
      </c>
      <c r="AE187" s="67"/>
      <c r="AF187" s="35">
        <f>+AB187*AE187</f>
        <v>0</v>
      </c>
      <c r="AG187" s="35">
        <f>+AC187*AE187</f>
        <v>0</v>
      </c>
      <c r="AH187" s="35">
        <f>+AD187*AE187</f>
        <v>0</v>
      </c>
      <c r="AI187" s="35">
        <f t="shared" ref="AI187" si="185">+ROUND(AF187,2)</f>
        <v>0</v>
      </c>
      <c r="AJ187" s="35">
        <f t="shared" ref="AJ187" si="186">+ROUND(AG187,2)</f>
        <v>0</v>
      </c>
      <c r="AK187" s="35">
        <f t="shared" ref="AK187" si="187">+ROUND(AH187,2)</f>
        <v>0</v>
      </c>
      <c r="AL187" s="35">
        <f>+AI187+AJ187-AK187</f>
        <v>0</v>
      </c>
      <c r="AM187" s="62"/>
      <c r="AN187" s="35" t="str">
        <f>+LEFT(AM187,2)</f>
        <v/>
      </c>
      <c r="AO187" s="35" t="str">
        <f>+MID(AM187,4,2)</f>
        <v/>
      </c>
      <c r="AP187" s="35" t="str">
        <f>+RIGHT(AM187,2)</f>
        <v/>
      </c>
      <c r="AQ187" s="35" t="str">
        <f>+CONCATENATE(AN187,AO187,AP187)</f>
        <v/>
      </c>
      <c r="AR187" s="41">
        <f>AM187+_xlfn.XLOOKUP(C187,Hoja1!A:A,Hoja1!B:B)</f>
        <v>0</v>
      </c>
      <c r="AS187" s="42">
        <f>+DAY(AR187)</f>
        <v>0</v>
      </c>
      <c r="AT187" s="35">
        <f>+MONTH(AR187)</f>
        <v>1</v>
      </c>
      <c r="AU187" s="35">
        <f>+YEAR(AR187)</f>
        <v>1900</v>
      </c>
      <c r="AV187" s="35" t="str">
        <f>+CONCATENATE(TEXT(AS187,"00"),TEXT(AT187,"00"),RIGHT(AU187,2))</f>
        <v>000100</v>
      </c>
    </row>
    <row r="188" spans="1:48" s="31" customFormat="1" ht="10.15" hidden="1" customHeight="1" x14ac:dyDescent="0.25">
      <c r="A188" s="27"/>
      <c r="B188" s="27"/>
      <c r="C188" s="1"/>
      <c r="D188" s="1"/>
      <c r="E188" s="1"/>
      <c r="F188" s="1"/>
      <c r="G188" s="1"/>
      <c r="H188" s="28"/>
      <c r="I188" s="28"/>
      <c r="J188" s="1"/>
      <c r="K188" s="29"/>
      <c r="L188" s="28"/>
      <c r="M188" s="1"/>
      <c r="N188" s="1"/>
      <c r="O188" s="1"/>
      <c r="P188" s="1"/>
      <c r="Q188" s="1"/>
      <c r="R188" s="1"/>
      <c r="S188" s="28"/>
      <c r="T188" s="1"/>
      <c r="U188" s="1"/>
      <c r="V188" s="1"/>
      <c r="W188" s="28"/>
      <c r="X188" s="28"/>
      <c r="Y188" s="1"/>
      <c r="Z188" s="30"/>
      <c r="AA188" s="6"/>
      <c r="AB188" s="28"/>
      <c r="AC188" s="28"/>
      <c r="AD188" s="28"/>
      <c r="AE188" s="7"/>
      <c r="AF188" s="28"/>
      <c r="AG188" s="28"/>
      <c r="AH188" s="28"/>
      <c r="AI188" s="28"/>
      <c r="AJ188" s="28"/>
      <c r="AK188" s="28"/>
      <c r="AL188" s="28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s="31" customFormat="1" ht="10.15" hidden="1" customHeight="1" x14ac:dyDescent="0.25">
      <c r="A189" s="27"/>
      <c r="B189" s="27"/>
      <c r="C189" s="1"/>
      <c r="D189" s="1"/>
      <c r="E189" s="1"/>
      <c r="F189" s="1"/>
      <c r="G189" s="1"/>
      <c r="H189" s="28"/>
      <c r="I189" s="28"/>
      <c r="J189" s="1"/>
      <c r="K189" s="29"/>
      <c r="L189" s="28"/>
      <c r="M189" s="1"/>
      <c r="N189" s="1"/>
      <c r="O189" s="1"/>
      <c r="P189" s="1"/>
      <c r="Q189" s="1"/>
      <c r="R189" s="1"/>
      <c r="S189" s="28"/>
      <c r="T189" s="1"/>
      <c r="U189" s="1"/>
      <c r="V189" s="1"/>
      <c r="W189" s="28"/>
      <c r="X189" s="28"/>
      <c r="Y189" s="1"/>
      <c r="Z189" s="30"/>
      <c r="AA189" s="6"/>
      <c r="AB189" s="28"/>
      <c r="AC189" s="28"/>
      <c r="AD189" s="28"/>
      <c r="AE189" s="7"/>
      <c r="AF189" s="28"/>
      <c r="AG189" s="28"/>
      <c r="AH189" s="28"/>
      <c r="AI189" s="28"/>
      <c r="AJ189" s="28"/>
      <c r="AK189" s="28"/>
      <c r="AL189" s="28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s="31" customFormat="1" ht="10.15" hidden="1" customHeight="1" x14ac:dyDescent="0.25">
      <c r="A190" s="27"/>
      <c r="B190" s="27"/>
      <c r="C190" s="1"/>
      <c r="D190" s="1"/>
      <c r="E190" s="1"/>
      <c r="F190" s="1"/>
      <c r="G190" s="1"/>
      <c r="H190" s="28"/>
      <c r="I190" s="28"/>
      <c r="J190" s="1"/>
      <c r="K190" s="29"/>
      <c r="L190" s="28"/>
      <c r="M190" s="1"/>
      <c r="N190" s="1"/>
      <c r="O190" s="1"/>
      <c r="P190" s="1"/>
      <c r="Q190" s="1"/>
      <c r="R190" s="1"/>
      <c r="S190" s="28"/>
      <c r="T190" s="1"/>
      <c r="U190" s="1"/>
      <c r="V190" s="1"/>
      <c r="W190" s="28"/>
      <c r="X190" s="28"/>
      <c r="Y190" s="1"/>
      <c r="Z190" s="30"/>
      <c r="AA190" s="6"/>
      <c r="AB190" s="28"/>
      <c r="AC190" s="28"/>
      <c r="AD190" s="28"/>
      <c r="AE190" s="7"/>
      <c r="AF190" s="28"/>
      <c r="AG190" s="28"/>
      <c r="AH190" s="28"/>
      <c r="AI190" s="28"/>
      <c r="AJ190" s="28"/>
      <c r="AK190" s="28"/>
      <c r="AL190" s="28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ht="10.15" customHeight="1" x14ac:dyDescent="0.25">
      <c r="A191" s="44">
        <f>1+A187</f>
        <v>48</v>
      </c>
      <c r="B191" s="50"/>
      <c r="C191" s="57"/>
      <c r="D191" s="57"/>
      <c r="E191" s="34" t="str">
        <f>+AQ191</f>
        <v/>
      </c>
      <c r="F191" s="60"/>
      <c r="G191" s="34" t="str">
        <f>+AV191</f>
        <v>000100</v>
      </c>
      <c r="H191" s="35">
        <f>+AK191</f>
        <v>0</v>
      </c>
      <c r="I191" s="35">
        <f>+ROUND(AD191,2)</f>
        <v>0</v>
      </c>
      <c r="J191" s="57"/>
      <c r="K191" s="36">
        <f>+AE191</f>
        <v>0</v>
      </c>
      <c r="L191" s="35">
        <f>+AJ191</f>
        <v>0</v>
      </c>
      <c r="M191" s="37" t="s">
        <v>37</v>
      </c>
      <c r="N191" s="68"/>
      <c r="O191" s="57"/>
      <c r="P191" s="38" t="e">
        <f>+VLOOKUP(C191,Hoja1!$A$4:$C$57,3,FALSE)</f>
        <v>#N/A</v>
      </c>
      <c r="Q191" s="37" t="s">
        <v>38</v>
      </c>
      <c r="R191" s="68"/>
      <c r="S191" s="35" t="str">
        <f>(RIGHT(O191,7))</f>
        <v/>
      </c>
      <c r="T191" s="68"/>
      <c r="U191" s="37" t="s">
        <v>39</v>
      </c>
      <c r="V191" s="37" t="s">
        <v>40</v>
      </c>
      <c r="W191" s="35">
        <f>+AI191</f>
        <v>0</v>
      </c>
      <c r="X191" s="35">
        <f>+AJ191</f>
        <v>0</v>
      </c>
      <c r="Y191" s="33" t="s">
        <v>41</v>
      </c>
      <c r="Z191" s="39">
        <f>+F191</f>
        <v>0</v>
      </c>
      <c r="AA191" s="40"/>
      <c r="AB191" s="65"/>
      <c r="AC191" s="35">
        <v>0</v>
      </c>
      <c r="AD191" s="35">
        <f t="shared" ref="AD191" si="188">+AB191+AC191</f>
        <v>0</v>
      </c>
      <c r="AE191" s="67"/>
      <c r="AF191" s="35">
        <f>+AB191*AE191</f>
        <v>0</v>
      </c>
      <c r="AG191" s="35">
        <f>+AC191*AE191</f>
        <v>0</v>
      </c>
      <c r="AH191" s="35">
        <f>+AD191*AE191</f>
        <v>0</v>
      </c>
      <c r="AI191" s="35">
        <f t="shared" ref="AI191" si="189">+ROUND(AF191,2)</f>
        <v>0</v>
      </c>
      <c r="AJ191" s="35">
        <f t="shared" ref="AJ191" si="190">+ROUND(AG191,2)</f>
        <v>0</v>
      </c>
      <c r="AK191" s="35">
        <f t="shared" ref="AK191" si="191">+ROUND(AH191,2)</f>
        <v>0</v>
      </c>
      <c r="AL191" s="35">
        <f>+AI191+AJ191-AK191</f>
        <v>0</v>
      </c>
      <c r="AM191" s="62"/>
      <c r="AN191" s="35" t="str">
        <f>+LEFT(AM191,2)</f>
        <v/>
      </c>
      <c r="AO191" s="35" t="str">
        <f>+MID(AM191,4,2)</f>
        <v/>
      </c>
      <c r="AP191" s="35" t="str">
        <f>+RIGHT(AM191,2)</f>
        <v/>
      </c>
      <c r="AQ191" s="35" t="str">
        <f>+CONCATENATE(AN191,AO191,AP191)</f>
        <v/>
      </c>
      <c r="AR191" s="41">
        <f>AM191+_xlfn.XLOOKUP(C191,Hoja1!A:A,Hoja1!B:B)</f>
        <v>0</v>
      </c>
      <c r="AS191" s="42">
        <f>+DAY(AR191)</f>
        <v>0</v>
      </c>
      <c r="AT191" s="35">
        <f>+MONTH(AR191)</f>
        <v>1</v>
      </c>
      <c r="AU191" s="35">
        <f>+YEAR(AR191)</f>
        <v>1900</v>
      </c>
      <c r="AV191" s="35" t="str">
        <f>+CONCATENATE(TEXT(AS191,"00"),TEXT(AT191,"00"),RIGHT(AU191,2))</f>
        <v>000100</v>
      </c>
    </row>
    <row r="192" spans="1:48" s="31" customFormat="1" ht="10.15" hidden="1" customHeight="1" x14ac:dyDescent="0.25">
      <c r="A192" s="27"/>
      <c r="B192" s="27"/>
      <c r="C192" s="1"/>
      <c r="D192" s="1"/>
      <c r="E192" s="1"/>
      <c r="F192" s="1"/>
      <c r="G192" s="1"/>
      <c r="H192" s="28"/>
      <c r="I192" s="28"/>
      <c r="J192" s="1"/>
      <c r="K192" s="29"/>
      <c r="L192" s="28"/>
      <c r="M192" s="1"/>
      <c r="N192" s="1"/>
      <c r="O192" s="1"/>
      <c r="P192" s="1"/>
      <c r="Q192" s="1"/>
      <c r="R192" s="1"/>
      <c r="S192" s="28"/>
      <c r="T192" s="1"/>
      <c r="U192" s="1"/>
      <c r="V192" s="1"/>
      <c r="W192" s="28"/>
      <c r="X192" s="28"/>
      <c r="Y192" s="1"/>
      <c r="Z192" s="30"/>
      <c r="AA192" s="6"/>
      <c r="AB192" s="28"/>
      <c r="AC192" s="28"/>
      <c r="AD192" s="28"/>
      <c r="AE192" s="7"/>
      <c r="AF192" s="28"/>
      <c r="AG192" s="28"/>
      <c r="AH192" s="28"/>
      <c r="AI192" s="28"/>
      <c r="AJ192" s="28"/>
      <c r="AK192" s="28"/>
      <c r="AL192" s="28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s="31" customFormat="1" ht="10.15" hidden="1" customHeight="1" x14ac:dyDescent="0.25">
      <c r="A193" s="27"/>
      <c r="B193" s="27"/>
      <c r="C193" s="1"/>
      <c r="D193" s="1"/>
      <c r="E193" s="1"/>
      <c r="F193" s="1"/>
      <c r="G193" s="1"/>
      <c r="H193" s="28"/>
      <c r="I193" s="28"/>
      <c r="J193" s="1"/>
      <c r="K193" s="29"/>
      <c r="L193" s="28"/>
      <c r="M193" s="1"/>
      <c r="N193" s="1"/>
      <c r="O193" s="1"/>
      <c r="P193" s="1"/>
      <c r="Q193" s="1"/>
      <c r="R193" s="1"/>
      <c r="S193" s="28"/>
      <c r="T193" s="1"/>
      <c r="U193" s="1"/>
      <c r="V193" s="1"/>
      <c r="W193" s="28"/>
      <c r="X193" s="28"/>
      <c r="Y193" s="1"/>
      <c r="Z193" s="30"/>
      <c r="AA193" s="6"/>
      <c r="AB193" s="28"/>
      <c r="AC193" s="28"/>
      <c r="AD193" s="28"/>
      <c r="AE193" s="7"/>
      <c r="AF193" s="28"/>
      <c r="AG193" s="28"/>
      <c r="AH193" s="28"/>
      <c r="AI193" s="28"/>
      <c r="AJ193" s="28"/>
      <c r="AK193" s="28"/>
      <c r="AL193" s="28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s="31" customFormat="1" ht="10.15" hidden="1" customHeight="1" x14ac:dyDescent="0.25">
      <c r="A194" s="27"/>
      <c r="B194" s="27"/>
      <c r="C194" s="1"/>
      <c r="D194" s="1"/>
      <c r="E194" s="1"/>
      <c r="F194" s="1"/>
      <c r="G194" s="1"/>
      <c r="H194" s="28"/>
      <c r="I194" s="28"/>
      <c r="J194" s="1"/>
      <c r="K194" s="29"/>
      <c r="L194" s="28"/>
      <c r="M194" s="1"/>
      <c r="N194" s="1"/>
      <c r="O194" s="1"/>
      <c r="P194" s="1"/>
      <c r="Q194" s="1"/>
      <c r="R194" s="1"/>
      <c r="S194" s="28"/>
      <c r="T194" s="1"/>
      <c r="U194" s="1"/>
      <c r="V194" s="1"/>
      <c r="W194" s="28"/>
      <c r="X194" s="28"/>
      <c r="Y194" s="1"/>
      <c r="Z194" s="30"/>
      <c r="AA194" s="6"/>
      <c r="AB194" s="28"/>
      <c r="AC194" s="28"/>
      <c r="AD194" s="28"/>
      <c r="AE194" s="7"/>
      <c r="AF194" s="28"/>
      <c r="AG194" s="28"/>
      <c r="AH194" s="28"/>
      <c r="AI194" s="28"/>
      <c r="AJ194" s="28"/>
      <c r="AK194" s="28"/>
      <c r="AL194" s="28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ht="10.15" customHeight="1" x14ac:dyDescent="0.25">
      <c r="A195" s="44">
        <f>1+A191</f>
        <v>49</v>
      </c>
      <c r="B195" s="50"/>
      <c r="C195" s="57"/>
      <c r="D195" s="57"/>
      <c r="E195" s="34" t="str">
        <f>+AQ195</f>
        <v/>
      </c>
      <c r="F195" s="60"/>
      <c r="G195" s="34" t="str">
        <f>+AV195</f>
        <v>000100</v>
      </c>
      <c r="H195" s="35">
        <f>+AK195</f>
        <v>0</v>
      </c>
      <c r="I195" s="35">
        <f>+ROUND(AD195,2)</f>
        <v>0</v>
      </c>
      <c r="J195" s="57"/>
      <c r="K195" s="36">
        <f>+AE195</f>
        <v>0</v>
      </c>
      <c r="L195" s="35">
        <f>+AJ195</f>
        <v>0</v>
      </c>
      <c r="M195" s="37" t="s">
        <v>37</v>
      </c>
      <c r="N195" s="68"/>
      <c r="O195" s="57"/>
      <c r="P195" s="38" t="e">
        <f>+VLOOKUP(C195,Hoja1!$A$4:$C$57,3,FALSE)</f>
        <v>#N/A</v>
      </c>
      <c r="Q195" s="37" t="s">
        <v>38</v>
      </c>
      <c r="R195" s="68"/>
      <c r="S195" s="35" t="str">
        <f>(RIGHT(O195,7))</f>
        <v/>
      </c>
      <c r="T195" s="68"/>
      <c r="U195" s="37" t="s">
        <v>39</v>
      </c>
      <c r="V195" s="37" t="s">
        <v>40</v>
      </c>
      <c r="W195" s="35">
        <f>+AI195</f>
        <v>0</v>
      </c>
      <c r="X195" s="35">
        <f>+AJ195</f>
        <v>0</v>
      </c>
      <c r="Y195" s="33" t="s">
        <v>41</v>
      </c>
      <c r="Z195" s="39">
        <f>+F195</f>
        <v>0</v>
      </c>
      <c r="AA195" s="40"/>
      <c r="AB195" s="65"/>
      <c r="AC195" s="35">
        <v>0</v>
      </c>
      <c r="AD195" s="35">
        <f t="shared" ref="AD195" si="192">+AB195+AC195</f>
        <v>0</v>
      </c>
      <c r="AE195" s="67"/>
      <c r="AF195" s="35">
        <f>+AB195*AE195</f>
        <v>0</v>
      </c>
      <c r="AG195" s="35">
        <f>+AC195*AE195</f>
        <v>0</v>
      </c>
      <c r="AH195" s="35">
        <f>+AD195*AE195</f>
        <v>0</v>
      </c>
      <c r="AI195" s="35">
        <f t="shared" ref="AI195" si="193">+ROUND(AF195,2)</f>
        <v>0</v>
      </c>
      <c r="AJ195" s="35">
        <f t="shared" ref="AJ195" si="194">+ROUND(AG195,2)</f>
        <v>0</v>
      </c>
      <c r="AK195" s="35">
        <f t="shared" ref="AK195" si="195">+ROUND(AH195,2)</f>
        <v>0</v>
      </c>
      <c r="AL195" s="35">
        <f>+AI195+AJ195-AK195</f>
        <v>0</v>
      </c>
      <c r="AM195" s="62"/>
      <c r="AN195" s="35" t="str">
        <f>+LEFT(AM195,2)</f>
        <v/>
      </c>
      <c r="AO195" s="35" t="str">
        <f>+MID(AM195,4,2)</f>
        <v/>
      </c>
      <c r="AP195" s="35" t="str">
        <f>+RIGHT(AM195,2)</f>
        <v/>
      </c>
      <c r="AQ195" s="35" t="str">
        <f>+CONCATENATE(AN195,AO195,AP195)</f>
        <v/>
      </c>
      <c r="AR195" s="41">
        <f>AM195+_xlfn.XLOOKUP(C195,Hoja1!A:A,Hoja1!B:B)</f>
        <v>0</v>
      </c>
      <c r="AS195" s="42">
        <f>+DAY(AR195)</f>
        <v>0</v>
      </c>
      <c r="AT195" s="35">
        <f>+MONTH(AR195)</f>
        <v>1</v>
      </c>
      <c r="AU195" s="35">
        <f>+YEAR(AR195)</f>
        <v>1900</v>
      </c>
      <c r="AV195" s="35" t="str">
        <f>+CONCATENATE(TEXT(AS195,"00"),TEXT(AT195,"00"),RIGHT(AU195,2))</f>
        <v>000100</v>
      </c>
    </row>
    <row r="196" spans="1:48" s="31" customFormat="1" ht="10.15" hidden="1" customHeight="1" x14ac:dyDescent="0.25">
      <c r="A196" s="27"/>
      <c r="B196" s="27"/>
      <c r="C196" s="1"/>
      <c r="D196" s="1"/>
      <c r="E196" s="1"/>
      <c r="F196" s="1"/>
      <c r="G196" s="1"/>
      <c r="H196" s="28"/>
      <c r="I196" s="28"/>
      <c r="J196" s="1"/>
      <c r="K196" s="29"/>
      <c r="L196" s="28"/>
      <c r="M196" s="1"/>
      <c r="N196" s="1"/>
      <c r="O196" s="1"/>
      <c r="P196" s="1"/>
      <c r="Q196" s="1"/>
      <c r="R196" s="1"/>
      <c r="S196" s="28"/>
      <c r="T196" s="1"/>
      <c r="U196" s="1"/>
      <c r="V196" s="1"/>
      <c r="W196" s="28"/>
      <c r="X196" s="28"/>
      <c r="Y196" s="1"/>
      <c r="Z196" s="30"/>
      <c r="AA196" s="6"/>
      <c r="AB196" s="28"/>
      <c r="AC196" s="28"/>
      <c r="AD196" s="28"/>
      <c r="AE196" s="7"/>
      <c r="AF196" s="28"/>
      <c r="AG196" s="28"/>
      <c r="AH196" s="28"/>
      <c r="AI196" s="28"/>
      <c r="AJ196" s="28"/>
      <c r="AK196" s="28"/>
      <c r="AL196" s="28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s="31" customFormat="1" ht="10.15" hidden="1" customHeight="1" x14ac:dyDescent="0.25">
      <c r="A197" s="27"/>
      <c r="B197" s="27"/>
      <c r="C197" s="1"/>
      <c r="D197" s="1"/>
      <c r="E197" s="1"/>
      <c r="F197" s="1"/>
      <c r="G197" s="1"/>
      <c r="H197" s="28"/>
      <c r="I197" s="28"/>
      <c r="J197" s="1"/>
      <c r="K197" s="29"/>
      <c r="L197" s="28"/>
      <c r="M197" s="1"/>
      <c r="N197" s="1"/>
      <c r="O197" s="1"/>
      <c r="P197" s="1"/>
      <c r="Q197" s="1"/>
      <c r="R197" s="1"/>
      <c r="S197" s="28"/>
      <c r="T197" s="1"/>
      <c r="U197" s="1"/>
      <c r="V197" s="1"/>
      <c r="W197" s="28"/>
      <c r="X197" s="28"/>
      <c r="Y197" s="1"/>
      <c r="Z197" s="30"/>
      <c r="AA197" s="6"/>
      <c r="AB197" s="28"/>
      <c r="AC197" s="28"/>
      <c r="AD197" s="28"/>
      <c r="AE197" s="7"/>
      <c r="AF197" s="28"/>
      <c r="AG197" s="28"/>
      <c r="AH197" s="28"/>
      <c r="AI197" s="28"/>
      <c r="AJ197" s="28"/>
      <c r="AK197" s="28"/>
      <c r="AL197" s="28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s="31" customFormat="1" ht="10.15" hidden="1" customHeight="1" x14ac:dyDescent="0.25">
      <c r="A198" s="27"/>
      <c r="B198" s="27"/>
      <c r="C198" s="1"/>
      <c r="D198" s="1"/>
      <c r="E198" s="1"/>
      <c r="F198" s="1"/>
      <c r="G198" s="1"/>
      <c r="H198" s="28"/>
      <c r="I198" s="28"/>
      <c r="J198" s="1"/>
      <c r="K198" s="29"/>
      <c r="L198" s="28"/>
      <c r="M198" s="1"/>
      <c r="N198" s="1"/>
      <c r="O198" s="1"/>
      <c r="P198" s="1"/>
      <c r="Q198" s="1"/>
      <c r="R198" s="1"/>
      <c r="S198" s="28"/>
      <c r="T198" s="1"/>
      <c r="U198" s="1"/>
      <c r="V198" s="1"/>
      <c r="W198" s="28"/>
      <c r="X198" s="28"/>
      <c r="Y198" s="1"/>
      <c r="Z198" s="30"/>
      <c r="AA198" s="6"/>
      <c r="AB198" s="28"/>
      <c r="AC198" s="28"/>
      <c r="AD198" s="28"/>
      <c r="AE198" s="7"/>
      <c r="AF198" s="28"/>
      <c r="AG198" s="28"/>
      <c r="AH198" s="28"/>
      <c r="AI198" s="28"/>
      <c r="AJ198" s="28"/>
      <c r="AK198" s="28"/>
      <c r="AL198" s="28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ht="10.15" customHeight="1" x14ac:dyDescent="0.25">
      <c r="A199" s="44">
        <f>1+A195</f>
        <v>50</v>
      </c>
      <c r="B199" s="38"/>
      <c r="C199" s="57"/>
      <c r="D199" s="57"/>
      <c r="E199" s="34" t="str">
        <f>+AQ199</f>
        <v/>
      </c>
      <c r="F199" s="60"/>
      <c r="G199" s="34" t="str">
        <f>+AV199</f>
        <v>000100</v>
      </c>
      <c r="H199" s="35">
        <f>+AK199</f>
        <v>0</v>
      </c>
      <c r="I199" s="35">
        <f>+ROUND(AD199,2)</f>
        <v>0</v>
      </c>
      <c r="J199" s="57"/>
      <c r="K199" s="36">
        <f>+AE199</f>
        <v>0</v>
      </c>
      <c r="L199" s="35">
        <f>+AJ199</f>
        <v>0</v>
      </c>
      <c r="M199" s="37" t="s">
        <v>37</v>
      </c>
      <c r="N199" s="68"/>
      <c r="O199" s="57"/>
      <c r="P199" s="38" t="e">
        <f>+VLOOKUP(C199,Hoja1!$A$4:$C$57,3,FALSE)</f>
        <v>#N/A</v>
      </c>
      <c r="Q199" s="37" t="s">
        <v>38</v>
      </c>
      <c r="R199" s="68"/>
      <c r="S199" s="35" t="str">
        <f>(RIGHT(O199,7))</f>
        <v/>
      </c>
      <c r="T199" s="68"/>
      <c r="U199" s="37" t="s">
        <v>39</v>
      </c>
      <c r="V199" s="37" t="s">
        <v>40</v>
      </c>
      <c r="W199" s="35">
        <f>+AI199</f>
        <v>0</v>
      </c>
      <c r="X199" s="35">
        <f>+AJ199</f>
        <v>0</v>
      </c>
      <c r="Y199" s="33" t="s">
        <v>41</v>
      </c>
      <c r="Z199" s="39">
        <f>+F199</f>
        <v>0</v>
      </c>
      <c r="AA199" s="40"/>
      <c r="AB199" s="65"/>
      <c r="AC199" s="35">
        <v>0</v>
      </c>
      <c r="AD199" s="35">
        <f t="shared" ref="AD199" si="196">+AB199+AC199</f>
        <v>0</v>
      </c>
      <c r="AE199" s="67"/>
      <c r="AF199" s="35">
        <f>+AB199*AE199</f>
        <v>0</v>
      </c>
      <c r="AG199" s="35">
        <f>+AC199*AE199</f>
        <v>0</v>
      </c>
      <c r="AH199" s="35">
        <f>+AD199*AE199</f>
        <v>0</v>
      </c>
      <c r="AI199" s="35">
        <f t="shared" ref="AI199" si="197">+ROUND(AF199,2)</f>
        <v>0</v>
      </c>
      <c r="AJ199" s="35">
        <f t="shared" ref="AJ199" si="198">+ROUND(AG199,2)</f>
        <v>0</v>
      </c>
      <c r="AK199" s="35">
        <f t="shared" ref="AK199" si="199">+ROUND(AH199,2)</f>
        <v>0</v>
      </c>
      <c r="AL199" s="35">
        <f>+AI199+AJ199-AK199</f>
        <v>0</v>
      </c>
      <c r="AM199" s="62"/>
      <c r="AN199" s="35" t="str">
        <f>+LEFT(AM199,2)</f>
        <v/>
      </c>
      <c r="AO199" s="35" t="str">
        <f>+MID(AM199,4,2)</f>
        <v/>
      </c>
      <c r="AP199" s="35" t="str">
        <f>+RIGHT(AM199,2)</f>
        <v/>
      </c>
      <c r="AQ199" s="35" t="str">
        <f>+CONCATENATE(AN199,AO199,AP199)</f>
        <v/>
      </c>
      <c r="AR199" s="41">
        <f>AM199+_xlfn.XLOOKUP(C199,Hoja1!A:A,Hoja1!B:B)</f>
        <v>0</v>
      </c>
      <c r="AS199" s="42">
        <f>+DAY(AR199)</f>
        <v>0</v>
      </c>
      <c r="AT199" s="35">
        <f>+MONTH(AR199)</f>
        <v>1</v>
      </c>
      <c r="AU199" s="35">
        <f>+YEAR(AR199)</f>
        <v>1900</v>
      </c>
      <c r="AV199" s="35" t="str">
        <f>+CONCATENATE(TEXT(AS199,"00"),TEXT(AT199,"00"),RIGHT(AU199,2))</f>
        <v>000100</v>
      </c>
    </row>
    <row r="200" spans="1:48" s="31" customFormat="1" ht="10.15" hidden="1" customHeight="1" x14ac:dyDescent="0.25">
      <c r="A200" s="27"/>
      <c r="B200" s="27"/>
      <c r="C200" s="1"/>
      <c r="D200" s="1"/>
      <c r="E200" s="1"/>
      <c r="F200" s="1"/>
      <c r="G200" s="1"/>
      <c r="H200" s="28"/>
      <c r="I200" s="28"/>
      <c r="J200" s="1"/>
      <c r="K200" s="29"/>
      <c r="L200" s="28"/>
      <c r="M200" s="1"/>
      <c r="N200" s="1"/>
      <c r="O200" s="1"/>
      <c r="P200" s="1"/>
      <c r="Q200" s="1"/>
      <c r="R200" s="1"/>
      <c r="S200" s="28"/>
      <c r="T200" s="1"/>
      <c r="U200" s="1"/>
      <c r="V200" s="1"/>
      <c r="W200" s="28"/>
      <c r="X200" s="28"/>
      <c r="Y200" s="1"/>
      <c r="Z200" s="30"/>
      <c r="AA200" s="6"/>
      <c r="AB200" s="28"/>
      <c r="AC200" s="28"/>
      <c r="AD200" s="28"/>
      <c r="AE200" s="7"/>
      <c r="AF200" s="28"/>
      <c r="AG200" s="28"/>
      <c r="AH200" s="28"/>
      <c r="AI200" s="28"/>
      <c r="AJ200" s="28"/>
      <c r="AK200" s="28"/>
      <c r="AL200" s="28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s="31" customFormat="1" ht="10.15" hidden="1" customHeight="1" x14ac:dyDescent="0.25">
      <c r="A201" s="27"/>
      <c r="B201" s="27"/>
      <c r="C201" s="1"/>
      <c r="D201" s="1"/>
      <c r="E201" s="1"/>
      <c r="F201" s="1"/>
      <c r="G201" s="1"/>
      <c r="H201" s="28"/>
      <c r="I201" s="28"/>
      <c r="J201" s="1"/>
      <c r="K201" s="29"/>
      <c r="L201" s="28"/>
      <c r="M201" s="1"/>
      <c r="N201" s="1"/>
      <c r="O201" s="1"/>
      <c r="P201" s="1"/>
      <c r="Q201" s="1"/>
      <c r="R201" s="1"/>
      <c r="S201" s="28"/>
      <c r="T201" s="1"/>
      <c r="U201" s="1"/>
      <c r="V201" s="1"/>
      <c r="W201" s="28"/>
      <c r="X201" s="28"/>
      <c r="Y201" s="1"/>
      <c r="Z201" s="30"/>
      <c r="AA201" s="6"/>
      <c r="AB201" s="28"/>
      <c r="AC201" s="28"/>
      <c r="AD201" s="28"/>
      <c r="AE201" s="7"/>
      <c r="AF201" s="28"/>
      <c r="AG201" s="28"/>
      <c r="AH201" s="28"/>
      <c r="AI201" s="28"/>
      <c r="AJ201" s="28"/>
      <c r="AK201" s="28"/>
      <c r="AL201" s="28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s="31" customFormat="1" ht="10.15" hidden="1" customHeight="1" x14ac:dyDescent="0.25">
      <c r="A202" s="27"/>
      <c r="B202" s="27"/>
      <c r="C202" s="1"/>
      <c r="D202" s="1"/>
      <c r="E202" s="1"/>
      <c r="F202" s="1"/>
      <c r="G202" s="1"/>
      <c r="H202" s="28"/>
      <c r="I202" s="28"/>
      <c r="J202" s="1"/>
      <c r="K202" s="29"/>
      <c r="L202" s="28"/>
      <c r="M202" s="1"/>
      <c r="N202" s="1"/>
      <c r="O202" s="1"/>
      <c r="P202" s="1"/>
      <c r="Q202" s="1"/>
      <c r="R202" s="1"/>
      <c r="S202" s="28"/>
      <c r="T202" s="1"/>
      <c r="U202" s="1"/>
      <c r="V202" s="1"/>
      <c r="W202" s="28"/>
      <c r="X202" s="28"/>
      <c r="Y202" s="1"/>
      <c r="Z202" s="30"/>
      <c r="AA202" s="6"/>
      <c r="AB202" s="28"/>
      <c r="AC202" s="28"/>
      <c r="AD202" s="28"/>
      <c r="AE202" s="7"/>
      <c r="AF202" s="28"/>
      <c r="AG202" s="28"/>
      <c r="AH202" s="28"/>
      <c r="AI202" s="28"/>
      <c r="AJ202" s="28"/>
      <c r="AK202" s="28"/>
      <c r="AL202" s="28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ht="10.15" customHeight="1" x14ac:dyDescent="0.25">
      <c r="A203" s="44">
        <f>1+A199</f>
        <v>51</v>
      </c>
      <c r="B203" s="38"/>
      <c r="C203" s="57"/>
      <c r="D203" s="57"/>
      <c r="E203" s="34" t="str">
        <f>+AQ203</f>
        <v/>
      </c>
      <c r="F203" s="60"/>
      <c r="G203" s="34" t="str">
        <f>+AV203</f>
        <v>000100</v>
      </c>
      <c r="H203" s="35">
        <f>+AK203</f>
        <v>0</v>
      </c>
      <c r="I203" s="35">
        <f>+ROUND(AD203,2)</f>
        <v>0</v>
      </c>
      <c r="J203" s="57"/>
      <c r="K203" s="36">
        <f>+AE203</f>
        <v>0</v>
      </c>
      <c r="L203" s="35">
        <f>+AJ203</f>
        <v>0</v>
      </c>
      <c r="M203" s="37" t="s">
        <v>37</v>
      </c>
      <c r="N203" s="68"/>
      <c r="O203" s="57"/>
      <c r="P203" s="38" t="e">
        <f>+VLOOKUP(C203,Hoja1!$A$4:$C$57,3,FALSE)</f>
        <v>#N/A</v>
      </c>
      <c r="Q203" s="37" t="s">
        <v>38</v>
      </c>
      <c r="R203" s="68"/>
      <c r="S203" s="35" t="str">
        <f>(RIGHT(O203,7))</f>
        <v/>
      </c>
      <c r="T203" s="68"/>
      <c r="U203" s="37" t="s">
        <v>39</v>
      </c>
      <c r="V203" s="37" t="s">
        <v>40</v>
      </c>
      <c r="W203" s="35">
        <f>+AI203</f>
        <v>0</v>
      </c>
      <c r="X203" s="35">
        <f>+AJ203</f>
        <v>0</v>
      </c>
      <c r="Y203" s="33" t="s">
        <v>41</v>
      </c>
      <c r="Z203" s="39">
        <f>+F203</f>
        <v>0</v>
      </c>
      <c r="AA203" s="40"/>
      <c r="AB203" s="65"/>
      <c r="AC203" s="35">
        <v>0</v>
      </c>
      <c r="AD203" s="35">
        <f t="shared" ref="AD203" si="200">+AB203+AC203</f>
        <v>0</v>
      </c>
      <c r="AE203" s="67"/>
      <c r="AF203" s="35">
        <f>+AB203*AE203</f>
        <v>0</v>
      </c>
      <c r="AG203" s="35">
        <f>+AC203*AE203</f>
        <v>0</v>
      </c>
      <c r="AH203" s="35">
        <f>+AD203*AE203</f>
        <v>0</v>
      </c>
      <c r="AI203" s="35">
        <f t="shared" ref="AI203" si="201">+ROUND(AF203,2)</f>
        <v>0</v>
      </c>
      <c r="AJ203" s="35">
        <f t="shared" ref="AJ203" si="202">+ROUND(AG203,2)</f>
        <v>0</v>
      </c>
      <c r="AK203" s="35">
        <f t="shared" ref="AK203" si="203">+ROUND(AH203,2)</f>
        <v>0</v>
      </c>
      <c r="AL203" s="35">
        <f>+AI203+AJ203-AK203</f>
        <v>0</v>
      </c>
      <c r="AM203" s="62"/>
      <c r="AN203" s="35" t="str">
        <f>+LEFT(AM203,2)</f>
        <v/>
      </c>
      <c r="AO203" s="35" t="str">
        <f>+MID(AM203,4,2)</f>
        <v/>
      </c>
      <c r="AP203" s="35" t="str">
        <f>+RIGHT(AM203,2)</f>
        <v/>
      </c>
      <c r="AQ203" s="35" t="str">
        <f>+CONCATENATE(AN203,AO203,AP203)</f>
        <v/>
      </c>
      <c r="AR203" s="41">
        <f>AM203+_xlfn.XLOOKUP(C203,Hoja1!A:A,Hoja1!B:B)</f>
        <v>0</v>
      </c>
      <c r="AS203" s="42">
        <f>+DAY(AR203)</f>
        <v>0</v>
      </c>
      <c r="AT203" s="35">
        <f>+MONTH(AR203)</f>
        <v>1</v>
      </c>
      <c r="AU203" s="35">
        <f>+YEAR(AR203)</f>
        <v>1900</v>
      </c>
      <c r="AV203" s="35" t="str">
        <f>+CONCATENATE(TEXT(AS203,"00"),TEXT(AT203,"00"),RIGHT(AU203,2))</f>
        <v>000100</v>
      </c>
    </row>
    <row r="204" spans="1:48" s="31" customFormat="1" ht="10.15" hidden="1" customHeight="1" x14ac:dyDescent="0.25">
      <c r="A204" s="27"/>
      <c r="B204" s="27"/>
      <c r="C204" s="1"/>
      <c r="D204" s="1"/>
      <c r="E204" s="1"/>
      <c r="F204" s="1"/>
      <c r="G204" s="1"/>
      <c r="H204" s="28"/>
      <c r="I204" s="28"/>
      <c r="J204" s="1"/>
      <c r="K204" s="29"/>
      <c r="L204" s="28"/>
      <c r="M204" s="1"/>
      <c r="N204" s="1"/>
      <c r="O204" s="1"/>
      <c r="P204" s="1"/>
      <c r="Q204" s="1"/>
      <c r="R204" s="1"/>
      <c r="S204" s="28"/>
      <c r="T204" s="1"/>
      <c r="U204" s="1"/>
      <c r="V204" s="1"/>
      <c r="W204" s="28"/>
      <c r="X204" s="28"/>
      <c r="Y204" s="1"/>
      <c r="Z204" s="30"/>
      <c r="AA204" s="6"/>
      <c r="AB204" s="28"/>
      <c r="AC204" s="28"/>
      <c r="AD204" s="28"/>
      <c r="AE204" s="7"/>
      <c r="AF204" s="28"/>
      <c r="AG204" s="28"/>
      <c r="AH204" s="28"/>
      <c r="AI204" s="28"/>
      <c r="AJ204" s="28"/>
      <c r="AK204" s="28"/>
      <c r="AL204" s="28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s="31" customFormat="1" ht="10.15" hidden="1" customHeight="1" x14ac:dyDescent="0.25">
      <c r="A205" s="27"/>
      <c r="B205" s="27"/>
      <c r="C205" s="1"/>
      <c r="D205" s="1"/>
      <c r="E205" s="1"/>
      <c r="F205" s="1"/>
      <c r="G205" s="1"/>
      <c r="H205" s="28"/>
      <c r="I205" s="28"/>
      <c r="J205" s="1"/>
      <c r="K205" s="29"/>
      <c r="L205" s="28"/>
      <c r="M205" s="1"/>
      <c r="N205" s="1"/>
      <c r="O205" s="1"/>
      <c r="P205" s="1"/>
      <c r="Q205" s="1"/>
      <c r="R205" s="1"/>
      <c r="S205" s="28"/>
      <c r="T205" s="1"/>
      <c r="U205" s="1"/>
      <c r="V205" s="1"/>
      <c r="W205" s="28"/>
      <c r="X205" s="28"/>
      <c r="Y205" s="1"/>
      <c r="Z205" s="30"/>
      <c r="AA205" s="6"/>
      <c r="AB205" s="28"/>
      <c r="AC205" s="28"/>
      <c r="AD205" s="28"/>
      <c r="AE205" s="7"/>
      <c r="AF205" s="28"/>
      <c r="AG205" s="28"/>
      <c r="AH205" s="28"/>
      <c r="AI205" s="28"/>
      <c r="AJ205" s="28"/>
      <c r="AK205" s="28"/>
      <c r="AL205" s="28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s="31" customFormat="1" ht="10.15" hidden="1" customHeight="1" x14ac:dyDescent="0.25">
      <c r="A206" s="27"/>
      <c r="B206" s="27"/>
      <c r="C206" s="1"/>
      <c r="D206" s="1"/>
      <c r="E206" s="1"/>
      <c r="F206" s="1"/>
      <c r="G206" s="1"/>
      <c r="H206" s="28"/>
      <c r="I206" s="28"/>
      <c r="J206" s="1"/>
      <c r="K206" s="29"/>
      <c r="L206" s="28"/>
      <c r="M206" s="1"/>
      <c r="N206" s="1"/>
      <c r="O206" s="1"/>
      <c r="P206" s="1"/>
      <c r="Q206" s="1"/>
      <c r="R206" s="1"/>
      <c r="S206" s="28"/>
      <c r="T206" s="1"/>
      <c r="U206" s="1"/>
      <c r="V206" s="1"/>
      <c r="W206" s="28"/>
      <c r="X206" s="28"/>
      <c r="Y206" s="1"/>
      <c r="Z206" s="30"/>
      <c r="AA206" s="6"/>
      <c r="AB206" s="28"/>
      <c r="AC206" s="28"/>
      <c r="AD206" s="28"/>
      <c r="AE206" s="7"/>
      <c r="AF206" s="28"/>
      <c r="AG206" s="28"/>
      <c r="AH206" s="28"/>
      <c r="AI206" s="28"/>
      <c r="AJ206" s="28"/>
      <c r="AK206" s="28"/>
      <c r="AL206" s="28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ht="10.15" customHeight="1" x14ac:dyDescent="0.25">
      <c r="A207" s="44">
        <f>1+A203</f>
        <v>52</v>
      </c>
      <c r="B207" s="50"/>
      <c r="C207" s="57"/>
      <c r="D207" s="57"/>
      <c r="E207" s="34" t="str">
        <f>+AQ207</f>
        <v/>
      </c>
      <c r="F207" s="60"/>
      <c r="G207" s="34" t="str">
        <f>+AV207</f>
        <v>000100</v>
      </c>
      <c r="H207" s="35">
        <f>+AK207</f>
        <v>0</v>
      </c>
      <c r="I207" s="35">
        <f>+ROUND(AD207,2)</f>
        <v>0</v>
      </c>
      <c r="J207" s="57"/>
      <c r="K207" s="36">
        <f>+AE207</f>
        <v>0</v>
      </c>
      <c r="L207" s="35">
        <f>+AJ207</f>
        <v>0</v>
      </c>
      <c r="M207" s="37" t="s">
        <v>37</v>
      </c>
      <c r="N207" s="68"/>
      <c r="O207" s="57"/>
      <c r="P207" s="38" t="e">
        <f>+VLOOKUP(C207,Hoja1!$A$4:$C$57,3,FALSE)</f>
        <v>#N/A</v>
      </c>
      <c r="Q207" s="37" t="s">
        <v>38</v>
      </c>
      <c r="R207" s="68"/>
      <c r="S207" s="35" t="str">
        <f>(RIGHT(O207,7))</f>
        <v/>
      </c>
      <c r="T207" s="68"/>
      <c r="U207" s="37" t="s">
        <v>39</v>
      </c>
      <c r="V207" s="37" t="s">
        <v>40</v>
      </c>
      <c r="W207" s="35">
        <f>+AI207</f>
        <v>0</v>
      </c>
      <c r="X207" s="35">
        <f>+AJ207</f>
        <v>0</v>
      </c>
      <c r="Y207" s="33" t="s">
        <v>41</v>
      </c>
      <c r="Z207" s="39">
        <f>+F207</f>
        <v>0</v>
      </c>
      <c r="AA207" s="40"/>
      <c r="AB207" s="65"/>
      <c r="AC207" s="35">
        <v>0</v>
      </c>
      <c r="AD207" s="35">
        <f t="shared" ref="AD207" si="204">+AB207+AC207</f>
        <v>0</v>
      </c>
      <c r="AE207" s="67"/>
      <c r="AF207" s="35">
        <f>+AB207*AE207</f>
        <v>0</v>
      </c>
      <c r="AG207" s="35">
        <f>+AC207*AE207</f>
        <v>0</v>
      </c>
      <c r="AH207" s="35">
        <f>+AD207*AE207</f>
        <v>0</v>
      </c>
      <c r="AI207" s="35">
        <f t="shared" ref="AI207" si="205">+ROUND(AF207,2)</f>
        <v>0</v>
      </c>
      <c r="AJ207" s="35">
        <f t="shared" ref="AJ207" si="206">+ROUND(AG207,2)</f>
        <v>0</v>
      </c>
      <c r="AK207" s="35">
        <f t="shared" ref="AK207" si="207">+ROUND(AH207,2)</f>
        <v>0</v>
      </c>
      <c r="AL207" s="35">
        <f>+AI207+AJ207-AK207</f>
        <v>0</v>
      </c>
      <c r="AM207" s="62"/>
      <c r="AN207" s="35" t="str">
        <f>+LEFT(AM207,2)</f>
        <v/>
      </c>
      <c r="AO207" s="35" t="str">
        <f>+MID(AM207,4,2)</f>
        <v/>
      </c>
      <c r="AP207" s="35" t="str">
        <f>+RIGHT(AM207,2)</f>
        <v/>
      </c>
      <c r="AQ207" s="35" t="str">
        <f>+CONCATENATE(AN207,AO207,AP207)</f>
        <v/>
      </c>
      <c r="AR207" s="41">
        <f>AM207+_xlfn.XLOOKUP(C207,Hoja1!A:A,Hoja1!B:B)</f>
        <v>0</v>
      </c>
      <c r="AS207" s="42">
        <f>+DAY(AR207)</f>
        <v>0</v>
      </c>
      <c r="AT207" s="35">
        <f>+MONTH(AR207)</f>
        <v>1</v>
      </c>
      <c r="AU207" s="35">
        <f>+YEAR(AR207)</f>
        <v>1900</v>
      </c>
      <c r="AV207" s="35" t="str">
        <f>+CONCATENATE(TEXT(AS207,"00"),TEXT(AT207,"00"),RIGHT(AU207,2))</f>
        <v>000100</v>
      </c>
    </row>
    <row r="208" spans="1:48" s="31" customFormat="1" ht="10.15" hidden="1" customHeight="1" x14ac:dyDescent="0.25">
      <c r="A208" s="27"/>
      <c r="B208" s="27"/>
      <c r="C208" s="1"/>
      <c r="D208" s="1"/>
      <c r="E208" s="1"/>
      <c r="F208" s="1"/>
      <c r="G208" s="1"/>
      <c r="H208" s="28"/>
      <c r="I208" s="28"/>
      <c r="J208" s="1"/>
      <c r="K208" s="29"/>
      <c r="L208" s="28"/>
      <c r="M208" s="1"/>
      <c r="N208" s="1"/>
      <c r="O208" s="1"/>
      <c r="P208" s="1"/>
      <c r="Q208" s="1"/>
      <c r="R208" s="1"/>
      <c r="S208" s="28"/>
      <c r="T208" s="1"/>
      <c r="U208" s="1"/>
      <c r="V208" s="1"/>
      <c r="W208" s="28"/>
      <c r="X208" s="28"/>
      <c r="Y208" s="1"/>
      <c r="Z208" s="30"/>
      <c r="AA208" s="6"/>
      <c r="AB208" s="28"/>
      <c r="AC208" s="28"/>
      <c r="AD208" s="28"/>
      <c r="AE208" s="7"/>
      <c r="AF208" s="28"/>
      <c r="AG208" s="28"/>
      <c r="AH208" s="28"/>
      <c r="AI208" s="28"/>
      <c r="AJ208" s="28"/>
      <c r="AK208" s="28"/>
      <c r="AL208" s="28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s="31" customFormat="1" ht="10.15" hidden="1" customHeight="1" x14ac:dyDescent="0.25">
      <c r="A209" s="27"/>
      <c r="B209" s="27"/>
      <c r="C209" s="1"/>
      <c r="D209" s="1"/>
      <c r="E209" s="1"/>
      <c r="F209" s="1"/>
      <c r="G209" s="1"/>
      <c r="H209" s="28"/>
      <c r="I209" s="28"/>
      <c r="J209" s="1"/>
      <c r="K209" s="29"/>
      <c r="L209" s="28"/>
      <c r="M209" s="1"/>
      <c r="N209" s="1"/>
      <c r="O209" s="1"/>
      <c r="P209" s="1"/>
      <c r="Q209" s="1"/>
      <c r="R209" s="1"/>
      <c r="S209" s="28"/>
      <c r="T209" s="1"/>
      <c r="U209" s="1"/>
      <c r="V209" s="1"/>
      <c r="W209" s="28"/>
      <c r="X209" s="28"/>
      <c r="Y209" s="1"/>
      <c r="Z209" s="30"/>
      <c r="AA209" s="6"/>
      <c r="AB209" s="28"/>
      <c r="AC209" s="28"/>
      <c r="AD209" s="28"/>
      <c r="AE209" s="7"/>
      <c r="AF209" s="28"/>
      <c r="AG209" s="28"/>
      <c r="AH209" s="28"/>
      <c r="AI209" s="28"/>
      <c r="AJ209" s="28"/>
      <c r="AK209" s="28"/>
      <c r="AL209" s="28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s="31" customFormat="1" ht="10.15" hidden="1" customHeight="1" x14ac:dyDescent="0.25">
      <c r="A210" s="27"/>
      <c r="B210" s="27"/>
      <c r="C210" s="1"/>
      <c r="D210" s="1"/>
      <c r="E210" s="1"/>
      <c r="F210" s="1"/>
      <c r="G210" s="1"/>
      <c r="H210" s="28"/>
      <c r="I210" s="28"/>
      <c r="J210" s="1"/>
      <c r="K210" s="29"/>
      <c r="L210" s="28"/>
      <c r="M210" s="1"/>
      <c r="N210" s="1"/>
      <c r="O210" s="1"/>
      <c r="P210" s="1"/>
      <c r="Q210" s="1"/>
      <c r="R210" s="1"/>
      <c r="S210" s="28"/>
      <c r="T210" s="1"/>
      <c r="U210" s="1"/>
      <c r="V210" s="1"/>
      <c r="W210" s="28"/>
      <c r="X210" s="28"/>
      <c r="Y210" s="1"/>
      <c r="Z210" s="30"/>
      <c r="AA210" s="6"/>
      <c r="AB210" s="28"/>
      <c r="AC210" s="28"/>
      <c r="AD210" s="28"/>
      <c r="AE210" s="7"/>
      <c r="AF210" s="28"/>
      <c r="AG210" s="28"/>
      <c r="AH210" s="28"/>
      <c r="AI210" s="28"/>
      <c r="AJ210" s="28"/>
      <c r="AK210" s="28"/>
      <c r="AL210" s="28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ht="10.15" customHeight="1" x14ac:dyDescent="0.25">
      <c r="A211" s="44">
        <f>1+A207</f>
        <v>53</v>
      </c>
      <c r="B211" s="50"/>
      <c r="C211" s="57"/>
      <c r="D211" s="57"/>
      <c r="E211" s="34" t="str">
        <f>+AQ211</f>
        <v/>
      </c>
      <c r="F211" s="60"/>
      <c r="G211" s="34" t="str">
        <f>+AV211</f>
        <v>000100</v>
      </c>
      <c r="H211" s="35">
        <f>+AK211</f>
        <v>0</v>
      </c>
      <c r="I211" s="35">
        <f>+ROUND(AD211,2)</f>
        <v>0</v>
      </c>
      <c r="J211" s="57"/>
      <c r="K211" s="36">
        <f>+AE211</f>
        <v>0</v>
      </c>
      <c r="L211" s="35">
        <f>+AJ211</f>
        <v>0</v>
      </c>
      <c r="M211" s="37" t="s">
        <v>37</v>
      </c>
      <c r="N211" s="68"/>
      <c r="O211" s="57"/>
      <c r="P211" s="38" t="e">
        <f>+VLOOKUP(C211,Hoja1!$A$4:$C$57,3,FALSE)</f>
        <v>#N/A</v>
      </c>
      <c r="Q211" s="37" t="s">
        <v>38</v>
      </c>
      <c r="R211" s="68"/>
      <c r="S211" s="35" t="str">
        <f>(RIGHT(O211,7))</f>
        <v/>
      </c>
      <c r="T211" s="68"/>
      <c r="U211" s="37" t="s">
        <v>39</v>
      </c>
      <c r="V211" s="37" t="s">
        <v>40</v>
      </c>
      <c r="W211" s="35">
        <f>+AI211</f>
        <v>0</v>
      </c>
      <c r="X211" s="35">
        <f>+AJ211</f>
        <v>0</v>
      </c>
      <c r="Y211" s="33" t="s">
        <v>41</v>
      </c>
      <c r="Z211" s="39">
        <f>+F211</f>
        <v>0</v>
      </c>
      <c r="AA211" s="40"/>
      <c r="AB211" s="65"/>
      <c r="AC211" s="35">
        <v>0</v>
      </c>
      <c r="AD211" s="35">
        <f t="shared" ref="AD211" si="208">+AB211+AC211</f>
        <v>0</v>
      </c>
      <c r="AE211" s="67"/>
      <c r="AF211" s="35">
        <f>+AB211*AE211</f>
        <v>0</v>
      </c>
      <c r="AG211" s="35">
        <f>+AC211*AE211</f>
        <v>0</v>
      </c>
      <c r="AH211" s="35">
        <f>+AD211*AE211</f>
        <v>0</v>
      </c>
      <c r="AI211" s="35">
        <f t="shared" ref="AI211" si="209">+ROUND(AF211,2)</f>
        <v>0</v>
      </c>
      <c r="AJ211" s="35">
        <f t="shared" ref="AJ211" si="210">+ROUND(AG211,2)</f>
        <v>0</v>
      </c>
      <c r="AK211" s="35">
        <f t="shared" ref="AK211" si="211">+ROUND(AH211,2)</f>
        <v>0</v>
      </c>
      <c r="AL211" s="35">
        <f>+AI211+AJ211-AK211</f>
        <v>0</v>
      </c>
      <c r="AM211" s="62"/>
      <c r="AN211" s="35" t="str">
        <f>+LEFT(AM211,2)</f>
        <v/>
      </c>
      <c r="AO211" s="35" t="str">
        <f>+MID(AM211,4,2)</f>
        <v/>
      </c>
      <c r="AP211" s="35" t="str">
        <f>+RIGHT(AM211,2)</f>
        <v/>
      </c>
      <c r="AQ211" s="35" t="str">
        <f>+CONCATENATE(AN211,AO211,AP211)</f>
        <v/>
      </c>
      <c r="AR211" s="41">
        <f>AM211+_xlfn.XLOOKUP(C211,Hoja1!A:A,Hoja1!B:B)</f>
        <v>0</v>
      </c>
      <c r="AS211" s="42">
        <f>+DAY(AR211)</f>
        <v>0</v>
      </c>
      <c r="AT211" s="35">
        <f>+MONTH(AR211)</f>
        <v>1</v>
      </c>
      <c r="AU211" s="35">
        <f>+YEAR(AR211)</f>
        <v>1900</v>
      </c>
      <c r="AV211" s="35" t="str">
        <f>+CONCATENATE(TEXT(AS211,"00"),TEXT(AT211,"00"),RIGHT(AU211,2))</f>
        <v>000100</v>
      </c>
    </row>
    <row r="212" spans="1:48" s="31" customFormat="1" ht="10.15" hidden="1" customHeight="1" x14ac:dyDescent="0.25">
      <c r="A212" s="27"/>
      <c r="B212" s="27"/>
      <c r="C212" s="1"/>
      <c r="D212" s="1"/>
      <c r="E212" s="1"/>
      <c r="F212" s="1"/>
      <c r="G212" s="1"/>
      <c r="H212" s="28"/>
      <c r="I212" s="28"/>
      <c r="J212" s="1"/>
      <c r="K212" s="29"/>
      <c r="L212" s="28"/>
      <c r="M212" s="1"/>
      <c r="N212" s="1"/>
      <c r="O212" s="1"/>
      <c r="P212" s="1"/>
      <c r="Q212" s="1"/>
      <c r="R212" s="1"/>
      <c r="S212" s="28"/>
      <c r="T212" s="1"/>
      <c r="U212" s="1"/>
      <c r="V212" s="1"/>
      <c r="W212" s="28"/>
      <c r="X212" s="28"/>
      <c r="Y212" s="1"/>
      <c r="Z212" s="30"/>
      <c r="AA212" s="6"/>
      <c r="AB212" s="28"/>
      <c r="AC212" s="28"/>
      <c r="AD212" s="28"/>
      <c r="AE212" s="7"/>
      <c r="AF212" s="28"/>
      <c r="AG212" s="28"/>
      <c r="AH212" s="28"/>
      <c r="AI212" s="28"/>
      <c r="AJ212" s="28"/>
      <c r="AK212" s="28"/>
      <c r="AL212" s="28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s="31" customFormat="1" ht="10.15" hidden="1" customHeight="1" x14ac:dyDescent="0.25">
      <c r="A213" s="27"/>
      <c r="B213" s="27"/>
      <c r="C213" s="1"/>
      <c r="D213" s="1"/>
      <c r="E213" s="1"/>
      <c r="F213" s="1"/>
      <c r="G213" s="1"/>
      <c r="H213" s="28"/>
      <c r="I213" s="28"/>
      <c r="J213" s="1"/>
      <c r="K213" s="29"/>
      <c r="L213" s="28"/>
      <c r="M213" s="1"/>
      <c r="N213" s="1"/>
      <c r="O213" s="1"/>
      <c r="P213" s="1"/>
      <c r="Q213" s="1"/>
      <c r="R213" s="1"/>
      <c r="S213" s="28"/>
      <c r="T213" s="1"/>
      <c r="U213" s="1"/>
      <c r="V213" s="1"/>
      <c r="W213" s="28"/>
      <c r="X213" s="28"/>
      <c r="Y213" s="1"/>
      <c r="Z213" s="30"/>
      <c r="AA213" s="6"/>
      <c r="AB213" s="28"/>
      <c r="AC213" s="28"/>
      <c r="AD213" s="28"/>
      <c r="AE213" s="7"/>
      <c r="AF213" s="28"/>
      <c r="AG213" s="28"/>
      <c r="AH213" s="28"/>
      <c r="AI213" s="28"/>
      <c r="AJ213" s="28"/>
      <c r="AK213" s="28"/>
      <c r="AL213" s="28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s="31" customFormat="1" ht="10.15" hidden="1" customHeight="1" x14ac:dyDescent="0.25">
      <c r="A214" s="27"/>
      <c r="B214" s="27"/>
      <c r="C214" s="1"/>
      <c r="D214" s="1"/>
      <c r="E214" s="1"/>
      <c r="F214" s="1"/>
      <c r="G214" s="1"/>
      <c r="H214" s="28"/>
      <c r="I214" s="28"/>
      <c r="J214" s="1"/>
      <c r="K214" s="29"/>
      <c r="L214" s="28"/>
      <c r="M214" s="1"/>
      <c r="N214" s="1"/>
      <c r="O214" s="1"/>
      <c r="P214" s="1"/>
      <c r="Q214" s="1"/>
      <c r="R214" s="1"/>
      <c r="S214" s="28"/>
      <c r="T214" s="1"/>
      <c r="U214" s="1"/>
      <c r="V214" s="1"/>
      <c r="W214" s="28"/>
      <c r="X214" s="28"/>
      <c r="Y214" s="1"/>
      <c r="Z214" s="30"/>
      <c r="AA214" s="6"/>
      <c r="AB214" s="28"/>
      <c r="AC214" s="28"/>
      <c r="AD214" s="28"/>
      <c r="AE214" s="7"/>
      <c r="AF214" s="28"/>
      <c r="AG214" s="28"/>
      <c r="AH214" s="28"/>
      <c r="AI214" s="28"/>
      <c r="AJ214" s="28"/>
      <c r="AK214" s="28"/>
      <c r="AL214" s="28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ht="10.15" customHeight="1" x14ac:dyDescent="0.25">
      <c r="A215" s="44">
        <f>1+A211</f>
        <v>54</v>
      </c>
      <c r="B215" s="38"/>
      <c r="C215" s="57"/>
      <c r="D215" s="57"/>
      <c r="E215" s="34" t="str">
        <f>+AQ215</f>
        <v/>
      </c>
      <c r="F215" s="60"/>
      <c r="G215" s="34" t="str">
        <f>+AV215</f>
        <v>000100</v>
      </c>
      <c r="H215" s="35">
        <f>+AK215</f>
        <v>0</v>
      </c>
      <c r="I215" s="35">
        <f>+ROUND(AD215,2)</f>
        <v>0</v>
      </c>
      <c r="J215" s="57"/>
      <c r="K215" s="36">
        <f>+AE215</f>
        <v>0</v>
      </c>
      <c r="L215" s="35">
        <f>+AJ215</f>
        <v>0</v>
      </c>
      <c r="M215" s="37" t="s">
        <v>37</v>
      </c>
      <c r="N215" s="68"/>
      <c r="O215" s="57"/>
      <c r="P215" s="38" t="e">
        <f>+VLOOKUP(C215,Hoja1!$A$4:$C$57,3,FALSE)</f>
        <v>#N/A</v>
      </c>
      <c r="Q215" s="37" t="s">
        <v>38</v>
      </c>
      <c r="R215" s="68"/>
      <c r="S215" s="35" t="str">
        <f>(RIGHT(O215,7))</f>
        <v/>
      </c>
      <c r="T215" s="68"/>
      <c r="U215" s="37" t="s">
        <v>39</v>
      </c>
      <c r="V215" s="37" t="s">
        <v>40</v>
      </c>
      <c r="W215" s="35">
        <f>+AI215</f>
        <v>0</v>
      </c>
      <c r="X215" s="35">
        <f>+AJ215</f>
        <v>0</v>
      </c>
      <c r="Y215" s="33" t="s">
        <v>41</v>
      </c>
      <c r="Z215" s="39">
        <f>+F215</f>
        <v>0</v>
      </c>
      <c r="AA215" s="40"/>
      <c r="AB215" s="65"/>
      <c r="AC215" s="35">
        <v>0</v>
      </c>
      <c r="AD215" s="35">
        <f t="shared" ref="AD215" si="212">+AB215+AC215</f>
        <v>0</v>
      </c>
      <c r="AE215" s="67"/>
      <c r="AF215" s="35">
        <f>+AB215*AE215</f>
        <v>0</v>
      </c>
      <c r="AG215" s="35">
        <f>+AC215*AE215</f>
        <v>0</v>
      </c>
      <c r="AH215" s="35">
        <f>+AD215*AE215</f>
        <v>0</v>
      </c>
      <c r="AI215" s="35">
        <f t="shared" ref="AI215" si="213">+ROUND(AF215,2)</f>
        <v>0</v>
      </c>
      <c r="AJ215" s="35">
        <f t="shared" ref="AJ215" si="214">+ROUND(AG215,2)</f>
        <v>0</v>
      </c>
      <c r="AK215" s="35">
        <f t="shared" ref="AK215" si="215">+ROUND(AH215,2)</f>
        <v>0</v>
      </c>
      <c r="AL215" s="35">
        <f>+AI215+AJ215-AK215</f>
        <v>0</v>
      </c>
      <c r="AM215" s="62"/>
      <c r="AN215" s="35" t="str">
        <f>+LEFT(AM215,2)</f>
        <v/>
      </c>
      <c r="AO215" s="35" t="str">
        <f>+MID(AM215,4,2)</f>
        <v/>
      </c>
      <c r="AP215" s="35" t="str">
        <f>+RIGHT(AM215,2)</f>
        <v/>
      </c>
      <c r="AQ215" s="35" t="str">
        <f>+CONCATENATE(AN215,AO215,AP215)</f>
        <v/>
      </c>
      <c r="AR215" s="41">
        <f>AM215+_xlfn.XLOOKUP(C215,Hoja1!A:A,Hoja1!B:B)</f>
        <v>0</v>
      </c>
      <c r="AS215" s="42">
        <f>+DAY(AR215)</f>
        <v>0</v>
      </c>
      <c r="AT215" s="35">
        <f>+MONTH(AR215)</f>
        <v>1</v>
      </c>
      <c r="AU215" s="35">
        <f>+YEAR(AR215)</f>
        <v>1900</v>
      </c>
      <c r="AV215" s="35" t="str">
        <f>+CONCATENATE(TEXT(AS215,"00"),TEXT(AT215,"00"),RIGHT(AU215,2))</f>
        <v>000100</v>
      </c>
    </row>
    <row r="216" spans="1:48" s="31" customFormat="1" ht="10.15" hidden="1" customHeight="1" x14ac:dyDescent="0.25">
      <c r="A216" s="27"/>
      <c r="B216" s="27"/>
      <c r="C216" s="1"/>
      <c r="D216" s="1"/>
      <c r="E216" s="1"/>
      <c r="F216" s="1"/>
      <c r="G216" s="1"/>
      <c r="H216" s="28"/>
      <c r="I216" s="28"/>
      <c r="J216" s="1"/>
      <c r="K216" s="29"/>
      <c r="L216" s="28"/>
      <c r="M216" s="1"/>
      <c r="N216" s="1"/>
      <c r="O216" s="1"/>
      <c r="P216" s="1"/>
      <c r="Q216" s="1"/>
      <c r="R216" s="1"/>
      <c r="S216" s="28"/>
      <c r="T216" s="1"/>
      <c r="U216" s="1"/>
      <c r="V216" s="1"/>
      <c r="W216" s="28"/>
      <c r="X216" s="28"/>
      <c r="Y216" s="1"/>
      <c r="Z216" s="30"/>
      <c r="AA216" s="6"/>
      <c r="AB216" s="28"/>
      <c r="AC216" s="28"/>
      <c r="AD216" s="28"/>
      <c r="AE216" s="7"/>
      <c r="AF216" s="28"/>
      <c r="AG216" s="28"/>
      <c r="AH216" s="28"/>
      <c r="AI216" s="28"/>
      <c r="AJ216" s="28"/>
      <c r="AK216" s="28"/>
      <c r="AL216" s="28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s="31" customFormat="1" ht="10.15" hidden="1" customHeight="1" x14ac:dyDescent="0.25">
      <c r="A217" s="27"/>
      <c r="B217" s="27"/>
      <c r="C217" s="1"/>
      <c r="D217" s="1"/>
      <c r="E217" s="1"/>
      <c r="F217" s="1"/>
      <c r="G217" s="1"/>
      <c r="H217" s="28"/>
      <c r="I217" s="28"/>
      <c r="J217" s="1"/>
      <c r="K217" s="29"/>
      <c r="L217" s="28"/>
      <c r="M217" s="1"/>
      <c r="N217" s="1"/>
      <c r="O217" s="1"/>
      <c r="P217" s="1"/>
      <c r="Q217" s="1"/>
      <c r="R217" s="1"/>
      <c r="S217" s="28"/>
      <c r="T217" s="1"/>
      <c r="U217" s="1"/>
      <c r="V217" s="1"/>
      <c r="W217" s="28"/>
      <c r="X217" s="28"/>
      <c r="Y217" s="1"/>
      <c r="Z217" s="30"/>
      <c r="AA217" s="6"/>
      <c r="AB217" s="28"/>
      <c r="AC217" s="28"/>
      <c r="AD217" s="28"/>
      <c r="AE217" s="7"/>
      <c r="AF217" s="28"/>
      <c r="AG217" s="28"/>
      <c r="AH217" s="28"/>
      <c r="AI217" s="28"/>
      <c r="AJ217" s="28"/>
      <c r="AK217" s="28"/>
      <c r="AL217" s="28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s="31" customFormat="1" ht="10.15" hidden="1" customHeight="1" x14ac:dyDescent="0.25">
      <c r="A218" s="27"/>
      <c r="B218" s="27"/>
      <c r="C218" s="1"/>
      <c r="D218" s="1"/>
      <c r="E218" s="1"/>
      <c r="F218" s="1"/>
      <c r="G218" s="1"/>
      <c r="H218" s="28"/>
      <c r="I218" s="28"/>
      <c r="J218" s="1"/>
      <c r="K218" s="29"/>
      <c r="L218" s="28"/>
      <c r="M218" s="1"/>
      <c r="N218" s="1"/>
      <c r="O218" s="1"/>
      <c r="P218" s="1"/>
      <c r="Q218" s="1"/>
      <c r="R218" s="1"/>
      <c r="S218" s="28"/>
      <c r="T218" s="1"/>
      <c r="U218" s="1"/>
      <c r="V218" s="1"/>
      <c r="W218" s="28"/>
      <c r="X218" s="28"/>
      <c r="Y218" s="1"/>
      <c r="Z218" s="30"/>
      <c r="AA218" s="6"/>
      <c r="AB218" s="28"/>
      <c r="AC218" s="28"/>
      <c r="AD218" s="28"/>
      <c r="AE218" s="7"/>
      <c r="AF218" s="28"/>
      <c r="AG218" s="28"/>
      <c r="AH218" s="28"/>
      <c r="AI218" s="28"/>
      <c r="AJ218" s="28"/>
      <c r="AK218" s="28"/>
      <c r="AL218" s="28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ht="10.15" customHeight="1" x14ac:dyDescent="0.25">
      <c r="A219" s="44">
        <f>1+A215</f>
        <v>55</v>
      </c>
      <c r="B219" s="38"/>
      <c r="C219" s="57"/>
      <c r="D219" s="57"/>
      <c r="E219" s="34" t="str">
        <f>+AQ219</f>
        <v/>
      </c>
      <c r="F219" s="60"/>
      <c r="G219" s="34" t="str">
        <f>+AV219</f>
        <v>000100</v>
      </c>
      <c r="H219" s="35">
        <f>+AK219</f>
        <v>0</v>
      </c>
      <c r="I219" s="35">
        <f>+ROUND(AD219,2)</f>
        <v>0</v>
      </c>
      <c r="J219" s="57"/>
      <c r="K219" s="36">
        <f>+AE219</f>
        <v>0</v>
      </c>
      <c r="L219" s="35">
        <f>+AJ219</f>
        <v>0</v>
      </c>
      <c r="M219" s="37" t="s">
        <v>37</v>
      </c>
      <c r="N219" s="68"/>
      <c r="O219" s="57"/>
      <c r="P219" s="38" t="e">
        <f>+VLOOKUP(C219,Hoja1!$A$4:$C$57,3,FALSE)</f>
        <v>#N/A</v>
      </c>
      <c r="Q219" s="37" t="s">
        <v>38</v>
      </c>
      <c r="R219" s="68"/>
      <c r="S219" s="35" t="str">
        <f>(RIGHT(O219,7))</f>
        <v/>
      </c>
      <c r="T219" s="68"/>
      <c r="U219" s="37" t="s">
        <v>39</v>
      </c>
      <c r="V219" s="37" t="s">
        <v>40</v>
      </c>
      <c r="W219" s="35">
        <f>+AI219</f>
        <v>0</v>
      </c>
      <c r="X219" s="35">
        <f>+AJ219</f>
        <v>0</v>
      </c>
      <c r="Y219" s="33" t="s">
        <v>41</v>
      </c>
      <c r="Z219" s="39">
        <f>+F219</f>
        <v>0</v>
      </c>
      <c r="AA219" s="40"/>
      <c r="AB219" s="65"/>
      <c r="AC219" s="35">
        <v>0</v>
      </c>
      <c r="AD219" s="35">
        <f t="shared" ref="AD219" si="216">+AB219+AC219</f>
        <v>0</v>
      </c>
      <c r="AE219" s="67"/>
      <c r="AF219" s="35">
        <f>+AB219*AE219</f>
        <v>0</v>
      </c>
      <c r="AG219" s="35">
        <f>+AC219*AE219</f>
        <v>0</v>
      </c>
      <c r="AH219" s="35">
        <f>+AD219*AE219</f>
        <v>0</v>
      </c>
      <c r="AI219" s="35">
        <f t="shared" ref="AI219" si="217">+ROUND(AF219,2)</f>
        <v>0</v>
      </c>
      <c r="AJ219" s="35">
        <f t="shared" ref="AJ219" si="218">+ROUND(AG219,2)</f>
        <v>0</v>
      </c>
      <c r="AK219" s="35">
        <f t="shared" ref="AK219" si="219">+ROUND(AH219,2)</f>
        <v>0</v>
      </c>
      <c r="AL219" s="35">
        <f>+AI219+AJ219-AK219</f>
        <v>0</v>
      </c>
      <c r="AM219" s="62"/>
      <c r="AN219" s="35" t="str">
        <f>+LEFT(AM219,2)</f>
        <v/>
      </c>
      <c r="AO219" s="35" t="str">
        <f>+MID(AM219,4,2)</f>
        <v/>
      </c>
      <c r="AP219" s="35" t="str">
        <f>+RIGHT(AM219,2)</f>
        <v/>
      </c>
      <c r="AQ219" s="35" t="str">
        <f>+CONCATENATE(AN219,AO219,AP219)</f>
        <v/>
      </c>
      <c r="AR219" s="41">
        <f>AM219+_xlfn.XLOOKUP(C219,Hoja1!A:A,Hoja1!B:B)</f>
        <v>0</v>
      </c>
      <c r="AS219" s="42">
        <f>+DAY(AR219)</f>
        <v>0</v>
      </c>
      <c r="AT219" s="35">
        <f>+MONTH(AR219)</f>
        <v>1</v>
      </c>
      <c r="AU219" s="35">
        <f>+YEAR(AR219)</f>
        <v>1900</v>
      </c>
      <c r="AV219" s="35" t="str">
        <f>+CONCATENATE(TEXT(AS219,"00"),TEXT(AT219,"00"),RIGHT(AU219,2))</f>
        <v>000100</v>
      </c>
    </row>
    <row r="220" spans="1:48" s="31" customFormat="1" ht="10.15" hidden="1" customHeight="1" x14ac:dyDescent="0.25">
      <c r="A220" s="27"/>
      <c r="B220" s="27"/>
      <c r="C220" s="1"/>
      <c r="D220" s="1"/>
      <c r="E220" s="1"/>
      <c r="F220" s="1"/>
      <c r="G220" s="1"/>
      <c r="H220" s="28"/>
      <c r="I220" s="28"/>
      <c r="J220" s="1"/>
      <c r="K220" s="29"/>
      <c r="L220" s="28"/>
      <c r="M220" s="1"/>
      <c r="N220" s="1"/>
      <c r="O220" s="1"/>
      <c r="P220" s="1"/>
      <c r="Q220" s="1"/>
      <c r="R220" s="1"/>
      <c r="S220" s="28"/>
      <c r="T220" s="1"/>
      <c r="U220" s="1"/>
      <c r="V220" s="1"/>
      <c r="W220" s="28"/>
      <c r="X220" s="28"/>
      <c r="Y220" s="1"/>
      <c r="Z220" s="30"/>
      <c r="AA220" s="6"/>
      <c r="AB220" s="28"/>
      <c r="AC220" s="28"/>
      <c r="AD220" s="28"/>
      <c r="AE220" s="7"/>
      <c r="AF220" s="28"/>
      <c r="AG220" s="28"/>
      <c r="AH220" s="28"/>
      <c r="AI220" s="28"/>
      <c r="AJ220" s="28"/>
      <c r="AK220" s="28"/>
      <c r="AL220" s="28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s="31" customFormat="1" ht="10.15" hidden="1" customHeight="1" x14ac:dyDescent="0.25">
      <c r="A221" s="27"/>
      <c r="B221" s="27"/>
      <c r="C221" s="1"/>
      <c r="D221" s="1"/>
      <c r="E221" s="1"/>
      <c r="F221" s="1"/>
      <c r="G221" s="1"/>
      <c r="H221" s="28"/>
      <c r="I221" s="28"/>
      <c r="J221" s="1"/>
      <c r="K221" s="29"/>
      <c r="L221" s="28"/>
      <c r="M221" s="1"/>
      <c r="N221" s="1"/>
      <c r="O221" s="1"/>
      <c r="P221" s="1"/>
      <c r="Q221" s="1"/>
      <c r="R221" s="1"/>
      <c r="S221" s="28"/>
      <c r="T221" s="1"/>
      <c r="U221" s="1"/>
      <c r="V221" s="1"/>
      <c r="W221" s="28"/>
      <c r="X221" s="28"/>
      <c r="Y221" s="1"/>
      <c r="Z221" s="30"/>
      <c r="AA221" s="6"/>
      <c r="AB221" s="28"/>
      <c r="AC221" s="28"/>
      <c r="AD221" s="28"/>
      <c r="AE221" s="7"/>
      <c r="AF221" s="28"/>
      <c r="AG221" s="28"/>
      <c r="AH221" s="28"/>
      <c r="AI221" s="28"/>
      <c r="AJ221" s="28"/>
      <c r="AK221" s="28"/>
      <c r="AL221" s="28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s="31" customFormat="1" ht="10.15" hidden="1" customHeight="1" x14ac:dyDescent="0.25">
      <c r="A222" s="27"/>
      <c r="B222" s="27"/>
      <c r="C222" s="1"/>
      <c r="D222" s="1"/>
      <c r="E222" s="1"/>
      <c r="F222" s="1"/>
      <c r="G222" s="1"/>
      <c r="H222" s="28"/>
      <c r="I222" s="28"/>
      <c r="J222" s="1"/>
      <c r="K222" s="29"/>
      <c r="L222" s="28"/>
      <c r="M222" s="1"/>
      <c r="N222" s="1"/>
      <c r="O222" s="1"/>
      <c r="P222" s="1"/>
      <c r="Q222" s="1"/>
      <c r="R222" s="1"/>
      <c r="S222" s="28"/>
      <c r="T222" s="1"/>
      <c r="U222" s="1"/>
      <c r="V222" s="1"/>
      <c r="W222" s="28"/>
      <c r="X222" s="28"/>
      <c r="Y222" s="1"/>
      <c r="Z222" s="30"/>
      <c r="AA222" s="6"/>
      <c r="AB222" s="28"/>
      <c r="AC222" s="28"/>
      <c r="AD222" s="28"/>
      <c r="AE222" s="7"/>
      <c r="AF222" s="28"/>
      <c r="AG222" s="28"/>
      <c r="AH222" s="28"/>
      <c r="AI222" s="28"/>
      <c r="AJ222" s="28"/>
      <c r="AK222" s="28"/>
      <c r="AL222" s="28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ht="10.15" customHeight="1" x14ac:dyDescent="0.25">
      <c r="A223" s="44">
        <f>1+A219</f>
        <v>56</v>
      </c>
      <c r="B223" s="50"/>
      <c r="C223" s="57"/>
      <c r="D223" s="57"/>
      <c r="E223" s="34" t="str">
        <f>+AQ223</f>
        <v/>
      </c>
      <c r="F223" s="60"/>
      <c r="G223" s="34" t="str">
        <f>+AV223</f>
        <v>000100</v>
      </c>
      <c r="H223" s="35">
        <f>+AK223</f>
        <v>0</v>
      </c>
      <c r="I223" s="35">
        <f>+ROUND(AD223,2)</f>
        <v>0</v>
      </c>
      <c r="J223" s="57"/>
      <c r="K223" s="36">
        <f>+AE223</f>
        <v>0</v>
      </c>
      <c r="L223" s="35">
        <f>+AJ223</f>
        <v>0</v>
      </c>
      <c r="M223" s="37" t="s">
        <v>37</v>
      </c>
      <c r="N223" s="68"/>
      <c r="O223" s="57"/>
      <c r="P223" s="38" t="e">
        <f>+VLOOKUP(C223,Hoja1!$A$4:$C$57,3,FALSE)</f>
        <v>#N/A</v>
      </c>
      <c r="Q223" s="37" t="s">
        <v>38</v>
      </c>
      <c r="R223" s="68"/>
      <c r="S223" s="35" t="str">
        <f>(RIGHT(O223,7))</f>
        <v/>
      </c>
      <c r="T223" s="68"/>
      <c r="U223" s="37" t="s">
        <v>39</v>
      </c>
      <c r="V223" s="37" t="s">
        <v>40</v>
      </c>
      <c r="W223" s="35">
        <f>+AI223</f>
        <v>0</v>
      </c>
      <c r="X223" s="35">
        <f>+AJ223</f>
        <v>0</v>
      </c>
      <c r="Y223" s="33" t="s">
        <v>41</v>
      </c>
      <c r="Z223" s="39">
        <f>+F223</f>
        <v>0</v>
      </c>
      <c r="AA223" s="40"/>
      <c r="AB223" s="65"/>
      <c r="AC223" s="35">
        <v>0</v>
      </c>
      <c r="AD223" s="35">
        <f t="shared" ref="AD223" si="220">+AB223+AC223</f>
        <v>0</v>
      </c>
      <c r="AE223" s="67"/>
      <c r="AF223" s="35">
        <f>+AB223*AE223</f>
        <v>0</v>
      </c>
      <c r="AG223" s="35">
        <f>+AC223*AE223</f>
        <v>0</v>
      </c>
      <c r="AH223" s="35">
        <f>+AD223*AE223</f>
        <v>0</v>
      </c>
      <c r="AI223" s="35">
        <f t="shared" ref="AI223" si="221">+ROUND(AF223,2)</f>
        <v>0</v>
      </c>
      <c r="AJ223" s="35">
        <f t="shared" ref="AJ223" si="222">+ROUND(AG223,2)</f>
        <v>0</v>
      </c>
      <c r="AK223" s="35">
        <f t="shared" ref="AK223" si="223">+ROUND(AH223,2)</f>
        <v>0</v>
      </c>
      <c r="AL223" s="35">
        <f>+AI223+AJ223-AK223</f>
        <v>0</v>
      </c>
      <c r="AM223" s="63"/>
      <c r="AN223" s="35" t="str">
        <f>+LEFT(AM223,2)</f>
        <v/>
      </c>
      <c r="AO223" s="35" t="str">
        <f>+MID(AM223,4,2)</f>
        <v/>
      </c>
      <c r="AP223" s="35" t="str">
        <f>+RIGHT(AM223,2)</f>
        <v/>
      </c>
      <c r="AQ223" s="35" t="str">
        <f>+CONCATENATE(AN223,AO223,AP223)</f>
        <v/>
      </c>
      <c r="AR223" s="41">
        <f>AM223+_xlfn.XLOOKUP(C223,Hoja1!A:A,Hoja1!B:B)</f>
        <v>0</v>
      </c>
      <c r="AS223" s="42">
        <f>+DAY(AR223)</f>
        <v>0</v>
      </c>
      <c r="AT223" s="35">
        <f>+MONTH(AR223)</f>
        <v>1</v>
      </c>
      <c r="AU223" s="35">
        <f>+YEAR(AR223)</f>
        <v>1900</v>
      </c>
      <c r="AV223" s="35" t="str">
        <f>+CONCATENATE(TEXT(AS223,"00"),TEXT(AT223,"00"),RIGHT(AU223,2))</f>
        <v>000100</v>
      </c>
    </row>
    <row r="224" spans="1:48" s="31" customFormat="1" ht="10.15" hidden="1" customHeight="1" x14ac:dyDescent="0.25">
      <c r="A224" s="27"/>
      <c r="B224" s="27"/>
      <c r="C224" s="1"/>
      <c r="D224" s="1"/>
      <c r="E224" s="1"/>
      <c r="F224" s="1"/>
      <c r="G224" s="1"/>
      <c r="H224" s="28"/>
      <c r="I224" s="28"/>
      <c r="J224" s="1"/>
      <c r="K224" s="29"/>
      <c r="L224" s="28"/>
      <c r="M224" s="1"/>
      <c r="N224" s="1"/>
      <c r="O224" s="1"/>
      <c r="P224" s="1"/>
      <c r="Q224" s="1"/>
      <c r="R224" s="1"/>
      <c r="S224" s="28"/>
      <c r="T224" s="1"/>
      <c r="U224" s="1"/>
      <c r="V224" s="1"/>
      <c r="W224" s="28"/>
      <c r="X224" s="28"/>
      <c r="Y224" s="1"/>
      <c r="Z224" s="30"/>
      <c r="AA224" s="6"/>
      <c r="AB224" s="28"/>
      <c r="AC224" s="28"/>
      <c r="AD224" s="28"/>
      <c r="AE224" s="7"/>
      <c r="AF224" s="28"/>
      <c r="AG224" s="28"/>
      <c r="AH224" s="28"/>
      <c r="AI224" s="28"/>
      <c r="AJ224" s="28"/>
      <c r="AK224" s="28"/>
      <c r="AL224" s="28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s="31" customFormat="1" ht="10.15" hidden="1" customHeight="1" x14ac:dyDescent="0.25">
      <c r="A225" s="27"/>
      <c r="B225" s="27"/>
      <c r="C225" s="1"/>
      <c r="D225" s="1"/>
      <c r="E225" s="1"/>
      <c r="F225" s="1"/>
      <c r="G225" s="1"/>
      <c r="H225" s="28"/>
      <c r="I225" s="28"/>
      <c r="J225" s="1"/>
      <c r="K225" s="29"/>
      <c r="L225" s="28"/>
      <c r="M225" s="1"/>
      <c r="N225" s="1"/>
      <c r="O225" s="1"/>
      <c r="P225" s="1"/>
      <c r="Q225" s="1"/>
      <c r="R225" s="1"/>
      <c r="S225" s="28"/>
      <c r="T225" s="1"/>
      <c r="U225" s="1"/>
      <c r="V225" s="1"/>
      <c r="W225" s="28"/>
      <c r="X225" s="28"/>
      <c r="Y225" s="1"/>
      <c r="Z225" s="30"/>
      <c r="AA225" s="6"/>
      <c r="AB225" s="28"/>
      <c r="AC225" s="28"/>
      <c r="AD225" s="28"/>
      <c r="AE225" s="7"/>
      <c r="AF225" s="28"/>
      <c r="AG225" s="28"/>
      <c r="AH225" s="28"/>
      <c r="AI225" s="28"/>
      <c r="AJ225" s="28"/>
      <c r="AK225" s="28"/>
      <c r="AL225" s="28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s="31" customFormat="1" ht="10.15" hidden="1" customHeight="1" x14ac:dyDescent="0.25">
      <c r="A226" s="27"/>
      <c r="B226" s="27"/>
      <c r="C226" s="1"/>
      <c r="D226" s="1"/>
      <c r="E226" s="1"/>
      <c r="F226" s="1"/>
      <c r="G226" s="1"/>
      <c r="H226" s="28"/>
      <c r="I226" s="28"/>
      <c r="J226" s="1"/>
      <c r="K226" s="29"/>
      <c r="L226" s="28"/>
      <c r="M226" s="1"/>
      <c r="N226" s="1"/>
      <c r="O226" s="1"/>
      <c r="P226" s="1"/>
      <c r="Q226" s="1"/>
      <c r="R226" s="1"/>
      <c r="S226" s="28"/>
      <c r="T226" s="1"/>
      <c r="U226" s="1"/>
      <c r="V226" s="1"/>
      <c r="W226" s="28"/>
      <c r="X226" s="28"/>
      <c r="Y226" s="1"/>
      <c r="Z226" s="30"/>
      <c r="AA226" s="6"/>
      <c r="AB226" s="28"/>
      <c r="AC226" s="28"/>
      <c r="AD226" s="28"/>
      <c r="AE226" s="7"/>
      <c r="AF226" s="28"/>
      <c r="AG226" s="28"/>
      <c r="AH226" s="28"/>
      <c r="AI226" s="28"/>
      <c r="AJ226" s="28"/>
      <c r="AK226" s="28"/>
      <c r="AL226" s="28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ht="10.15" customHeight="1" x14ac:dyDescent="0.25">
      <c r="A227" s="44">
        <f>1+A223</f>
        <v>57</v>
      </c>
      <c r="B227" s="50"/>
      <c r="C227" s="57"/>
      <c r="D227" s="57"/>
      <c r="E227" s="34" t="str">
        <f>+AQ227</f>
        <v/>
      </c>
      <c r="F227" s="60"/>
      <c r="G227" s="34" t="str">
        <f>+AV227</f>
        <v>000100</v>
      </c>
      <c r="H227" s="35">
        <f>+AK227</f>
        <v>0</v>
      </c>
      <c r="I227" s="35">
        <f>+ROUND(AD227,2)</f>
        <v>0</v>
      </c>
      <c r="J227" s="57"/>
      <c r="K227" s="36">
        <f>+AE227</f>
        <v>0</v>
      </c>
      <c r="L227" s="35">
        <f>+AJ227</f>
        <v>0</v>
      </c>
      <c r="M227" s="37" t="s">
        <v>37</v>
      </c>
      <c r="N227" s="68"/>
      <c r="O227" s="57"/>
      <c r="P227" s="38" t="e">
        <f>+VLOOKUP(C227,Hoja1!$A$4:$C$57,3,FALSE)</f>
        <v>#N/A</v>
      </c>
      <c r="Q227" s="37" t="s">
        <v>38</v>
      </c>
      <c r="R227" s="68"/>
      <c r="S227" s="35" t="str">
        <f>(RIGHT(O227,7))</f>
        <v/>
      </c>
      <c r="T227" s="68"/>
      <c r="U227" s="37" t="s">
        <v>39</v>
      </c>
      <c r="V227" s="37" t="s">
        <v>40</v>
      </c>
      <c r="W227" s="35">
        <f>+AI227</f>
        <v>0</v>
      </c>
      <c r="X227" s="35">
        <f>+AJ227</f>
        <v>0</v>
      </c>
      <c r="Y227" s="33" t="s">
        <v>41</v>
      </c>
      <c r="Z227" s="39">
        <f>+F227</f>
        <v>0</v>
      </c>
      <c r="AA227" s="40"/>
      <c r="AB227" s="65"/>
      <c r="AC227" s="35">
        <v>0</v>
      </c>
      <c r="AD227" s="35">
        <f t="shared" ref="AD227" si="224">+AB227+AC227</f>
        <v>0</v>
      </c>
      <c r="AE227" s="67"/>
      <c r="AF227" s="35">
        <f>+AB227*AE227</f>
        <v>0</v>
      </c>
      <c r="AG227" s="35">
        <f>+AC227*AE227</f>
        <v>0</v>
      </c>
      <c r="AH227" s="35">
        <f>+AD227*AE227</f>
        <v>0</v>
      </c>
      <c r="AI227" s="35">
        <f t="shared" ref="AI227" si="225">+ROUND(AF227,2)</f>
        <v>0</v>
      </c>
      <c r="AJ227" s="35">
        <f t="shared" ref="AJ227" si="226">+ROUND(AG227,2)</f>
        <v>0</v>
      </c>
      <c r="AK227" s="35">
        <f t="shared" ref="AK227" si="227">+ROUND(AH227,2)</f>
        <v>0</v>
      </c>
      <c r="AL227" s="35">
        <f>+AI227+AJ227-AK227</f>
        <v>0</v>
      </c>
      <c r="AM227" s="63"/>
      <c r="AN227" s="35" t="str">
        <f>+LEFT(AM227,2)</f>
        <v/>
      </c>
      <c r="AO227" s="35" t="str">
        <f>+MID(AM227,4,2)</f>
        <v/>
      </c>
      <c r="AP227" s="35" t="str">
        <f>+RIGHT(AM227,2)</f>
        <v/>
      </c>
      <c r="AQ227" s="35" t="str">
        <f>+CONCATENATE(AN227,AO227,AP227)</f>
        <v/>
      </c>
      <c r="AR227" s="41">
        <f>AM227+_xlfn.XLOOKUP(C227,Hoja1!A:A,Hoja1!B:B)</f>
        <v>0</v>
      </c>
      <c r="AS227" s="42">
        <f>+DAY(AR227)</f>
        <v>0</v>
      </c>
      <c r="AT227" s="35">
        <f>+MONTH(AR227)</f>
        <v>1</v>
      </c>
      <c r="AU227" s="35">
        <f>+YEAR(AR227)</f>
        <v>1900</v>
      </c>
      <c r="AV227" s="35" t="str">
        <f>+CONCATENATE(TEXT(AS227,"00"),TEXT(AT227,"00"),RIGHT(AU227,2))</f>
        <v>000100</v>
      </c>
    </row>
    <row r="228" spans="1:48" s="31" customFormat="1" ht="10.15" hidden="1" customHeight="1" x14ac:dyDescent="0.25">
      <c r="A228" s="27"/>
      <c r="B228" s="27"/>
      <c r="C228" s="1"/>
      <c r="D228" s="1"/>
      <c r="E228" s="1"/>
      <c r="F228" s="1"/>
      <c r="G228" s="1"/>
      <c r="H228" s="28"/>
      <c r="I228" s="28"/>
      <c r="J228" s="1"/>
      <c r="K228" s="29"/>
      <c r="L228" s="28"/>
      <c r="M228" s="1"/>
      <c r="N228" s="1"/>
      <c r="O228" s="1"/>
      <c r="P228" s="1"/>
      <c r="Q228" s="1"/>
      <c r="R228" s="1"/>
      <c r="S228" s="28"/>
      <c r="T228" s="1"/>
      <c r="U228" s="1"/>
      <c r="V228" s="1"/>
      <c r="W228" s="28"/>
      <c r="X228" s="28"/>
      <c r="Y228" s="1"/>
      <c r="Z228" s="30"/>
      <c r="AA228" s="6"/>
      <c r="AB228" s="28"/>
      <c r="AC228" s="28"/>
      <c r="AD228" s="28"/>
      <c r="AE228" s="7"/>
      <c r="AF228" s="28"/>
      <c r="AG228" s="28"/>
      <c r="AH228" s="28"/>
      <c r="AI228" s="28"/>
      <c r="AJ228" s="28"/>
      <c r="AK228" s="28"/>
      <c r="AL228" s="28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s="31" customFormat="1" ht="10.15" hidden="1" customHeight="1" x14ac:dyDescent="0.25">
      <c r="A229" s="27"/>
      <c r="B229" s="27"/>
      <c r="C229" s="1"/>
      <c r="D229" s="1"/>
      <c r="E229" s="1"/>
      <c r="F229" s="1"/>
      <c r="G229" s="1"/>
      <c r="H229" s="28"/>
      <c r="I229" s="28"/>
      <c r="J229" s="1"/>
      <c r="K229" s="29"/>
      <c r="L229" s="28"/>
      <c r="M229" s="1"/>
      <c r="N229" s="1"/>
      <c r="O229" s="1"/>
      <c r="P229" s="1"/>
      <c r="Q229" s="1"/>
      <c r="R229" s="1"/>
      <c r="S229" s="28"/>
      <c r="T229" s="1"/>
      <c r="U229" s="1"/>
      <c r="V229" s="1"/>
      <c r="W229" s="28"/>
      <c r="X229" s="28"/>
      <c r="Y229" s="1"/>
      <c r="Z229" s="30"/>
      <c r="AA229" s="6"/>
      <c r="AB229" s="28"/>
      <c r="AC229" s="28"/>
      <c r="AD229" s="28"/>
      <c r="AE229" s="7"/>
      <c r="AF229" s="28"/>
      <c r="AG229" s="28"/>
      <c r="AH229" s="28"/>
      <c r="AI229" s="28"/>
      <c r="AJ229" s="28"/>
      <c r="AK229" s="28"/>
      <c r="AL229" s="28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s="31" customFormat="1" ht="10.15" hidden="1" customHeight="1" x14ac:dyDescent="0.25">
      <c r="A230" s="27"/>
      <c r="B230" s="27"/>
      <c r="C230" s="1"/>
      <c r="D230" s="1"/>
      <c r="E230" s="1"/>
      <c r="F230" s="1"/>
      <c r="G230" s="1"/>
      <c r="H230" s="28"/>
      <c r="I230" s="28"/>
      <c r="J230" s="1"/>
      <c r="K230" s="29"/>
      <c r="L230" s="28"/>
      <c r="M230" s="1"/>
      <c r="N230" s="1"/>
      <c r="O230" s="1"/>
      <c r="P230" s="1"/>
      <c r="Q230" s="1"/>
      <c r="R230" s="1"/>
      <c r="S230" s="28"/>
      <c r="T230" s="1"/>
      <c r="U230" s="1"/>
      <c r="V230" s="1"/>
      <c r="W230" s="28"/>
      <c r="X230" s="28"/>
      <c r="Y230" s="1"/>
      <c r="Z230" s="30"/>
      <c r="AA230" s="6"/>
      <c r="AB230" s="28"/>
      <c r="AC230" s="28"/>
      <c r="AD230" s="28"/>
      <c r="AE230" s="7"/>
      <c r="AF230" s="28"/>
      <c r="AG230" s="28"/>
      <c r="AH230" s="28"/>
      <c r="AI230" s="28"/>
      <c r="AJ230" s="28"/>
      <c r="AK230" s="28"/>
      <c r="AL230" s="28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ht="10.15" customHeight="1" x14ac:dyDescent="0.25">
      <c r="A231" s="44">
        <f>1+A227</f>
        <v>58</v>
      </c>
      <c r="B231" s="38"/>
      <c r="C231" s="57"/>
      <c r="D231" s="57"/>
      <c r="E231" s="34" t="str">
        <f>+AQ231</f>
        <v/>
      </c>
      <c r="F231" s="60"/>
      <c r="G231" s="34" t="str">
        <f>+AV231</f>
        <v>000100</v>
      </c>
      <c r="H231" s="35">
        <f>+AK231</f>
        <v>0</v>
      </c>
      <c r="I231" s="35">
        <f>+ROUND(AD231,2)</f>
        <v>0</v>
      </c>
      <c r="J231" s="57"/>
      <c r="K231" s="36">
        <f>+AE231</f>
        <v>0</v>
      </c>
      <c r="L231" s="35">
        <f>+AJ231</f>
        <v>0</v>
      </c>
      <c r="M231" s="37" t="s">
        <v>37</v>
      </c>
      <c r="N231" s="68"/>
      <c r="O231" s="57"/>
      <c r="P231" s="38" t="e">
        <f>+VLOOKUP(C231,Hoja1!$A$4:$C$57,3,FALSE)</f>
        <v>#N/A</v>
      </c>
      <c r="Q231" s="37" t="s">
        <v>38</v>
      </c>
      <c r="R231" s="68"/>
      <c r="S231" s="35" t="str">
        <f>(RIGHT(O231,7))</f>
        <v/>
      </c>
      <c r="T231" s="68"/>
      <c r="U231" s="37" t="s">
        <v>39</v>
      </c>
      <c r="V231" s="37" t="s">
        <v>40</v>
      </c>
      <c r="W231" s="35">
        <f>+AI231</f>
        <v>0</v>
      </c>
      <c r="X231" s="35">
        <f>+AJ231</f>
        <v>0</v>
      </c>
      <c r="Y231" s="33" t="s">
        <v>41</v>
      </c>
      <c r="Z231" s="39">
        <f>+F231</f>
        <v>0</v>
      </c>
      <c r="AA231" s="40"/>
      <c r="AB231" s="65"/>
      <c r="AC231" s="35">
        <v>0</v>
      </c>
      <c r="AD231" s="35">
        <f t="shared" ref="AD231" si="228">+AB231+AC231</f>
        <v>0</v>
      </c>
      <c r="AE231" s="67"/>
      <c r="AF231" s="35">
        <f>+AB231*AE231</f>
        <v>0</v>
      </c>
      <c r="AG231" s="35">
        <f>+AC231*AE231</f>
        <v>0</v>
      </c>
      <c r="AH231" s="35">
        <f>+AD231*AE231</f>
        <v>0</v>
      </c>
      <c r="AI231" s="35">
        <f t="shared" ref="AI231" si="229">+ROUND(AF231,2)</f>
        <v>0</v>
      </c>
      <c r="AJ231" s="35">
        <f t="shared" ref="AJ231" si="230">+ROUND(AG231,2)</f>
        <v>0</v>
      </c>
      <c r="AK231" s="35">
        <f t="shared" ref="AK231" si="231">+ROUND(AH231,2)</f>
        <v>0</v>
      </c>
      <c r="AL231" s="35">
        <f>+AI231+AJ231-AK231</f>
        <v>0</v>
      </c>
      <c r="AM231" s="62"/>
      <c r="AN231" s="35" t="str">
        <f>+LEFT(AM231,2)</f>
        <v/>
      </c>
      <c r="AO231" s="35" t="str">
        <f>+MID(AM231,4,2)</f>
        <v/>
      </c>
      <c r="AP231" s="35" t="str">
        <f>+RIGHT(AM231,2)</f>
        <v/>
      </c>
      <c r="AQ231" s="35" t="str">
        <f>+CONCATENATE(AN231,AO231,AP231)</f>
        <v/>
      </c>
      <c r="AR231" s="41">
        <f>AM231+_xlfn.XLOOKUP(C231,Hoja1!A:A,Hoja1!B:B)</f>
        <v>0</v>
      </c>
      <c r="AS231" s="42">
        <f>+DAY(AR231)</f>
        <v>0</v>
      </c>
      <c r="AT231" s="35">
        <f>+MONTH(AR231)</f>
        <v>1</v>
      </c>
      <c r="AU231" s="35">
        <f>+YEAR(AR231)</f>
        <v>1900</v>
      </c>
      <c r="AV231" s="35" t="str">
        <f>+CONCATENATE(TEXT(AS231,"00"),TEXT(AT231,"00"),RIGHT(AU231,2))</f>
        <v>000100</v>
      </c>
    </row>
    <row r="232" spans="1:48" s="31" customFormat="1" ht="10.15" hidden="1" customHeight="1" x14ac:dyDescent="0.25">
      <c r="A232" s="27"/>
      <c r="B232" s="27"/>
      <c r="C232" s="1"/>
      <c r="D232" s="1"/>
      <c r="E232" s="1"/>
      <c r="F232" s="1"/>
      <c r="G232" s="1"/>
      <c r="H232" s="28"/>
      <c r="I232" s="28"/>
      <c r="J232" s="1"/>
      <c r="K232" s="29"/>
      <c r="L232" s="28"/>
      <c r="M232" s="1"/>
      <c r="N232" s="1"/>
      <c r="O232" s="1"/>
      <c r="P232" s="1"/>
      <c r="Q232" s="1"/>
      <c r="R232" s="1"/>
      <c r="S232" s="28"/>
      <c r="T232" s="1"/>
      <c r="U232" s="1"/>
      <c r="V232" s="1"/>
      <c r="W232" s="28"/>
      <c r="X232" s="28"/>
      <c r="Y232" s="1"/>
      <c r="Z232" s="30"/>
      <c r="AA232" s="6"/>
      <c r="AB232" s="28"/>
      <c r="AC232" s="28"/>
      <c r="AD232" s="28"/>
      <c r="AE232" s="7"/>
      <c r="AF232" s="28"/>
      <c r="AG232" s="28"/>
      <c r="AH232" s="28"/>
      <c r="AI232" s="28"/>
      <c r="AJ232" s="28"/>
      <c r="AK232" s="28"/>
      <c r="AL232" s="28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s="31" customFormat="1" ht="10.15" hidden="1" customHeight="1" x14ac:dyDescent="0.25">
      <c r="A233" s="27"/>
      <c r="B233" s="27"/>
      <c r="C233" s="1"/>
      <c r="D233" s="1"/>
      <c r="E233" s="1"/>
      <c r="F233" s="1"/>
      <c r="G233" s="1"/>
      <c r="H233" s="28"/>
      <c r="I233" s="28"/>
      <c r="J233" s="1"/>
      <c r="K233" s="29"/>
      <c r="L233" s="28"/>
      <c r="M233" s="1"/>
      <c r="N233" s="1"/>
      <c r="O233" s="1"/>
      <c r="P233" s="1"/>
      <c r="Q233" s="1"/>
      <c r="R233" s="1"/>
      <c r="S233" s="28"/>
      <c r="T233" s="1"/>
      <c r="U233" s="1"/>
      <c r="V233" s="1"/>
      <c r="W233" s="28"/>
      <c r="X233" s="28"/>
      <c r="Y233" s="1"/>
      <c r="Z233" s="30"/>
      <c r="AA233" s="6"/>
      <c r="AB233" s="28"/>
      <c r="AC233" s="28"/>
      <c r="AD233" s="28"/>
      <c r="AE233" s="7"/>
      <c r="AF233" s="28"/>
      <c r="AG233" s="28"/>
      <c r="AH233" s="28"/>
      <c r="AI233" s="28"/>
      <c r="AJ233" s="28"/>
      <c r="AK233" s="28"/>
      <c r="AL233" s="28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s="31" customFormat="1" ht="10.15" hidden="1" customHeight="1" x14ac:dyDescent="0.25">
      <c r="A234" s="27"/>
      <c r="B234" s="27"/>
      <c r="C234" s="1"/>
      <c r="D234" s="1"/>
      <c r="E234" s="1"/>
      <c r="F234" s="1"/>
      <c r="G234" s="1"/>
      <c r="H234" s="28"/>
      <c r="I234" s="28"/>
      <c r="J234" s="1"/>
      <c r="K234" s="29"/>
      <c r="L234" s="28"/>
      <c r="M234" s="1"/>
      <c r="N234" s="1"/>
      <c r="O234" s="1"/>
      <c r="P234" s="1"/>
      <c r="Q234" s="1"/>
      <c r="R234" s="1"/>
      <c r="S234" s="28"/>
      <c r="T234" s="1"/>
      <c r="U234" s="1"/>
      <c r="V234" s="1"/>
      <c r="W234" s="28"/>
      <c r="X234" s="28"/>
      <c r="Y234" s="1"/>
      <c r="Z234" s="30"/>
      <c r="AA234" s="6"/>
      <c r="AB234" s="28"/>
      <c r="AC234" s="28"/>
      <c r="AD234" s="28"/>
      <c r="AE234" s="7"/>
      <c r="AF234" s="28"/>
      <c r="AG234" s="28"/>
      <c r="AH234" s="28"/>
      <c r="AI234" s="28"/>
      <c r="AJ234" s="28"/>
      <c r="AK234" s="28"/>
      <c r="AL234" s="28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ht="10.15" customHeight="1" x14ac:dyDescent="0.25">
      <c r="A235" s="44">
        <f>1+A231</f>
        <v>59</v>
      </c>
      <c r="B235" s="38"/>
      <c r="C235" s="57"/>
      <c r="D235" s="57"/>
      <c r="E235" s="34" t="str">
        <f>+AQ235</f>
        <v/>
      </c>
      <c r="F235" s="60"/>
      <c r="G235" s="34" t="str">
        <f>+AV235</f>
        <v>000100</v>
      </c>
      <c r="H235" s="35">
        <f>+AK235</f>
        <v>0</v>
      </c>
      <c r="I235" s="35">
        <f>+ROUND(AD235,2)</f>
        <v>0</v>
      </c>
      <c r="J235" s="57"/>
      <c r="K235" s="36">
        <f>+AE235</f>
        <v>0</v>
      </c>
      <c r="L235" s="35">
        <f>+AJ235</f>
        <v>0</v>
      </c>
      <c r="M235" s="37" t="s">
        <v>37</v>
      </c>
      <c r="N235" s="68"/>
      <c r="O235" s="57"/>
      <c r="P235" s="38" t="e">
        <f>+VLOOKUP(C235,Hoja1!$A$4:$C$57,3,FALSE)</f>
        <v>#N/A</v>
      </c>
      <c r="Q235" s="37" t="s">
        <v>38</v>
      </c>
      <c r="R235" s="68"/>
      <c r="S235" s="35" t="str">
        <f>(RIGHT(O235,7))</f>
        <v/>
      </c>
      <c r="T235" s="68"/>
      <c r="U235" s="37" t="s">
        <v>39</v>
      </c>
      <c r="V235" s="37" t="s">
        <v>40</v>
      </c>
      <c r="W235" s="35">
        <f>+AI235</f>
        <v>0</v>
      </c>
      <c r="X235" s="35">
        <f>+AJ235</f>
        <v>0</v>
      </c>
      <c r="Y235" s="33" t="s">
        <v>41</v>
      </c>
      <c r="Z235" s="39">
        <f>+F235</f>
        <v>0</v>
      </c>
      <c r="AA235" s="40"/>
      <c r="AB235" s="65"/>
      <c r="AC235" s="35">
        <v>0</v>
      </c>
      <c r="AD235" s="35">
        <f t="shared" ref="AD235" si="232">+AB235+AC235</f>
        <v>0</v>
      </c>
      <c r="AE235" s="67"/>
      <c r="AF235" s="35">
        <f>+AB235*AE235</f>
        <v>0</v>
      </c>
      <c r="AG235" s="35">
        <f>+AC235*AE235</f>
        <v>0</v>
      </c>
      <c r="AH235" s="35">
        <f>+AD235*AE235</f>
        <v>0</v>
      </c>
      <c r="AI235" s="35">
        <f t="shared" ref="AI235" si="233">+ROUND(AF235,2)</f>
        <v>0</v>
      </c>
      <c r="AJ235" s="35">
        <f t="shared" ref="AJ235" si="234">+ROUND(AG235,2)</f>
        <v>0</v>
      </c>
      <c r="AK235" s="35">
        <f t="shared" ref="AK235" si="235">+ROUND(AH235,2)</f>
        <v>0</v>
      </c>
      <c r="AL235" s="35">
        <f>+AI235+AJ235-AK235</f>
        <v>0</v>
      </c>
      <c r="AM235" s="63"/>
      <c r="AN235" s="35" t="str">
        <f>+LEFT(AM235,2)</f>
        <v/>
      </c>
      <c r="AO235" s="35" t="str">
        <f>+MID(AM235,4,2)</f>
        <v/>
      </c>
      <c r="AP235" s="35" t="str">
        <f>+RIGHT(AM235,2)</f>
        <v/>
      </c>
      <c r="AQ235" s="35" t="str">
        <f>+CONCATENATE(AN235,AO235,AP235)</f>
        <v/>
      </c>
      <c r="AR235" s="41">
        <f>AM235+_xlfn.XLOOKUP(C235,Hoja1!A:A,Hoja1!B:B)</f>
        <v>0</v>
      </c>
      <c r="AS235" s="42">
        <f>+DAY(AR235)</f>
        <v>0</v>
      </c>
      <c r="AT235" s="35">
        <f>+MONTH(AR235)</f>
        <v>1</v>
      </c>
      <c r="AU235" s="35">
        <f>+YEAR(AR235)</f>
        <v>1900</v>
      </c>
      <c r="AV235" s="35" t="str">
        <f>+CONCATENATE(TEXT(AS235,"00"),TEXT(AT235,"00"),RIGHT(AU235,2))</f>
        <v>000100</v>
      </c>
    </row>
    <row r="236" spans="1:48" s="31" customFormat="1" ht="10.15" hidden="1" customHeight="1" x14ac:dyDescent="0.25">
      <c r="A236" s="27"/>
      <c r="B236" s="27"/>
      <c r="C236" s="1"/>
      <c r="D236" s="1"/>
      <c r="E236" s="1"/>
      <c r="F236" s="1"/>
      <c r="G236" s="1"/>
      <c r="H236" s="28"/>
      <c r="I236" s="28"/>
      <c r="J236" s="1"/>
      <c r="K236" s="29"/>
      <c r="L236" s="28"/>
      <c r="M236" s="1"/>
      <c r="N236" s="1"/>
      <c r="O236" s="1"/>
      <c r="P236" s="1"/>
      <c r="Q236" s="1"/>
      <c r="R236" s="1"/>
      <c r="S236" s="28"/>
      <c r="T236" s="1"/>
      <c r="U236" s="1"/>
      <c r="V236" s="1"/>
      <c r="W236" s="28"/>
      <c r="X236" s="28"/>
      <c r="Y236" s="1"/>
      <c r="Z236" s="30"/>
      <c r="AA236" s="6"/>
      <c r="AB236" s="28"/>
      <c r="AC236" s="28"/>
      <c r="AD236" s="28"/>
      <c r="AE236" s="7"/>
      <c r="AF236" s="28"/>
      <c r="AG236" s="28"/>
      <c r="AH236" s="28"/>
      <c r="AI236" s="28"/>
      <c r="AJ236" s="28"/>
      <c r="AK236" s="28"/>
      <c r="AL236" s="28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s="31" customFormat="1" ht="10.15" hidden="1" customHeight="1" x14ac:dyDescent="0.25">
      <c r="A237" s="27"/>
      <c r="B237" s="27"/>
      <c r="C237" s="1"/>
      <c r="D237" s="1"/>
      <c r="E237" s="1"/>
      <c r="F237" s="1"/>
      <c r="G237" s="1"/>
      <c r="H237" s="28"/>
      <c r="I237" s="28"/>
      <c r="J237" s="1"/>
      <c r="K237" s="29"/>
      <c r="L237" s="28"/>
      <c r="M237" s="1"/>
      <c r="N237" s="1"/>
      <c r="O237" s="1"/>
      <c r="P237" s="1"/>
      <c r="Q237" s="1"/>
      <c r="R237" s="1"/>
      <c r="S237" s="28"/>
      <c r="T237" s="1"/>
      <c r="U237" s="1"/>
      <c r="V237" s="1"/>
      <c r="W237" s="28"/>
      <c r="X237" s="28"/>
      <c r="Y237" s="1"/>
      <c r="Z237" s="30"/>
      <c r="AA237" s="6"/>
      <c r="AB237" s="28"/>
      <c r="AC237" s="28"/>
      <c r="AD237" s="28"/>
      <c r="AE237" s="7"/>
      <c r="AF237" s="28"/>
      <c r="AG237" s="28"/>
      <c r="AH237" s="28"/>
      <c r="AI237" s="28"/>
      <c r="AJ237" s="28"/>
      <c r="AK237" s="28"/>
      <c r="AL237" s="28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s="31" customFormat="1" ht="10.15" hidden="1" customHeight="1" x14ac:dyDescent="0.25">
      <c r="A238" s="27"/>
      <c r="B238" s="27"/>
      <c r="C238" s="1"/>
      <c r="D238" s="1"/>
      <c r="E238" s="1"/>
      <c r="F238" s="1"/>
      <c r="G238" s="1"/>
      <c r="H238" s="28"/>
      <c r="I238" s="28"/>
      <c r="J238" s="1"/>
      <c r="K238" s="29"/>
      <c r="L238" s="28"/>
      <c r="M238" s="1"/>
      <c r="N238" s="1"/>
      <c r="O238" s="1"/>
      <c r="P238" s="1"/>
      <c r="Q238" s="1"/>
      <c r="R238" s="1"/>
      <c r="S238" s="28"/>
      <c r="T238" s="1"/>
      <c r="U238" s="1"/>
      <c r="V238" s="1"/>
      <c r="W238" s="28"/>
      <c r="X238" s="28"/>
      <c r="Y238" s="1"/>
      <c r="Z238" s="30"/>
      <c r="AA238" s="6"/>
      <c r="AB238" s="28"/>
      <c r="AC238" s="28"/>
      <c r="AD238" s="28"/>
      <c r="AE238" s="7"/>
      <c r="AF238" s="28"/>
      <c r="AG238" s="28"/>
      <c r="AH238" s="28"/>
      <c r="AI238" s="28"/>
      <c r="AJ238" s="28"/>
      <c r="AK238" s="28"/>
      <c r="AL238" s="28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ht="10.15" customHeight="1" x14ac:dyDescent="0.25">
      <c r="A239" s="44">
        <f>1+A235</f>
        <v>60</v>
      </c>
      <c r="B239" s="50"/>
      <c r="C239" s="57"/>
      <c r="D239" s="57"/>
      <c r="E239" s="34" t="str">
        <f>+AQ239</f>
        <v/>
      </c>
      <c r="F239" s="60"/>
      <c r="G239" s="34" t="str">
        <f>+AV239</f>
        <v>000100</v>
      </c>
      <c r="H239" s="35">
        <f>+AK239</f>
        <v>0</v>
      </c>
      <c r="I239" s="35">
        <f>+ROUND(AD239,2)</f>
        <v>0</v>
      </c>
      <c r="J239" s="57"/>
      <c r="K239" s="36">
        <f>+AE239</f>
        <v>0</v>
      </c>
      <c r="L239" s="35">
        <f>+AJ239</f>
        <v>0</v>
      </c>
      <c r="M239" s="37" t="s">
        <v>37</v>
      </c>
      <c r="N239" s="68"/>
      <c r="O239" s="57"/>
      <c r="P239" s="38" t="e">
        <f>+VLOOKUP(C239,Hoja1!$A$4:$C$57,3,FALSE)</f>
        <v>#N/A</v>
      </c>
      <c r="Q239" s="37" t="s">
        <v>38</v>
      </c>
      <c r="R239" s="68"/>
      <c r="S239" s="35" t="str">
        <f>(RIGHT(O239,7))</f>
        <v/>
      </c>
      <c r="T239" s="68"/>
      <c r="U239" s="37" t="s">
        <v>39</v>
      </c>
      <c r="V239" s="37" t="s">
        <v>40</v>
      </c>
      <c r="W239" s="35">
        <f>+AI239</f>
        <v>0</v>
      </c>
      <c r="X239" s="35">
        <f>+AJ239</f>
        <v>0</v>
      </c>
      <c r="Y239" s="33" t="s">
        <v>41</v>
      </c>
      <c r="Z239" s="39">
        <f>+F239</f>
        <v>0</v>
      </c>
      <c r="AA239" s="40"/>
      <c r="AB239" s="65"/>
      <c r="AC239" s="35">
        <v>0</v>
      </c>
      <c r="AD239" s="35">
        <f t="shared" ref="AD239" si="236">+AB239+AC239</f>
        <v>0</v>
      </c>
      <c r="AE239" s="67"/>
      <c r="AF239" s="35">
        <f>+AB239*AE239</f>
        <v>0</v>
      </c>
      <c r="AG239" s="35">
        <f>+AC239*AE239</f>
        <v>0</v>
      </c>
      <c r="AH239" s="35">
        <f>+AD239*AE239</f>
        <v>0</v>
      </c>
      <c r="AI239" s="35">
        <f t="shared" ref="AI239" si="237">+ROUND(AF239,2)</f>
        <v>0</v>
      </c>
      <c r="AJ239" s="35">
        <f t="shared" ref="AJ239" si="238">+ROUND(AG239,2)</f>
        <v>0</v>
      </c>
      <c r="AK239" s="35">
        <f t="shared" ref="AK239" si="239">+ROUND(AH239,2)</f>
        <v>0</v>
      </c>
      <c r="AL239" s="35">
        <f>+AI239+AJ239-AK239</f>
        <v>0</v>
      </c>
      <c r="AM239" s="63"/>
      <c r="AN239" s="35" t="str">
        <f>+LEFT(AM239,2)</f>
        <v/>
      </c>
      <c r="AO239" s="35" t="str">
        <f>+MID(AM239,4,2)</f>
        <v/>
      </c>
      <c r="AP239" s="35" t="str">
        <f>+RIGHT(AM239,2)</f>
        <v/>
      </c>
      <c r="AQ239" s="35" t="str">
        <f>+CONCATENATE(AN239,AO239,AP239)</f>
        <v/>
      </c>
      <c r="AR239" s="41">
        <f>AM239+_xlfn.XLOOKUP(C239,Hoja1!A:A,Hoja1!B:B)</f>
        <v>0</v>
      </c>
      <c r="AS239" s="42">
        <f>+DAY(AR239)</f>
        <v>0</v>
      </c>
      <c r="AT239" s="35">
        <f>+MONTH(AR239)</f>
        <v>1</v>
      </c>
      <c r="AU239" s="35">
        <f>+YEAR(AR239)</f>
        <v>1900</v>
      </c>
      <c r="AV239" s="35" t="str">
        <f>+CONCATENATE(TEXT(AS239,"00"),TEXT(AT239,"00"),RIGHT(AU239,2))</f>
        <v>000100</v>
      </c>
    </row>
    <row r="240" spans="1:48" s="31" customFormat="1" ht="10.15" hidden="1" customHeight="1" x14ac:dyDescent="0.25">
      <c r="A240" s="27"/>
      <c r="B240" s="27"/>
      <c r="C240" s="1"/>
      <c r="D240" s="1"/>
      <c r="E240" s="1"/>
      <c r="F240" s="1"/>
      <c r="G240" s="1"/>
      <c r="H240" s="28"/>
      <c r="I240" s="28"/>
      <c r="J240" s="1"/>
      <c r="K240" s="29"/>
      <c r="L240" s="28"/>
      <c r="M240" s="1"/>
      <c r="N240" s="1"/>
      <c r="O240" s="1"/>
      <c r="P240" s="1"/>
      <c r="Q240" s="1"/>
      <c r="R240" s="1"/>
      <c r="S240" s="28"/>
      <c r="T240" s="1"/>
      <c r="U240" s="1"/>
      <c r="V240" s="1"/>
      <c r="W240" s="28"/>
      <c r="X240" s="28"/>
      <c r="Y240" s="1"/>
      <c r="Z240" s="30"/>
      <c r="AA240" s="6"/>
      <c r="AB240" s="28"/>
      <c r="AC240" s="28"/>
      <c r="AD240" s="28"/>
      <c r="AE240" s="7"/>
      <c r="AF240" s="28"/>
      <c r="AG240" s="28"/>
      <c r="AH240" s="28"/>
      <c r="AI240" s="28"/>
      <c r="AJ240" s="28"/>
      <c r="AK240" s="28"/>
      <c r="AL240" s="28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s="31" customFormat="1" ht="10.15" hidden="1" customHeight="1" x14ac:dyDescent="0.25">
      <c r="A241" s="27"/>
      <c r="B241" s="27"/>
      <c r="C241" s="1"/>
      <c r="D241" s="1"/>
      <c r="E241" s="1"/>
      <c r="F241" s="1"/>
      <c r="G241" s="1"/>
      <c r="H241" s="28"/>
      <c r="I241" s="28"/>
      <c r="J241" s="1"/>
      <c r="K241" s="29"/>
      <c r="L241" s="28"/>
      <c r="M241" s="1"/>
      <c r="N241" s="1"/>
      <c r="O241" s="1"/>
      <c r="P241" s="1"/>
      <c r="Q241" s="1"/>
      <c r="R241" s="1"/>
      <c r="S241" s="28"/>
      <c r="T241" s="1"/>
      <c r="U241" s="1"/>
      <c r="V241" s="1"/>
      <c r="W241" s="28"/>
      <c r="X241" s="28"/>
      <c r="Y241" s="1"/>
      <c r="Z241" s="30"/>
      <c r="AA241" s="6"/>
      <c r="AB241" s="28"/>
      <c r="AC241" s="28"/>
      <c r="AD241" s="28"/>
      <c r="AE241" s="7"/>
      <c r="AF241" s="28"/>
      <c r="AG241" s="28"/>
      <c r="AH241" s="28"/>
      <c r="AI241" s="28"/>
      <c r="AJ241" s="28"/>
      <c r="AK241" s="28"/>
      <c r="AL241" s="28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s="31" customFormat="1" ht="10.15" hidden="1" customHeight="1" x14ac:dyDescent="0.25">
      <c r="A242" s="27"/>
      <c r="B242" s="27"/>
      <c r="C242" s="1"/>
      <c r="D242" s="1"/>
      <c r="E242" s="1"/>
      <c r="F242" s="1"/>
      <c r="G242" s="1"/>
      <c r="H242" s="28"/>
      <c r="I242" s="28"/>
      <c r="J242" s="1"/>
      <c r="K242" s="29"/>
      <c r="L242" s="28"/>
      <c r="M242" s="1"/>
      <c r="N242" s="1"/>
      <c r="O242" s="1"/>
      <c r="P242" s="1"/>
      <c r="Q242" s="1"/>
      <c r="R242" s="1"/>
      <c r="S242" s="28"/>
      <c r="T242" s="1"/>
      <c r="U242" s="1"/>
      <c r="V242" s="1"/>
      <c r="W242" s="28"/>
      <c r="X242" s="28"/>
      <c r="Y242" s="1"/>
      <c r="Z242" s="30"/>
      <c r="AA242" s="6"/>
      <c r="AB242" s="28"/>
      <c r="AC242" s="28"/>
      <c r="AD242" s="28"/>
      <c r="AE242" s="7"/>
      <c r="AF242" s="28"/>
      <c r="AG242" s="28"/>
      <c r="AH242" s="28"/>
      <c r="AI242" s="28"/>
      <c r="AJ242" s="28"/>
      <c r="AK242" s="28"/>
      <c r="AL242" s="28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ht="10.15" customHeight="1" x14ac:dyDescent="0.25">
      <c r="A243" s="44">
        <f>1+A239</f>
        <v>61</v>
      </c>
      <c r="B243" s="50"/>
      <c r="C243" s="57"/>
      <c r="D243" s="57"/>
      <c r="E243" s="34" t="str">
        <f>+AQ243</f>
        <v/>
      </c>
      <c r="F243" s="60"/>
      <c r="G243" s="34" t="str">
        <f>+AV243</f>
        <v>000100</v>
      </c>
      <c r="H243" s="35">
        <f>+AK243</f>
        <v>0</v>
      </c>
      <c r="I243" s="35">
        <f>+ROUND(AD243,2)</f>
        <v>0</v>
      </c>
      <c r="J243" s="57"/>
      <c r="K243" s="36">
        <f>+AE243</f>
        <v>0</v>
      </c>
      <c r="L243" s="35">
        <f>+AJ243</f>
        <v>0</v>
      </c>
      <c r="M243" s="37" t="s">
        <v>37</v>
      </c>
      <c r="N243" s="68"/>
      <c r="O243" s="57"/>
      <c r="P243" s="38" t="e">
        <f>+VLOOKUP(C243,Hoja1!$A$4:$C$57,3,FALSE)</f>
        <v>#N/A</v>
      </c>
      <c r="Q243" s="37" t="s">
        <v>38</v>
      </c>
      <c r="R243" s="68"/>
      <c r="S243" s="35" t="str">
        <f>(RIGHT(O243,7))</f>
        <v/>
      </c>
      <c r="T243" s="68"/>
      <c r="U243" s="37" t="s">
        <v>39</v>
      </c>
      <c r="V243" s="37" t="s">
        <v>40</v>
      </c>
      <c r="W243" s="35">
        <f>+AI243</f>
        <v>0</v>
      </c>
      <c r="X243" s="35">
        <f>+AJ243</f>
        <v>0</v>
      </c>
      <c r="Y243" s="33" t="s">
        <v>41</v>
      </c>
      <c r="Z243" s="39">
        <f>+F243</f>
        <v>0</v>
      </c>
      <c r="AA243" s="40"/>
      <c r="AB243" s="65"/>
      <c r="AC243" s="35">
        <v>0</v>
      </c>
      <c r="AD243" s="35">
        <f t="shared" ref="AD243" si="240">+AB243+AC243</f>
        <v>0</v>
      </c>
      <c r="AE243" s="67"/>
      <c r="AF243" s="35">
        <f>+AB243*AE243</f>
        <v>0</v>
      </c>
      <c r="AG243" s="35">
        <f>+AC243*AE243</f>
        <v>0</v>
      </c>
      <c r="AH243" s="35">
        <f>+AD243*AE243</f>
        <v>0</v>
      </c>
      <c r="AI243" s="35">
        <f t="shared" ref="AI243" si="241">+ROUND(AF243,2)</f>
        <v>0</v>
      </c>
      <c r="AJ243" s="35">
        <f t="shared" ref="AJ243" si="242">+ROUND(AG243,2)</f>
        <v>0</v>
      </c>
      <c r="AK243" s="35">
        <f t="shared" ref="AK243" si="243">+ROUND(AH243,2)</f>
        <v>0</v>
      </c>
      <c r="AL243" s="35">
        <f>+AI243+AJ243-AK243</f>
        <v>0</v>
      </c>
      <c r="AM243" s="63"/>
      <c r="AN243" s="35" t="str">
        <f>+LEFT(AM243,2)</f>
        <v/>
      </c>
      <c r="AO243" s="35" t="str">
        <f>+MID(AM243,4,2)</f>
        <v/>
      </c>
      <c r="AP243" s="35" t="str">
        <f>+RIGHT(AM243,2)</f>
        <v/>
      </c>
      <c r="AQ243" s="35" t="str">
        <f>+CONCATENATE(AN243,AO243,AP243)</f>
        <v/>
      </c>
      <c r="AR243" s="41">
        <f>AM243+_xlfn.XLOOKUP(C243,Hoja1!A:A,Hoja1!B:B)</f>
        <v>0</v>
      </c>
      <c r="AS243" s="42">
        <f>+DAY(AR243)</f>
        <v>0</v>
      </c>
      <c r="AT243" s="35">
        <f>+MONTH(AR243)</f>
        <v>1</v>
      </c>
      <c r="AU243" s="35">
        <f>+YEAR(AR243)</f>
        <v>1900</v>
      </c>
      <c r="AV243" s="35" t="str">
        <f>+CONCATENATE(TEXT(AS243,"00"),TEXT(AT243,"00"),RIGHT(AU243,2))</f>
        <v>000100</v>
      </c>
    </row>
    <row r="244" spans="1:48" s="31" customFormat="1" ht="10.15" hidden="1" customHeight="1" x14ac:dyDescent="0.25">
      <c r="A244" s="27"/>
      <c r="B244" s="27"/>
      <c r="C244" s="1"/>
      <c r="D244" s="1"/>
      <c r="E244" s="1"/>
      <c r="F244" s="1"/>
      <c r="G244" s="1"/>
      <c r="H244" s="28"/>
      <c r="I244" s="28"/>
      <c r="J244" s="1"/>
      <c r="K244" s="29"/>
      <c r="L244" s="28"/>
      <c r="M244" s="1"/>
      <c r="N244" s="1"/>
      <c r="O244" s="1"/>
      <c r="P244" s="1"/>
      <c r="Q244" s="1"/>
      <c r="R244" s="1"/>
      <c r="S244" s="28"/>
      <c r="T244" s="1"/>
      <c r="U244" s="1"/>
      <c r="V244" s="1"/>
      <c r="W244" s="28"/>
      <c r="X244" s="28"/>
      <c r="Y244" s="1"/>
      <c r="Z244" s="30"/>
      <c r="AA244" s="6"/>
      <c r="AB244" s="28"/>
      <c r="AC244" s="28"/>
      <c r="AD244" s="28"/>
      <c r="AE244" s="7"/>
      <c r="AF244" s="28"/>
      <c r="AG244" s="28"/>
      <c r="AH244" s="28"/>
      <c r="AI244" s="28"/>
      <c r="AJ244" s="28"/>
      <c r="AK244" s="28"/>
      <c r="AL244" s="28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s="31" customFormat="1" ht="10.15" hidden="1" customHeight="1" x14ac:dyDescent="0.25">
      <c r="A245" s="27"/>
      <c r="B245" s="27"/>
      <c r="C245" s="1"/>
      <c r="D245" s="1"/>
      <c r="E245" s="1"/>
      <c r="F245" s="1"/>
      <c r="G245" s="1"/>
      <c r="H245" s="28"/>
      <c r="I245" s="28"/>
      <c r="J245" s="1"/>
      <c r="K245" s="29"/>
      <c r="L245" s="28"/>
      <c r="M245" s="1"/>
      <c r="N245" s="1"/>
      <c r="O245" s="1"/>
      <c r="P245" s="1"/>
      <c r="Q245" s="1"/>
      <c r="R245" s="1"/>
      <c r="S245" s="28"/>
      <c r="T245" s="1"/>
      <c r="U245" s="1"/>
      <c r="V245" s="1"/>
      <c r="W245" s="28"/>
      <c r="X245" s="28"/>
      <c r="Y245" s="1"/>
      <c r="Z245" s="30"/>
      <c r="AA245" s="6"/>
      <c r="AB245" s="28"/>
      <c r="AC245" s="28"/>
      <c r="AD245" s="28"/>
      <c r="AE245" s="7"/>
      <c r="AF245" s="28"/>
      <c r="AG245" s="28"/>
      <c r="AH245" s="28"/>
      <c r="AI245" s="28"/>
      <c r="AJ245" s="28"/>
      <c r="AK245" s="28"/>
      <c r="AL245" s="28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s="31" customFormat="1" ht="10.15" hidden="1" customHeight="1" x14ac:dyDescent="0.25">
      <c r="A246" s="27"/>
      <c r="B246" s="27"/>
      <c r="C246" s="1"/>
      <c r="D246" s="1"/>
      <c r="E246" s="1"/>
      <c r="F246" s="1"/>
      <c r="G246" s="1"/>
      <c r="H246" s="28"/>
      <c r="I246" s="28"/>
      <c r="J246" s="1"/>
      <c r="K246" s="29"/>
      <c r="L246" s="28"/>
      <c r="M246" s="1"/>
      <c r="N246" s="1"/>
      <c r="O246" s="1"/>
      <c r="P246" s="1"/>
      <c r="Q246" s="1"/>
      <c r="R246" s="1"/>
      <c r="S246" s="28"/>
      <c r="T246" s="1"/>
      <c r="U246" s="1"/>
      <c r="V246" s="1"/>
      <c r="W246" s="28"/>
      <c r="X246" s="28"/>
      <c r="Y246" s="1"/>
      <c r="Z246" s="30"/>
      <c r="AA246" s="6"/>
      <c r="AB246" s="28"/>
      <c r="AC246" s="28"/>
      <c r="AD246" s="28"/>
      <c r="AE246" s="7"/>
      <c r="AF246" s="28"/>
      <c r="AG246" s="28"/>
      <c r="AH246" s="28"/>
      <c r="AI246" s="28"/>
      <c r="AJ246" s="28"/>
      <c r="AK246" s="28"/>
      <c r="AL246" s="28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ht="10.15" customHeight="1" x14ac:dyDescent="0.25">
      <c r="A247" s="44">
        <f>1+A243</f>
        <v>62</v>
      </c>
      <c r="B247" s="38"/>
      <c r="C247" s="57"/>
      <c r="D247" s="57"/>
      <c r="E247" s="34" t="str">
        <f>+AQ247</f>
        <v/>
      </c>
      <c r="F247" s="60"/>
      <c r="G247" s="34" t="str">
        <f>+AV247</f>
        <v>000100</v>
      </c>
      <c r="H247" s="35">
        <f>+AK247</f>
        <v>0</v>
      </c>
      <c r="I247" s="35">
        <f>+ROUND(AD247,2)</f>
        <v>0</v>
      </c>
      <c r="J247" s="57"/>
      <c r="K247" s="36">
        <f>+AE247</f>
        <v>0</v>
      </c>
      <c r="L247" s="35">
        <f>+AJ247</f>
        <v>0</v>
      </c>
      <c r="M247" s="37" t="s">
        <v>37</v>
      </c>
      <c r="N247" s="68"/>
      <c r="O247" s="57"/>
      <c r="P247" s="38" t="e">
        <f>+VLOOKUP(C247,Hoja1!$A$4:$C$57,3,FALSE)</f>
        <v>#N/A</v>
      </c>
      <c r="Q247" s="37" t="s">
        <v>38</v>
      </c>
      <c r="R247" s="68"/>
      <c r="S247" s="35" t="str">
        <f>(RIGHT(O247,7))</f>
        <v/>
      </c>
      <c r="T247" s="68"/>
      <c r="U247" s="37" t="s">
        <v>39</v>
      </c>
      <c r="V247" s="37" t="s">
        <v>40</v>
      </c>
      <c r="W247" s="35">
        <f>+AI247</f>
        <v>0</v>
      </c>
      <c r="X247" s="35">
        <f>+AJ247</f>
        <v>0</v>
      </c>
      <c r="Y247" s="33" t="s">
        <v>41</v>
      </c>
      <c r="Z247" s="39">
        <f>+F247</f>
        <v>0</v>
      </c>
      <c r="AA247" s="40"/>
      <c r="AB247" s="65"/>
      <c r="AC247" s="35">
        <v>0</v>
      </c>
      <c r="AD247" s="35">
        <f t="shared" ref="AD247" si="244">+AB247+AC247</f>
        <v>0</v>
      </c>
      <c r="AE247" s="67"/>
      <c r="AF247" s="35">
        <f>+AB247*AE247</f>
        <v>0</v>
      </c>
      <c r="AG247" s="35">
        <f>+AC247*AE247</f>
        <v>0</v>
      </c>
      <c r="AH247" s="35">
        <f>+AD247*AE247</f>
        <v>0</v>
      </c>
      <c r="AI247" s="35">
        <f t="shared" ref="AI247" si="245">+ROUND(AF247,2)</f>
        <v>0</v>
      </c>
      <c r="AJ247" s="35">
        <f t="shared" ref="AJ247" si="246">+ROUND(AG247,2)</f>
        <v>0</v>
      </c>
      <c r="AK247" s="35">
        <f t="shared" ref="AK247" si="247">+ROUND(AH247,2)</f>
        <v>0</v>
      </c>
      <c r="AL247" s="35">
        <f>+AI247+AJ247-AK247</f>
        <v>0</v>
      </c>
      <c r="AM247" s="62"/>
      <c r="AN247" s="35" t="str">
        <f>+LEFT(AM247,2)</f>
        <v/>
      </c>
      <c r="AO247" s="35" t="str">
        <f>+MID(AM247,4,2)</f>
        <v/>
      </c>
      <c r="AP247" s="35" t="str">
        <f>+RIGHT(AM247,2)</f>
        <v/>
      </c>
      <c r="AQ247" s="35" t="str">
        <f>+CONCATENATE(AN247,AO247,AP247)</f>
        <v/>
      </c>
      <c r="AR247" s="41">
        <f>AM247+_xlfn.XLOOKUP(C247,Hoja1!A:A,Hoja1!B:B)</f>
        <v>0</v>
      </c>
      <c r="AS247" s="42">
        <f>+DAY(AR247)</f>
        <v>0</v>
      </c>
      <c r="AT247" s="35">
        <f>+MONTH(AR247)</f>
        <v>1</v>
      </c>
      <c r="AU247" s="35">
        <f>+YEAR(AR247)</f>
        <v>1900</v>
      </c>
      <c r="AV247" s="35" t="str">
        <f>+CONCATENATE(TEXT(AS247,"00"),TEXT(AT247,"00"),RIGHT(AU247,2))</f>
        <v>000100</v>
      </c>
    </row>
    <row r="248" spans="1:48" s="31" customFormat="1" ht="10.15" hidden="1" customHeight="1" x14ac:dyDescent="0.25">
      <c r="A248" s="27"/>
      <c r="B248" s="27"/>
      <c r="C248" s="1"/>
      <c r="D248" s="1"/>
      <c r="E248" s="1"/>
      <c r="F248" s="1"/>
      <c r="G248" s="1"/>
      <c r="H248" s="28"/>
      <c r="I248" s="28"/>
      <c r="J248" s="1"/>
      <c r="K248" s="29"/>
      <c r="L248" s="28"/>
      <c r="M248" s="1"/>
      <c r="N248" s="1"/>
      <c r="O248" s="1"/>
      <c r="P248" s="1"/>
      <c r="Q248" s="1"/>
      <c r="R248" s="1"/>
      <c r="S248" s="28"/>
      <c r="T248" s="1"/>
      <c r="U248" s="1"/>
      <c r="V248" s="1"/>
      <c r="W248" s="28"/>
      <c r="X248" s="28"/>
      <c r="Y248" s="1"/>
      <c r="Z248" s="30"/>
      <c r="AA248" s="6"/>
      <c r="AB248" s="28"/>
      <c r="AC248" s="28"/>
      <c r="AD248" s="28"/>
      <c r="AE248" s="7"/>
      <c r="AF248" s="28"/>
      <c r="AG248" s="28"/>
      <c r="AH248" s="28"/>
      <c r="AI248" s="28"/>
      <c r="AJ248" s="28"/>
      <c r="AK248" s="28"/>
      <c r="AL248" s="28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s="31" customFormat="1" ht="10.15" hidden="1" customHeight="1" x14ac:dyDescent="0.25">
      <c r="A249" s="27"/>
      <c r="B249" s="27"/>
      <c r="C249" s="1"/>
      <c r="D249" s="1"/>
      <c r="E249" s="1"/>
      <c r="F249" s="1"/>
      <c r="G249" s="1"/>
      <c r="H249" s="28"/>
      <c r="I249" s="28"/>
      <c r="J249" s="1"/>
      <c r="K249" s="29"/>
      <c r="L249" s="28"/>
      <c r="M249" s="1"/>
      <c r="N249" s="1"/>
      <c r="O249" s="1"/>
      <c r="P249" s="1"/>
      <c r="Q249" s="1"/>
      <c r="R249" s="1"/>
      <c r="S249" s="28"/>
      <c r="T249" s="1"/>
      <c r="U249" s="1"/>
      <c r="V249" s="1"/>
      <c r="W249" s="28"/>
      <c r="X249" s="28"/>
      <c r="Y249" s="1"/>
      <c r="Z249" s="30"/>
      <c r="AA249" s="6"/>
      <c r="AB249" s="28"/>
      <c r="AC249" s="28"/>
      <c r="AD249" s="28"/>
      <c r="AE249" s="7"/>
      <c r="AF249" s="28"/>
      <c r="AG249" s="28"/>
      <c r="AH249" s="28"/>
      <c r="AI249" s="28"/>
      <c r="AJ249" s="28"/>
      <c r="AK249" s="28"/>
      <c r="AL249" s="28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s="31" customFormat="1" ht="10.15" hidden="1" customHeight="1" x14ac:dyDescent="0.25">
      <c r="A250" s="27"/>
      <c r="B250" s="27"/>
      <c r="C250" s="1"/>
      <c r="D250" s="1"/>
      <c r="E250" s="1"/>
      <c r="F250" s="1"/>
      <c r="G250" s="1"/>
      <c r="H250" s="28"/>
      <c r="I250" s="28"/>
      <c r="J250" s="1"/>
      <c r="K250" s="29"/>
      <c r="L250" s="28"/>
      <c r="M250" s="1"/>
      <c r="N250" s="1"/>
      <c r="O250" s="1"/>
      <c r="P250" s="1"/>
      <c r="Q250" s="1"/>
      <c r="R250" s="1"/>
      <c r="S250" s="28"/>
      <c r="T250" s="1"/>
      <c r="U250" s="1"/>
      <c r="V250" s="1"/>
      <c r="W250" s="28"/>
      <c r="X250" s="28"/>
      <c r="Y250" s="1"/>
      <c r="Z250" s="30"/>
      <c r="AA250" s="6"/>
      <c r="AB250" s="28"/>
      <c r="AC250" s="28"/>
      <c r="AD250" s="28"/>
      <c r="AE250" s="7"/>
      <c r="AF250" s="28"/>
      <c r="AG250" s="28"/>
      <c r="AH250" s="28"/>
      <c r="AI250" s="28"/>
      <c r="AJ250" s="28"/>
      <c r="AK250" s="28"/>
      <c r="AL250" s="28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ht="10.15" customHeight="1" x14ac:dyDescent="0.25">
      <c r="A251" s="44">
        <f>1+A247</f>
        <v>63</v>
      </c>
      <c r="B251" s="38"/>
      <c r="C251" s="57"/>
      <c r="D251" s="57"/>
      <c r="E251" s="34" t="str">
        <f>+AQ251</f>
        <v/>
      </c>
      <c r="F251" s="60"/>
      <c r="G251" s="34" t="str">
        <f>+AV251</f>
        <v>000100</v>
      </c>
      <c r="H251" s="35">
        <f>+AK251</f>
        <v>0</v>
      </c>
      <c r="I251" s="35">
        <f>+ROUND(AD251,2)</f>
        <v>0</v>
      </c>
      <c r="J251" s="57"/>
      <c r="K251" s="36">
        <f>+AE251</f>
        <v>0</v>
      </c>
      <c r="L251" s="35">
        <f>+AJ251</f>
        <v>0</v>
      </c>
      <c r="M251" s="37" t="s">
        <v>37</v>
      </c>
      <c r="N251" s="68"/>
      <c r="O251" s="57"/>
      <c r="P251" s="38" t="e">
        <f>+VLOOKUP(C251,Hoja1!$A$4:$C$57,3,FALSE)</f>
        <v>#N/A</v>
      </c>
      <c r="Q251" s="37" t="s">
        <v>38</v>
      </c>
      <c r="R251" s="68"/>
      <c r="S251" s="35" t="str">
        <f>(RIGHT(O251,7))</f>
        <v/>
      </c>
      <c r="T251" s="68"/>
      <c r="U251" s="37" t="s">
        <v>39</v>
      </c>
      <c r="V251" s="37" t="s">
        <v>40</v>
      </c>
      <c r="W251" s="35">
        <f>+AI251</f>
        <v>0</v>
      </c>
      <c r="X251" s="35">
        <f>+AJ251</f>
        <v>0</v>
      </c>
      <c r="Y251" s="33" t="s">
        <v>41</v>
      </c>
      <c r="Z251" s="39">
        <f>+F251</f>
        <v>0</v>
      </c>
      <c r="AA251" s="40"/>
      <c r="AB251" s="65"/>
      <c r="AC251" s="35">
        <v>0</v>
      </c>
      <c r="AD251" s="35">
        <f t="shared" ref="AD251" si="248">+AB251+AC251</f>
        <v>0</v>
      </c>
      <c r="AE251" s="67"/>
      <c r="AF251" s="35">
        <f>+AB251*AE251</f>
        <v>0</v>
      </c>
      <c r="AG251" s="35">
        <f>+AC251*AE251</f>
        <v>0</v>
      </c>
      <c r="AH251" s="35">
        <f>+AD251*AE251</f>
        <v>0</v>
      </c>
      <c r="AI251" s="35">
        <f t="shared" ref="AI251" si="249">+ROUND(AF251,2)</f>
        <v>0</v>
      </c>
      <c r="AJ251" s="35">
        <f t="shared" ref="AJ251" si="250">+ROUND(AG251,2)</f>
        <v>0</v>
      </c>
      <c r="AK251" s="35">
        <f t="shared" ref="AK251" si="251">+ROUND(AH251,2)</f>
        <v>0</v>
      </c>
      <c r="AL251" s="35">
        <f>+AI251+AJ251-AK251</f>
        <v>0</v>
      </c>
      <c r="AM251" s="63"/>
      <c r="AN251" s="35" t="str">
        <f>+LEFT(AM251,2)</f>
        <v/>
      </c>
      <c r="AO251" s="35" t="str">
        <f>+MID(AM251,4,2)</f>
        <v/>
      </c>
      <c r="AP251" s="35" t="str">
        <f>+RIGHT(AM251,2)</f>
        <v/>
      </c>
      <c r="AQ251" s="35" t="str">
        <f>+CONCATENATE(AN251,AO251,AP251)</f>
        <v/>
      </c>
      <c r="AR251" s="41">
        <f>AM251+_xlfn.XLOOKUP(C251,Hoja1!A:A,Hoja1!B:B)</f>
        <v>0</v>
      </c>
      <c r="AS251" s="42">
        <f>+DAY(AR251)</f>
        <v>0</v>
      </c>
      <c r="AT251" s="35">
        <f>+MONTH(AR251)</f>
        <v>1</v>
      </c>
      <c r="AU251" s="35">
        <f>+YEAR(AR251)</f>
        <v>1900</v>
      </c>
      <c r="AV251" s="35" t="str">
        <f>+CONCATENATE(TEXT(AS251,"00"),TEXT(AT251,"00"),RIGHT(AU251,2))</f>
        <v>000100</v>
      </c>
    </row>
    <row r="252" spans="1:48" s="31" customFormat="1" ht="10.15" hidden="1" customHeight="1" x14ac:dyDescent="0.25">
      <c r="A252" s="27"/>
      <c r="B252" s="27"/>
      <c r="C252" s="1"/>
      <c r="D252" s="1"/>
      <c r="E252" s="1"/>
      <c r="F252" s="1"/>
      <c r="G252" s="1"/>
      <c r="H252" s="28"/>
      <c r="I252" s="28"/>
      <c r="J252" s="1"/>
      <c r="K252" s="29"/>
      <c r="L252" s="28"/>
      <c r="M252" s="1"/>
      <c r="N252" s="1"/>
      <c r="O252" s="1"/>
      <c r="P252" s="1"/>
      <c r="Q252" s="1"/>
      <c r="R252" s="1"/>
      <c r="S252" s="28"/>
      <c r="T252" s="1"/>
      <c r="U252" s="1"/>
      <c r="V252" s="1"/>
      <c r="W252" s="28"/>
      <c r="X252" s="28"/>
      <c r="Y252" s="1"/>
      <c r="Z252" s="30"/>
      <c r="AA252" s="6"/>
      <c r="AB252" s="28"/>
      <c r="AC252" s="28"/>
      <c r="AD252" s="28"/>
      <c r="AE252" s="7"/>
      <c r="AF252" s="28"/>
      <c r="AG252" s="28"/>
      <c r="AH252" s="28"/>
      <c r="AI252" s="28"/>
      <c r="AJ252" s="28"/>
      <c r="AK252" s="28"/>
      <c r="AL252" s="28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s="31" customFormat="1" ht="10.15" hidden="1" customHeight="1" x14ac:dyDescent="0.25">
      <c r="A253" s="27"/>
      <c r="B253" s="27"/>
      <c r="C253" s="1"/>
      <c r="D253" s="1"/>
      <c r="E253" s="1"/>
      <c r="F253" s="1"/>
      <c r="G253" s="1"/>
      <c r="H253" s="28"/>
      <c r="I253" s="28"/>
      <c r="J253" s="1"/>
      <c r="K253" s="29"/>
      <c r="L253" s="28"/>
      <c r="M253" s="1"/>
      <c r="N253" s="1"/>
      <c r="O253" s="1"/>
      <c r="P253" s="1"/>
      <c r="Q253" s="1"/>
      <c r="R253" s="1"/>
      <c r="S253" s="28"/>
      <c r="T253" s="1"/>
      <c r="U253" s="1"/>
      <c r="V253" s="1"/>
      <c r="W253" s="28"/>
      <c r="X253" s="28"/>
      <c r="Y253" s="1"/>
      <c r="Z253" s="30"/>
      <c r="AA253" s="6"/>
      <c r="AB253" s="28"/>
      <c r="AC253" s="28"/>
      <c r="AD253" s="28"/>
      <c r="AE253" s="7"/>
      <c r="AF253" s="28"/>
      <c r="AG253" s="28"/>
      <c r="AH253" s="28"/>
      <c r="AI253" s="28"/>
      <c r="AJ253" s="28"/>
      <c r="AK253" s="28"/>
      <c r="AL253" s="28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s="31" customFormat="1" ht="10.15" hidden="1" customHeight="1" x14ac:dyDescent="0.25">
      <c r="A254" s="27"/>
      <c r="B254" s="27"/>
      <c r="C254" s="1"/>
      <c r="D254" s="1"/>
      <c r="E254" s="1"/>
      <c r="F254" s="1"/>
      <c r="G254" s="1"/>
      <c r="H254" s="28"/>
      <c r="I254" s="28"/>
      <c r="J254" s="1"/>
      <c r="K254" s="29"/>
      <c r="L254" s="28"/>
      <c r="M254" s="1"/>
      <c r="N254" s="1"/>
      <c r="O254" s="1"/>
      <c r="P254" s="1"/>
      <c r="Q254" s="1"/>
      <c r="R254" s="1"/>
      <c r="S254" s="28"/>
      <c r="T254" s="1"/>
      <c r="U254" s="1"/>
      <c r="V254" s="1"/>
      <c r="W254" s="28"/>
      <c r="X254" s="28"/>
      <c r="Y254" s="1"/>
      <c r="Z254" s="30"/>
      <c r="AA254" s="6"/>
      <c r="AB254" s="28"/>
      <c r="AC254" s="28"/>
      <c r="AD254" s="28"/>
      <c r="AE254" s="7"/>
      <c r="AF254" s="28"/>
      <c r="AG254" s="28"/>
      <c r="AH254" s="28"/>
      <c r="AI254" s="28"/>
      <c r="AJ254" s="28"/>
      <c r="AK254" s="28"/>
      <c r="AL254" s="28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ht="10.15" customHeight="1" x14ac:dyDescent="0.25">
      <c r="A255" s="44">
        <f>1+A251</f>
        <v>64</v>
      </c>
      <c r="B255" s="50"/>
      <c r="C255" s="57"/>
      <c r="D255" s="57"/>
      <c r="E255" s="34" t="str">
        <f>+AQ255</f>
        <v/>
      </c>
      <c r="F255" s="60"/>
      <c r="G255" s="34" t="str">
        <f>+AV255</f>
        <v>000100</v>
      </c>
      <c r="H255" s="35">
        <f>+AK255</f>
        <v>0</v>
      </c>
      <c r="I255" s="35">
        <f>+ROUND(AD255,2)</f>
        <v>0</v>
      </c>
      <c r="J255" s="57"/>
      <c r="K255" s="36">
        <f>+AE255</f>
        <v>0</v>
      </c>
      <c r="L255" s="35">
        <f>+AJ255</f>
        <v>0</v>
      </c>
      <c r="M255" s="37" t="s">
        <v>37</v>
      </c>
      <c r="N255" s="68"/>
      <c r="O255" s="57"/>
      <c r="P255" s="38" t="e">
        <f>+VLOOKUP(C255,Hoja1!$A$4:$C$57,3,FALSE)</f>
        <v>#N/A</v>
      </c>
      <c r="Q255" s="37" t="s">
        <v>38</v>
      </c>
      <c r="R255" s="68"/>
      <c r="S255" s="35" t="str">
        <f>(RIGHT(O255,7))</f>
        <v/>
      </c>
      <c r="T255" s="68"/>
      <c r="U255" s="37" t="s">
        <v>39</v>
      </c>
      <c r="V255" s="37" t="s">
        <v>40</v>
      </c>
      <c r="W255" s="35">
        <f>+AI255</f>
        <v>0</v>
      </c>
      <c r="X255" s="35">
        <f>+AJ255</f>
        <v>0</v>
      </c>
      <c r="Y255" s="33" t="s">
        <v>41</v>
      </c>
      <c r="Z255" s="39">
        <f>+F255</f>
        <v>0</v>
      </c>
      <c r="AA255" s="40"/>
      <c r="AB255" s="65"/>
      <c r="AC255" s="35">
        <v>0</v>
      </c>
      <c r="AD255" s="35">
        <f t="shared" ref="AD255" si="252">+AB255+AC255</f>
        <v>0</v>
      </c>
      <c r="AE255" s="67"/>
      <c r="AF255" s="35">
        <f>+AB255*AE255</f>
        <v>0</v>
      </c>
      <c r="AG255" s="35">
        <f>+AC255*AE255</f>
        <v>0</v>
      </c>
      <c r="AH255" s="35">
        <f>+AD255*AE255</f>
        <v>0</v>
      </c>
      <c r="AI255" s="35">
        <f t="shared" ref="AI255" si="253">+ROUND(AF255,2)</f>
        <v>0</v>
      </c>
      <c r="AJ255" s="35">
        <f t="shared" ref="AJ255" si="254">+ROUND(AG255,2)</f>
        <v>0</v>
      </c>
      <c r="AK255" s="35">
        <f t="shared" ref="AK255" si="255">+ROUND(AH255,2)</f>
        <v>0</v>
      </c>
      <c r="AL255" s="35">
        <f>+AI255+AJ255-AK255</f>
        <v>0</v>
      </c>
      <c r="AM255" s="63"/>
      <c r="AN255" s="35" t="str">
        <f>+LEFT(AM255,2)</f>
        <v/>
      </c>
      <c r="AO255" s="35" t="str">
        <f>+MID(AM255,4,2)</f>
        <v/>
      </c>
      <c r="AP255" s="35" t="str">
        <f>+RIGHT(AM255,2)</f>
        <v/>
      </c>
      <c r="AQ255" s="35" t="str">
        <f>+CONCATENATE(AN255,AO255,AP255)</f>
        <v/>
      </c>
      <c r="AR255" s="41">
        <f>AM255+_xlfn.XLOOKUP(C255,Hoja1!A:A,Hoja1!B:B)</f>
        <v>0</v>
      </c>
      <c r="AS255" s="42">
        <f>+DAY(AR255)</f>
        <v>0</v>
      </c>
      <c r="AT255" s="35">
        <f>+MONTH(AR255)</f>
        <v>1</v>
      </c>
      <c r="AU255" s="35">
        <f>+YEAR(AR255)</f>
        <v>1900</v>
      </c>
      <c r="AV255" s="35" t="str">
        <f>+CONCATENATE(TEXT(AS255,"00"),TEXT(AT255,"00"),RIGHT(AU255,2))</f>
        <v>000100</v>
      </c>
    </row>
    <row r="256" spans="1:48" s="31" customFormat="1" ht="10.15" hidden="1" customHeight="1" x14ac:dyDescent="0.25">
      <c r="A256" s="27"/>
      <c r="B256" s="27"/>
      <c r="C256" s="1"/>
      <c r="D256" s="1"/>
      <c r="E256" s="1"/>
      <c r="F256" s="1"/>
      <c r="G256" s="1"/>
      <c r="H256" s="28"/>
      <c r="I256" s="28"/>
      <c r="J256" s="1"/>
      <c r="K256" s="29"/>
      <c r="L256" s="28"/>
      <c r="M256" s="1"/>
      <c r="N256" s="1"/>
      <c r="O256" s="1"/>
      <c r="P256" s="1"/>
      <c r="Q256" s="1"/>
      <c r="R256" s="1"/>
      <c r="S256" s="28"/>
      <c r="T256" s="1"/>
      <c r="U256" s="1"/>
      <c r="V256" s="1"/>
      <c r="W256" s="28"/>
      <c r="X256" s="28"/>
      <c r="Y256" s="1"/>
      <c r="Z256" s="30"/>
      <c r="AA256" s="6"/>
      <c r="AB256" s="28"/>
      <c r="AC256" s="28"/>
      <c r="AD256" s="28"/>
      <c r="AE256" s="7"/>
      <c r="AF256" s="28"/>
      <c r="AG256" s="28"/>
      <c r="AH256" s="28"/>
      <c r="AI256" s="28"/>
      <c r="AJ256" s="28"/>
      <c r="AK256" s="28"/>
      <c r="AL256" s="28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s="31" customFormat="1" ht="10.15" hidden="1" customHeight="1" x14ac:dyDescent="0.25">
      <c r="A257" s="27"/>
      <c r="B257" s="27"/>
      <c r="C257" s="1"/>
      <c r="D257" s="1"/>
      <c r="E257" s="1"/>
      <c r="F257" s="1"/>
      <c r="G257" s="1"/>
      <c r="H257" s="28"/>
      <c r="I257" s="28"/>
      <c r="J257" s="1"/>
      <c r="K257" s="29"/>
      <c r="L257" s="28"/>
      <c r="M257" s="1"/>
      <c r="N257" s="1"/>
      <c r="O257" s="1"/>
      <c r="P257" s="1"/>
      <c r="Q257" s="1"/>
      <c r="R257" s="1"/>
      <c r="S257" s="28"/>
      <c r="T257" s="1"/>
      <c r="U257" s="1"/>
      <c r="V257" s="1"/>
      <c r="W257" s="28"/>
      <c r="X257" s="28"/>
      <c r="Y257" s="1"/>
      <c r="Z257" s="30"/>
      <c r="AA257" s="6"/>
      <c r="AB257" s="28"/>
      <c r="AC257" s="28"/>
      <c r="AD257" s="28"/>
      <c r="AE257" s="7"/>
      <c r="AF257" s="28"/>
      <c r="AG257" s="28"/>
      <c r="AH257" s="28"/>
      <c r="AI257" s="28"/>
      <c r="AJ257" s="28"/>
      <c r="AK257" s="28"/>
      <c r="AL257" s="28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s="31" customFormat="1" ht="10.15" hidden="1" customHeight="1" x14ac:dyDescent="0.25">
      <c r="A258" s="27"/>
      <c r="B258" s="27"/>
      <c r="C258" s="1"/>
      <c r="D258" s="1"/>
      <c r="E258" s="1"/>
      <c r="F258" s="1"/>
      <c r="G258" s="1"/>
      <c r="H258" s="28"/>
      <c r="I258" s="28"/>
      <c r="J258" s="1"/>
      <c r="K258" s="29"/>
      <c r="L258" s="28"/>
      <c r="M258" s="1"/>
      <c r="N258" s="1"/>
      <c r="O258" s="1"/>
      <c r="P258" s="1"/>
      <c r="Q258" s="1"/>
      <c r="R258" s="1"/>
      <c r="S258" s="28"/>
      <c r="T258" s="1"/>
      <c r="U258" s="1"/>
      <c r="V258" s="1"/>
      <c r="W258" s="28"/>
      <c r="X258" s="28"/>
      <c r="Y258" s="1"/>
      <c r="Z258" s="30"/>
      <c r="AA258" s="6"/>
      <c r="AB258" s="28"/>
      <c r="AC258" s="28"/>
      <c r="AD258" s="28"/>
      <c r="AE258" s="7"/>
      <c r="AF258" s="28"/>
      <c r="AG258" s="28"/>
      <c r="AH258" s="28"/>
      <c r="AI258" s="28"/>
      <c r="AJ258" s="28"/>
      <c r="AK258" s="28"/>
      <c r="AL258" s="28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ht="10.15" customHeight="1" x14ac:dyDescent="0.25">
      <c r="A259" s="44">
        <f>1+A255</f>
        <v>65</v>
      </c>
      <c r="B259" s="50"/>
      <c r="C259" s="57"/>
      <c r="D259" s="57"/>
      <c r="E259" s="34" t="str">
        <f>+AQ259</f>
        <v/>
      </c>
      <c r="F259" s="60"/>
      <c r="G259" s="34" t="str">
        <f>+AV259</f>
        <v>000100</v>
      </c>
      <c r="H259" s="35">
        <f>+AK259</f>
        <v>0</v>
      </c>
      <c r="I259" s="35">
        <f>+ROUND(AD259,2)</f>
        <v>0</v>
      </c>
      <c r="J259" s="57"/>
      <c r="K259" s="36">
        <f>+AE259</f>
        <v>0</v>
      </c>
      <c r="L259" s="35">
        <f>+AJ259</f>
        <v>0</v>
      </c>
      <c r="M259" s="37" t="s">
        <v>37</v>
      </c>
      <c r="N259" s="68"/>
      <c r="O259" s="57"/>
      <c r="P259" s="38" t="e">
        <f>+VLOOKUP(C259,Hoja1!$A$4:$C$57,3,FALSE)</f>
        <v>#N/A</v>
      </c>
      <c r="Q259" s="37" t="s">
        <v>38</v>
      </c>
      <c r="R259" s="68"/>
      <c r="S259" s="35" t="str">
        <f>(RIGHT(O259,7))</f>
        <v/>
      </c>
      <c r="T259" s="68"/>
      <c r="U259" s="37" t="s">
        <v>39</v>
      </c>
      <c r="V259" s="37" t="s">
        <v>40</v>
      </c>
      <c r="W259" s="35">
        <f>+AI259</f>
        <v>0</v>
      </c>
      <c r="X259" s="35">
        <f>+AJ259</f>
        <v>0</v>
      </c>
      <c r="Y259" s="33" t="s">
        <v>41</v>
      </c>
      <c r="Z259" s="39">
        <f>+F259</f>
        <v>0</v>
      </c>
      <c r="AA259" s="40"/>
      <c r="AB259" s="65"/>
      <c r="AC259" s="35">
        <v>0</v>
      </c>
      <c r="AD259" s="35">
        <f t="shared" ref="AD259" si="256">+AB259+AC259</f>
        <v>0</v>
      </c>
      <c r="AE259" s="67"/>
      <c r="AF259" s="35">
        <f>+AB259*AE259</f>
        <v>0</v>
      </c>
      <c r="AG259" s="35">
        <f>+AC259*AE259</f>
        <v>0</v>
      </c>
      <c r="AH259" s="35">
        <f>+AD259*AE259</f>
        <v>0</v>
      </c>
      <c r="AI259" s="35">
        <f t="shared" ref="AI259" si="257">+ROUND(AF259,2)</f>
        <v>0</v>
      </c>
      <c r="AJ259" s="35">
        <f t="shared" ref="AJ259" si="258">+ROUND(AG259,2)</f>
        <v>0</v>
      </c>
      <c r="AK259" s="35">
        <f t="shared" ref="AK259" si="259">+ROUND(AH259,2)</f>
        <v>0</v>
      </c>
      <c r="AL259" s="35">
        <f>+AI259+AJ259-AK259</f>
        <v>0</v>
      </c>
      <c r="AM259" s="63"/>
      <c r="AN259" s="35" t="str">
        <f>+LEFT(AM259,2)</f>
        <v/>
      </c>
      <c r="AO259" s="35" t="str">
        <f>+MID(AM259,4,2)</f>
        <v/>
      </c>
      <c r="AP259" s="35" t="str">
        <f>+RIGHT(AM259,2)</f>
        <v/>
      </c>
      <c r="AQ259" s="35" t="str">
        <f>+CONCATENATE(AN259,AO259,AP259)</f>
        <v/>
      </c>
      <c r="AR259" s="41">
        <f>AM259+_xlfn.XLOOKUP(C259,Hoja1!A:A,Hoja1!B:B)</f>
        <v>0</v>
      </c>
      <c r="AS259" s="42">
        <f>+DAY(AR259)</f>
        <v>0</v>
      </c>
      <c r="AT259" s="35">
        <f>+MONTH(AR259)</f>
        <v>1</v>
      </c>
      <c r="AU259" s="35">
        <f>+YEAR(AR259)</f>
        <v>1900</v>
      </c>
      <c r="AV259" s="35" t="str">
        <f>+CONCATENATE(TEXT(AS259,"00"),TEXT(AT259,"00"),RIGHT(AU259,2))</f>
        <v>000100</v>
      </c>
    </row>
    <row r="260" spans="1:48" s="31" customFormat="1" ht="10.15" hidden="1" customHeight="1" x14ac:dyDescent="0.25">
      <c r="A260" s="27"/>
      <c r="B260" s="27"/>
      <c r="C260" s="1"/>
      <c r="D260" s="1"/>
      <c r="E260" s="1"/>
      <c r="F260" s="1"/>
      <c r="G260" s="1"/>
      <c r="H260" s="28"/>
      <c r="I260" s="28"/>
      <c r="J260" s="1"/>
      <c r="K260" s="29"/>
      <c r="L260" s="28"/>
      <c r="M260" s="1"/>
      <c r="N260" s="1"/>
      <c r="O260" s="1"/>
      <c r="P260" s="1"/>
      <c r="Q260" s="1"/>
      <c r="R260" s="1"/>
      <c r="S260" s="28"/>
      <c r="T260" s="1"/>
      <c r="U260" s="1"/>
      <c r="V260" s="1"/>
      <c r="W260" s="28"/>
      <c r="X260" s="28"/>
      <c r="Y260" s="1"/>
      <c r="Z260" s="30"/>
      <c r="AA260" s="6"/>
      <c r="AB260" s="28"/>
      <c r="AC260" s="28"/>
      <c r="AD260" s="28"/>
      <c r="AE260" s="7"/>
      <c r="AF260" s="28"/>
      <c r="AG260" s="28"/>
      <c r="AH260" s="28"/>
      <c r="AI260" s="28"/>
      <c r="AJ260" s="28"/>
      <c r="AK260" s="28"/>
      <c r="AL260" s="28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s="31" customFormat="1" ht="10.15" hidden="1" customHeight="1" x14ac:dyDescent="0.25">
      <c r="A261" s="27"/>
      <c r="B261" s="27"/>
      <c r="C261" s="1"/>
      <c r="D261" s="1"/>
      <c r="E261" s="1"/>
      <c r="F261" s="1"/>
      <c r="G261" s="1"/>
      <c r="H261" s="28"/>
      <c r="I261" s="28"/>
      <c r="J261" s="1"/>
      <c r="K261" s="29"/>
      <c r="L261" s="28"/>
      <c r="M261" s="1"/>
      <c r="N261" s="1"/>
      <c r="O261" s="1"/>
      <c r="P261" s="1"/>
      <c r="Q261" s="1"/>
      <c r="R261" s="1"/>
      <c r="S261" s="28"/>
      <c r="T261" s="1"/>
      <c r="U261" s="1"/>
      <c r="V261" s="1"/>
      <c r="W261" s="28"/>
      <c r="X261" s="28"/>
      <c r="Y261" s="1"/>
      <c r="Z261" s="30"/>
      <c r="AA261" s="6"/>
      <c r="AB261" s="28"/>
      <c r="AC261" s="28"/>
      <c r="AD261" s="28"/>
      <c r="AE261" s="7"/>
      <c r="AF261" s="28"/>
      <c r="AG261" s="28"/>
      <c r="AH261" s="28"/>
      <c r="AI261" s="28"/>
      <c r="AJ261" s="28"/>
      <c r="AK261" s="28"/>
      <c r="AL261" s="28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s="31" customFormat="1" ht="10.15" hidden="1" customHeight="1" x14ac:dyDescent="0.25">
      <c r="A262" s="27"/>
      <c r="B262" s="27"/>
      <c r="C262" s="1"/>
      <c r="D262" s="1"/>
      <c r="E262" s="1"/>
      <c r="F262" s="1"/>
      <c r="G262" s="1"/>
      <c r="H262" s="28"/>
      <c r="I262" s="28"/>
      <c r="J262" s="1"/>
      <c r="K262" s="29"/>
      <c r="L262" s="28"/>
      <c r="M262" s="1"/>
      <c r="N262" s="1"/>
      <c r="O262" s="1"/>
      <c r="P262" s="1"/>
      <c r="Q262" s="1"/>
      <c r="R262" s="1"/>
      <c r="S262" s="28"/>
      <c r="T262" s="1"/>
      <c r="U262" s="1"/>
      <c r="V262" s="1"/>
      <c r="W262" s="28"/>
      <c r="X262" s="28"/>
      <c r="Y262" s="1"/>
      <c r="Z262" s="30"/>
      <c r="AA262" s="6"/>
      <c r="AB262" s="28"/>
      <c r="AC262" s="28"/>
      <c r="AD262" s="28"/>
      <c r="AE262" s="7"/>
      <c r="AF262" s="28"/>
      <c r="AG262" s="28"/>
      <c r="AH262" s="28"/>
      <c r="AI262" s="28"/>
      <c r="AJ262" s="28"/>
      <c r="AK262" s="28"/>
      <c r="AL262" s="28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ht="10.15" customHeight="1" x14ac:dyDescent="0.25">
      <c r="A263" s="44">
        <f>1+A259</f>
        <v>66</v>
      </c>
      <c r="B263" s="38"/>
      <c r="C263" s="57"/>
      <c r="D263" s="57"/>
      <c r="E263" s="34" t="str">
        <f>+AQ263</f>
        <v/>
      </c>
      <c r="F263" s="60"/>
      <c r="G263" s="34" t="str">
        <f>+AV263</f>
        <v>000100</v>
      </c>
      <c r="H263" s="35">
        <f>+AK263</f>
        <v>0</v>
      </c>
      <c r="I263" s="35">
        <f>+ROUND(AD263,2)</f>
        <v>0</v>
      </c>
      <c r="J263" s="57"/>
      <c r="K263" s="36">
        <f>+AE263</f>
        <v>0</v>
      </c>
      <c r="L263" s="35">
        <f>+AJ263</f>
        <v>0</v>
      </c>
      <c r="M263" s="37" t="s">
        <v>37</v>
      </c>
      <c r="N263" s="68"/>
      <c r="O263" s="57"/>
      <c r="P263" s="38" t="e">
        <f>+VLOOKUP(C263,Hoja1!$A$4:$C$57,3,FALSE)</f>
        <v>#N/A</v>
      </c>
      <c r="Q263" s="37" t="s">
        <v>38</v>
      </c>
      <c r="R263" s="68"/>
      <c r="S263" s="35" t="str">
        <f>(RIGHT(O263,7))</f>
        <v/>
      </c>
      <c r="T263" s="68"/>
      <c r="U263" s="37" t="s">
        <v>39</v>
      </c>
      <c r="V263" s="37" t="s">
        <v>40</v>
      </c>
      <c r="W263" s="35">
        <f>+AI263</f>
        <v>0</v>
      </c>
      <c r="X263" s="35">
        <f>+AJ263</f>
        <v>0</v>
      </c>
      <c r="Y263" s="33" t="s">
        <v>41</v>
      </c>
      <c r="Z263" s="39">
        <f>+F263</f>
        <v>0</v>
      </c>
      <c r="AA263" s="40"/>
      <c r="AB263" s="65"/>
      <c r="AC263" s="35">
        <v>0</v>
      </c>
      <c r="AD263" s="35">
        <f t="shared" ref="AD263" si="260">+AB263+AC263</f>
        <v>0</v>
      </c>
      <c r="AE263" s="67"/>
      <c r="AF263" s="35">
        <f>+AB263*AE263</f>
        <v>0</v>
      </c>
      <c r="AG263" s="35">
        <f>+AC263*AE263</f>
        <v>0</v>
      </c>
      <c r="AH263" s="35">
        <f>+AD263*AE263</f>
        <v>0</v>
      </c>
      <c r="AI263" s="35">
        <f t="shared" ref="AI263" si="261">+ROUND(AF263,2)</f>
        <v>0</v>
      </c>
      <c r="AJ263" s="35">
        <f t="shared" ref="AJ263" si="262">+ROUND(AG263,2)</f>
        <v>0</v>
      </c>
      <c r="AK263" s="35">
        <f t="shared" ref="AK263" si="263">+ROUND(AH263,2)</f>
        <v>0</v>
      </c>
      <c r="AL263" s="35">
        <f>+AI263+AJ263-AK263</f>
        <v>0</v>
      </c>
      <c r="AM263" s="62"/>
      <c r="AN263" s="35" t="str">
        <f>+LEFT(AM263,2)</f>
        <v/>
      </c>
      <c r="AO263" s="35" t="str">
        <f>+MID(AM263,4,2)</f>
        <v/>
      </c>
      <c r="AP263" s="35" t="str">
        <f>+RIGHT(AM263,2)</f>
        <v/>
      </c>
      <c r="AQ263" s="35" t="str">
        <f>+CONCATENATE(AN263,AO263,AP263)</f>
        <v/>
      </c>
      <c r="AR263" s="41">
        <f>AM263+_xlfn.XLOOKUP(C263,Hoja1!A:A,Hoja1!B:B)</f>
        <v>0</v>
      </c>
      <c r="AS263" s="42">
        <f>+DAY(AR263)</f>
        <v>0</v>
      </c>
      <c r="AT263" s="35">
        <f>+MONTH(AR263)</f>
        <v>1</v>
      </c>
      <c r="AU263" s="35">
        <f>+YEAR(AR263)</f>
        <v>1900</v>
      </c>
      <c r="AV263" s="35" t="str">
        <f>+CONCATENATE(TEXT(AS263,"00"),TEXT(AT263,"00"),RIGHT(AU263,2))</f>
        <v>000100</v>
      </c>
    </row>
    <row r="264" spans="1:48" s="31" customFormat="1" ht="10.15" hidden="1" customHeight="1" x14ac:dyDescent="0.25">
      <c r="A264" s="27"/>
      <c r="B264" s="27"/>
      <c r="C264" s="1"/>
      <c r="D264" s="1"/>
      <c r="E264" s="1"/>
      <c r="F264" s="1"/>
      <c r="G264" s="1"/>
      <c r="H264" s="28"/>
      <c r="I264" s="28"/>
      <c r="J264" s="1"/>
      <c r="K264" s="29"/>
      <c r="L264" s="28"/>
      <c r="M264" s="1"/>
      <c r="N264" s="1"/>
      <c r="O264" s="1"/>
      <c r="P264" s="1"/>
      <c r="Q264" s="1"/>
      <c r="R264" s="1"/>
      <c r="S264" s="28"/>
      <c r="T264" s="1"/>
      <c r="U264" s="1"/>
      <c r="V264" s="1"/>
      <c r="W264" s="28"/>
      <c r="X264" s="28"/>
      <c r="Y264" s="1"/>
      <c r="Z264" s="30"/>
      <c r="AA264" s="6"/>
      <c r="AB264" s="28"/>
      <c r="AC264" s="28"/>
      <c r="AD264" s="28"/>
      <c r="AE264" s="7"/>
      <c r="AF264" s="28"/>
      <c r="AG264" s="28"/>
      <c r="AH264" s="28"/>
      <c r="AI264" s="28"/>
      <c r="AJ264" s="28"/>
      <c r="AK264" s="28"/>
      <c r="AL264" s="28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s="31" customFormat="1" ht="10.15" hidden="1" customHeight="1" x14ac:dyDescent="0.25">
      <c r="A265" s="27"/>
      <c r="B265" s="27"/>
      <c r="C265" s="1"/>
      <c r="D265" s="1"/>
      <c r="E265" s="1"/>
      <c r="F265" s="1"/>
      <c r="G265" s="1"/>
      <c r="H265" s="28"/>
      <c r="I265" s="28"/>
      <c r="J265" s="1"/>
      <c r="K265" s="29"/>
      <c r="L265" s="28"/>
      <c r="M265" s="1"/>
      <c r="N265" s="1"/>
      <c r="O265" s="1"/>
      <c r="P265" s="1"/>
      <c r="Q265" s="1"/>
      <c r="R265" s="1"/>
      <c r="S265" s="28"/>
      <c r="T265" s="1"/>
      <c r="U265" s="1"/>
      <c r="V265" s="1"/>
      <c r="W265" s="28"/>
      <c r="X265" s="28"/>
      <c r="Y265" s="1"/>
      <c r="Z265" s="30"/>
      <c r="AA265" s="6"/>
      <c r="AB265" s="28"/>
      <c r="AC265" s="28"/>
      <c r="AD265" s="28"/>
      <c r="AE265" s="7"/>
      <c r="AF265" s="28"/>
      <c r="AG265" s="28"/>
      <c r="AH265" s="28"/>
      <c r="AI265" s="28"/>
      <c r="AJ265" s="28"/>
      <c r="AK265" s="28"/>
      <c r="AL265" s="28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s="31" customFormat="1" ht="10.15" hidden="1" customHeight="1" x14ac:dyDescent="0.25">
      <c r="A266" s="27"/>
      <c r="B266" s="27"/>
      <c r="C266" s="1"/>
      <c r="D266" s="1"/>
      <c r="E266" s="1"/>
      <c r="F266" s="1"/>
      <c r="G266" s="1"/>
      <c r="H266" s="28"/>
      <c r="I266" s="28"/>
      <c r="J266" s="1"/>
      <c r="K266" s="29"/>
      <c r="L266" s="28"/>
      <c r="M266" s="1"/>
      <c r="N266" s="1"/>
      <c r="O266" s="1"/>
      <c r="P266" s="1"/>
      <c r="Q266" s="1"/>
      <c r="R266" s="1"/>
      <c r="S266" s="28"/>
      <c r="T266" s="1"/>
      <c r="U266" s="1"/>
      <c r="V266" s="1"/>
      <c r="W266" s="28"/>
      <c r="X266" s="28"/>
      <c r="Y266" s="1"/>
      <c r="Z266" s="30"/>
      <c r="AA266" s="6"/>
      <c r="AB266" s="28"/>
      <c r="AC266" s="28"/>
      <c r="AD266" s="28"/>
      <c r="AE266" s="7"/>
      <c r="AF266" s="28"/>
      <c r="AG266" s="28"/>
      <c r="AH266" s="28"/>
      <c r="AI266" s="28"/>
      <c r="AJ266" s="28"/>
      <c r="AK266" s="28"/>
      <c r="AL266" s="28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ht="10.15" customHeight="1" x14ac:dyDescent="0.25">
      <c r="A267" s="44">
        <f>1+A263</f>
        <v>67</v>
      </c>
      <c r="B267" s="38"/>
      <c r="C267" s="57"/>
      <c r="D267" s="57"/>
      <c r="E267" s="34" t="str">
        <f>+AQ267</f>
        <v/>
      </c>
      <c r="F267" s="60"/>
      <c r="G267" s="34" t="str">
        <f>+AV267</f>
        <v>000100</v>
      </c>
      <c r="H267" s="35">
        <f>+AK267</f>
        <v>0</v>
      </c>
      <c r="I267" s="35">
        <f>+ROUND(AD267,2)</f>
        <v>0</v>
      </c>
      <c r="J267" s="57"/>
      <c r="K267" s="36">
        <f>+AE267</f>
        <v>0</v>
      </c>
      <c r="L267" s="35">
        <f>+AJ267</f>
        <v>0</v>
      </c>
      <c r="M267" s="37" t="s">
        <v>37</v>
      </c>
      <c r="N267" s="68"/>
      <c r="O267" s="57"/>
      <c r="P267" s="38" t="e">
        <f>+VLOOKUP(C267,Hoja1!$A$4:$C$57,3,FALSE)</f>
        <v>#N/A</v>
      </c>
      <c r="Q267" s="37" t="s">
        <v>38</v>
      </c>
      <c r="R267" s="68"/>
      <c r="S267" s="35" t="str">
        <f>(RIGHT(O267,7))</f>
        <v/>
      </c>
      <c r="T267" s="68"/>
      <c r="U267" s="37" t="s">
        <v>39</v>
      </c>
      <c r="V267" s="37" t="s">
        <v>40</v>
      </c>
      <c r="W267" s="35">
        <f>+AI267</f>
        <v>0</v>
      </c>
      <c r="X267" s="35">
        <f>+AJ267</f>
        <v>0</v>
      </c>
      <c r="Y267" s="33" t="s">
        <v>41</v>
      </c>
      <c r="Z267" s="39">
        <f>+F267</f>
        <v>0</v>
      </c>
      <c r="AA267" s="40"/>
      <c r="AB267" s="65"/>
      <c r="AC267" s="35">
        <v>0</v>
      </c>
      <c r="AD267" s="35">
        <f t="shared" ref="AD267" si="264">+AB267+AC267</f>
        <v>0</v>
      </c>
      <c r="AE267" s="67"/>
      <c r="AF267" s="35">
        <f>+AB267*AE267</f>
        <v>0</v>
      </c>
      <c r="AG267" s="35">
        <f>+AC267*AE267</f>
        <v>0</v>
      </c>
      <c r="AH267" s="35">
        <f>+AD267*AE267</f>
        <v>0</v>
      </c>
      <c r="AI267" s="35">
        <f t="shared" ref="AI267" si="265">+ROUND(AF267,2)</f>
        <v>0</v>
      </c>
      <c r="AJ267" s="35">
        <f t="shared" ref="AJ267" si="266">+ROUND(AG267,2)</f>
        <v>0</v>
      </c>
      <c r="AK267" s="35">
        <f t="shared" ref="AK267" si="267">+ROUND(AH267,2)</f>
        <v>0</v>
      </c>
      <c r="AL267" s="35">
        <f>+AI267+AJ267-AK267</f>
        <v>0</v>
      </c>
      <c r="AM267" s="63"/>
      <c r="AN267" s="35" t="str">
        <f>+LEFT(AM267,2)</f>
        <v/>
      </c>
      <c r="AO267" s="35" t="str">
        <f>+MID(AM267,4,2)</f>
        <v/>
      </c>
      <c r="AP267" s="35" t="str">
        <f>+RIGHT(AM267,2)</f>
        <v/>
      </c>
      <c r="AQ267" s="35" t="str">
        <f>+CONCATENATE(AN267,AO267,AP267)</f>
        <v/>
      </c>
      <c r="AR267" s="41">
        <f>AM267+_xlfn.XLOOKUP(C267,Hoja1!A:A,Hoja1!B:B)</f>
        <v>0</v>
      </c>
      <c r="AS267" s="42">
        <f>+DAY(AR267)</f>
        <v>0</v>
      </c>
      <c r="AT267" s="35">
        <f>+MONTH(AR267)</f>
        <v>1</v>
      </c>
      <c r="AU267" s="35">
        <f>+YEAR(AR267)</f>
        <v>1900</v>
      </c>
      <c r="AV267" s="35" t="str">
        <f>+CONCATENATE(TEXT(AS267,"00"),TEXT(AT267,"00"),RIGHT(AU267,2))</f>
        <v>000100</v>
      </c>
    </row>
    <row r="268" spans="1:48" s="31" customFormat="1" ht="10.15" hidden="1" customHeight="1" x14ac:dyDescent="0.25">
      <c r="A268" s="27"/>
      <c r="B268" s="27"/>
      <c r="C268" s="1"/>
      <c r="D268" s="1"/>
      <c r="E268" s="1"/>
      <c r="F268" s="1"/>
      <c r="G268" s="1"/>
      <c r="H268" s="28"/>
      <c r="I268" s="28"/>
      <c r="J268" s="1"/>
      <c r="K268" s="29"/>
      <c r="L268" s="28"/>
      <c r="M268" s="1"/>
      <c r="N268" s="1"/>
      <c r="O268" s="1"/>
      <c r="P268" s="1"/>
      <c r="Q268" s="1"/>
      <c r="R268" s="1"/>
      <c r="S268" s="28"/>
      <c r="T268" s="1"/>
      <c r="U268" s="1"/>
      <c r="V268" s="1"/>
      <c r="W268" s="28"/>
      <c r="X268" s="28"/>
      <c r="Y268" s="1"/>
      <c r="Z268" s="30"/>
      <c r="AA268" s="6"/>
      <c r="AB268" s="28"/>
      <c r="AC268" s="28"/>
      <c r="AD268" s="28"/>
      <c r="AE268" s="7"/>
      <c r="AF268" s="28"/>
      <c r="AG268" s="28"/>
      <c r="AH268" s="28"/>
      <c r="AI268" s="28"/>
      <c r="AJ268" s="28"/>
      <c r="AK268" s="28"/>
      <c r="AL268" s="28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s="31" customFormat="1" ht="10.15" hidden="1" customHeight="1" x14ac:dyDescent="0.25">
      <c r="A269" s="27"/>
      <c r="B269" s="27"/>
      <c r="C269" s="1"/>
      <c r="D269" s="1"/>
      <c r="E269" s="1"/>
      <c r="F269" s="1"/>
      <c r="G269" s="1"/>
      <c r="H269" s="28"/>
      <c r="I269" s="28"/>
      <c r="J269" s="1"/>
      <c r="K269" s="29"/>
      <c r="L269" s="28"/>
      <c r="M269" s="1"/>
      <c r="N269" s="1"/>
      <c r="O269" s="1"/>
      <c r="P269" s="1"/>
      <c r="Q269" s="1"/>
      <c r="R269" s="1"/>
      <c r="S269" s="28"/>
      <c r="T269" s="1"/>
      <c r="U269" s="1"/>
      <c r="V269" s="1"/>
      <c r="W269" s="28"/>
      <c r="X269" s="28"/>
      <c r="Y269" s="1"/>
      <c r="Z269" s="30"/>
      <c r="AA269" s="6"/>
      <c r="AB269" s="28"/>
      <c r="AC269" s="28"/>
      <c r="AD269" s="28"/>
      <c r="AE269" s="7"/>
      <c r="AF269" s="28"/>
      <c r="AG269" s="28"/>
      <c r="AH269" s="28"/>
      <c r="AI269" s="28"/>
      <c r="AJ269" s="28"/>
      <c r="AK269" s="28"/>
      <c r="AL269" s="28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s="31" customFormat="1" ht="10.15" hidden="1" customHeight="1" x14ac:dyDescent="0.25">
      <c r="A270" s="27"/>
      <c r="B270" s="27"/>
      <c r="C270" s="1"/>
      <c r="D270" s="1"/>
      <c r="E270" s="1"/>
      <c r="F270" s="1"/>
      <c r="G270" s="1"/>
      <c r="H270" s="28"/>
      <c r="I270" s="28"/>
      <c r="J270" s="1"/>
      <c r="K270" s="29"/>
      <c r="L270" s="28"/>
      <c r="M270" s="1"/>
      <c r="N270" s="1"/>
      <c r="O270" s="1"/>
      <c r="P270" s="1"/>
      <c r="Q270" s="1"/>
      <c r="R270" s="1"/>
      <c r="S270" s="28"/>
      <c r="T270" s="1"/>
      <c r="U270" s="1"/>
      <c r="V270" s="1"/>
      <c r="W270" s="28"/>
      <c r="X270" s="28"/>
      <c r="Y270" s="1"/>
      <c r="Z270" s="30"/>
      <c r="AA270" s="6"/>
      <c r="AB270" s="28"/>
      <c r="AC270" s="28"/>
      <c r="AD270" s="28"/>
      <c r="AE270" s="7"/>
      <c r="AF270" s="28"/>
      <c r="AG270" s="28"/>
      <c r="AH270" s="28"/>
      <c r="AI270" s="28"/>
      <c r="AJ270" s="28"/>
      <c r="AK270" s="28"/>
      <c r="AL270" s="28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ht="10.15" customHeight="1" x14ac:dyDescent="0.25">
      <c r="A271" s="44">
        <f>1+A267</f>
        <v>68</v>
      </c>
      <c r="B271" s="50"/>
      <c r="C271" s="57"/>
      <c r="D271" s="57"/>
      <c r="E271" s="34" t="str">
        <f>+AQ271</f>
        <v/>
      </c>
      <c r="F271" s="60"/>
      <c r="G271" s="34" t="str">
        <f>+AV271</f>
        <v>000100</v>
      </c>
      <c r="H271" s="35">
        <f>+AK271</f>
        <v>0</v>
      </c>
      <c r="I271" s="35">
        <f>+ROUND(AD271,2)</f>
        <v>0</v>
      </c>
      <c r="J271" s="57"/>
      <c r="K271" s="36">
        <f>+AE271</f>
        <v>0</v>
      </c>
      <c r="L271" s="35">
        <f>+AJ271</f>
        <v>0</v>
      </c>
      <c r="M271" s="37" t="s">
        <v>37</v>
      </c>
      <c r="N271" s="68"/>
      <c r="O271" s="57"/>
      <c r="P271" s="38" t="e">
        <f>+VLOOKUP(C271,Hoja1!$A$4:$C$57,3,FALSE)</f>
        <v>#N/A</v>
      </c>
      <c r="Q271" s="37" t="s">
        <v>38</v>
      </c>
      <c r="R271" s="68"/>
      <c r="S271" s="35" t="str">
        <f>(RIGHT(O271,7))</f>
        <v/>
      </c>
      <c r="T271" s="68"/>
      <c r="U271" s="37" t="s">
        <v>39</v>
      </c>
      <c r="V271" s="37" t="s">
        <v>40</v>
      </c>
      <c r="W271" s="35">
        <f>+AI271</f>
        <v>0</v>
      </c>
      <c r="X271" s="35">
        <f>+AJ271</f>
        <v>0</v>
      </c>
      <c r="Y271" s="33" t="s">
        <v>41</v>
      </c>
      <c r="Z271" s="39">
        <f>+F271</f>
        <v>0</v>
      </c>
      <c r="AA271" s="40"/>
      <c r="AB271" s="65"/>
      <c r="AC271" s="35">
        <v>0</v>
      </c>
      <c r="AD271" s="35">
        <f t="shared" ref="AD271" si="268">+AB271+AC271</f>
        <v>0</v>
      </c>
      <c r="AE271" s="67"/>
      <c r="AF271" s="35">
        <f>+AB271*AE271</f>
        <v>0</v>
      </c>
      <c r="AG271" s="35">
        <f>+AC271*AE271</f>
        <v>0</v>
      </c>
      <c r="AH271" s="35">
        <f>+AD271*AE271</f>
        <v>0</v>
      </c>
      <c r="AI271" s="35">
        <f t="shared" ref="AI271" si="269">+ROUND(AF271,2)</f>
        <v>0</v>
      </c>
      <c r="AJ271" s="35">
        <f t="shared" ref="AJ271" si="270">+ROUND(AG271,2)</f>
        <v>0</v>
      </c>
      <c r="AK271" s="35">
        <f t="shared" ref="AK271" si="271">+ROUND(AH271,2)</f>
        <v>0</v>
      </c>
      <c r="AL271" s="35">
        <f>+AI271+AJ271-AK271</f>
        <v>0</v>
      </c>
      <c r="AM271" s="63"/>
      <c r="AN271" s="35" t="str">
        <f>+LEFT(AM271,2)</f>
        <v/>
      </c>
      <c r="AO271" s="35" t="str">
        <f>+MID(AM271,4,2)</f>
        <v/>
      </c>
      <c r="AP271" s="35" t="str">
        <f>+RIGHT(AM271,2)</f>
        <v/>
      </c>
      <c r="AQ271" s="35" t="str">
        <f>+CONCATENATE(AN271,AO271,AP271)</f>
        <v/>
      </c>
      <c r="AR271" s="41">
        <f>AM271+_xlfn.XLOOKUP(C271,Hoja1!A:A,Hoja1!B:B)</f>
        <v>0</v>
      </c>
      <c r="AS271" s="42">
        <f>+DAY(AR271)</f>
        <v>0</v>
      </c>
      <c r="AT271" s="35">
        <f>+MONTH(AR271)</f>
        <v>1</v>
      </c>
      <c r="AU271" s="35">
        <f>+YEAR(AR271)</f>
        <v>1900</v>
      </c>
      <c r="AV271" s="35" t="str">
        <f>+CONCATENATE(TEXT(AS271,"00"),TEXT(AT271,"00"),RIGHT(AU271,2))</f>
        <v>000100</v>
      </c>
    </row>
    <row r="272" spans="1:48" s="31" customFormat="1" ht="10.15" hidden="1" customHeight="1" x14ac:dyDescent="0.25">
      <c r="A272" s="27"/>
      <c r="B272" s="27"/>
      <c r="C272" s="1"/>
      <c r="D272" s="1"/>
      <c r="E272" s="1"/>
      <c r="F272" s="1"/>
      <c r="G272" s="1"/>
      <c r="H272" s="28"/>
      <c r="I272" s="28"/>
      <c r="J272" s="1"/>
      <c r="K272" s="29"/>
      <c r="L272" s="28"/>
      <c r="M272" s="1"/>
      <c r="N272" s="1"/>
      <c r="O272" s="1"/>
      <c r="P272" s="1"/>
      <c r="Q272" s="1"/>
      <c r="R272" s="1"/>
      <c r="S272" s="28"/>
      <c r="T272" s="1"/>
      <c r="U272" s="1"/>
      <c r="V272" s="1"/>
      <c r="W272" s="28"/>
      <c r="X272" s="28"/>
      <c r="Y272" s="1"/>
      <c r="Z272" s="30"/>
      <c r="AA272" s="6"/>
      <c r="AB272" s="28"/>
      <c r="AC272" s="28"/>
      <c r="AD272" s="28"/>
      <c r="AE272" s="7"/>
      <c r="AF272" s="28"/>
      <c r="AG272" s="28"/>
      <c r="AH272" s="28"/>
      <c r="AI272" s="28"/>
      <c r="AJ272" s="28"/>
      <c r="AK272" s="28"/>
      <c r="AL272" s="28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s="31" customFormat="1" ht="10.15" hidden="1" customHeight="1" x14ac:dyDescent="0.25">
      <c r="A273" s="27"/>
      <c r="B273" s="27"/>
      <c r="C273" s="1"/>
      <c r="D273" s="1"/>
      <c r="E273" s="1"/>
      <c r="F273" s="1"/>
      <c r="G273" s="1"/>
      <c r="H273" s="28"/>
      <c r="I273" s="28"/>
      <c r="J273" s="1"/>
      <c r="K273" s="29"/>
      <c r="L273" s="28"/>
      <c r="M273" s="1"/>
      <c r="N273" s="1"/>
      <c r="O273" s="1"/>
      <c r="P273" s="1"/>
      <c r="Q273" s="1"/>
      <c r="R273" s="1"/>
      <c r="S273" s="28"/>
      <c r="T273" s="1"/>
      <c r="U273" s="1"/>
      <c r="V273" s="1"/>
      <c r="W273" s="28"/>
      <c r="X273" s="28"/>
      <c r="Y273" s="1"/>
      <c r="Z273" s="30"/>
      <c r="AA273" s="6"/>
      <c r="AB273" s="28"/>
      <c r="AC273" s="28"/>
      <c r="AD273" s="28"/>
      <c r="AE273" s="7"/>
      <c r="AF273" s="28"/>
      <c r="AG273" s="28"/>
      <c r="AH273" s="28"/>
      <c r="AI273" s="28"/>
      <c r="AJ273" s="28"/>
      <c r="AK273" s="28"/>
      <c r="AL273" s="28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s="31" customFormat="1" ht="10.15" hidden="1" customHeight="1" x14ac:dyDescent="0.25">
      <c r="A274" s="27"/>
      <c r="B274" s="27"/>
      <c r="C274" s="1"/>
      <c r="D274" s="1"/>
      <c r="E274" s="1"/>
      <c r="F274" s="1"/>
      <c r="G274" s="1"/>
      <c r="H274" s="28"/>
      <c r="I274" s="28"/>
      <c r="J274" s="1"/>
      <c r="K274" s="29"/>
      <c r="L274" s="28"/>
      <c r="M274" s="1"/>
      <c r="N274" s="1"/>
      <c r="O274" s="1"/>
      <c r="P274" s="1"/>
      <c r="Q274" s="1"/>
      <c r="R274" s="1"/>
      <c r="S274" s="28"/>
      <c r="T274" s="1"/>
      <c r="U274" s="1"/>
      <c r="V274" s="1"/>
      <c r="W274" s="28"/>
      <c r="X274" s="28"/>
      <c r="Y274" s="1"/>
      <c r="Z274" s="30"/>
      <c r="AA274" s="6"/>
      <c r="AB274" s="28"/>
      <c r="AC274" s="28"/>
      <c r="AD274" s="28"/>
      <c r="AE274" s="7"/>
      <c r="AF274" s="28"/>
      <c r="AG274" s="28"/>
      <c r="AH274" s="28"/>
      <c r="AI274" s="28"/>
      <c r="AJ274" s="28"/>
      <c r="AK274" s="28"/>
      <c r="AL274" s="28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ht="10.15" customHeight="1" x14ac:dyDescent="0.25">
      <c r="A275" s="44">
        <f>1+A271</f>
        <v>69</v>
      </c>
      <c r="B275" s="50"/>
      <c r="C275" s="57"/>
      <c r="D275" s="57"/>
      <c r="E275" s="34" t="str">
        <f>+AQ275</f>
        <v/>
      </c>
      <c r="F275" s="60"/>
      <c r="G275" s="34" t="str">
        <f>+AV275</f>
        <v>000100</v>
      </c>
      <c r="H275" s="35">
        <f>+AK275</f>
        <v>0</v>
      </c>
      <c r="I275" s="35">
        <f>+ROUND(AD275,2)</f>
        <v>0</v>
      </c>
      <c r="J275" s="57"/>
      <c r="K275" s="36">
        <f>+AE275</f>
        <v>0</v>
      </c>
      <c r="L275" s="35">
        <f>+AJ275</f>
        <v>0</v>
      </c>
      <c r="M275" s="37" t="s">
        <v>37</v>
      </c>
      <c r="N275" s="68"/>
      <c r="O275" s="57"/>
      <c r="P275" s="38" t="e">
        <f>+VLOOKUP(C275,Hoja1!$A$4:$C$57,3,FALSE)</f>
        <v>#N/A</v>
      </c>
      <c r="Q275" s="37" t="s">
        <v>38</v>
      </c>
      <c r="R275" s="68"/>
      <c r="S275" s="35" t="str">
        <f>(RIGHT(O275,7))</f>
        <v/>
      </c>
      <c r="T275" s="68"/>
      <c r="U275" s="37" t="s">
        <v>39</v>
      </c>
      <c r="V275" s="37" t="s">
        <v>40</v>
      </c>
      <c r="W275" s="35">
        <f>+AI275</f>
        <v>0</v>
      </c>
      <c r="X275" s="35">
        <f>+AJ275</f>
        <v>0</v>
      </c>
      <c r="Y275" s="33" t="s">
        <v>41</v>
      </c>
      <c r="Z275" s="39">
        <f>+F275</f>
        <v>0</v>
      </c>
      <c r="AA275" s="40"/>
      <c r="AB275" s="65"/>
      <c r="AC275" s="35">
        <v>0</v>
      </c>
      <c r="AD275" s="35">
        <f t="shared" ref="AD275" si="272">+AB275+AC275</f>
        <v>0</v>
      </c>
      <c r="AE275" s="67"/>
      <c r="AF275" s="35">
        <f>+AB275*AE275</f>
        <v>0</v>
      </c>
      <c r="AG275" s="35">
        <f>+AC275*AE275</f>
        <v>0</v>
      </c>
      <c r="AH275" s="35">
        <f>+AD275*AE275</f>
        <v>0</v>
      </c>
      <c r="AI275" s="35">
        <f t="shared" ref="AI275" si="273">+ROUND(AF275,2)</f>
        <v>0</v>
      </c>
      <c r="AJ275" s="35">
        <f t="shared" ref="AJ275" si="274">+ROUND(AG275,2)</f>
        <v>0</v>
      </c>
      <c r="AK275" s="35">
        <f t="shared" ref="AK275" si="275">+ROUND(AH275,2)</f>
        <v>0</v>
      </c>
      <c r="AL275" s="35">
        <f>+AI275+AJ275-AK275</f>
        <v>0</v>
      </c>
      <c r="AM275" s="63"/>
      <c r="AN275" s="35" t="str">
        <f>+LEFT(AM275,2)</f>
        <v/>
      </c>
      <c r="AO275" s="35" t="str">
        <f>+MID(AM275,4,2)</f>
        <v/>
      </c>
      <c r="AP275" s="35" t="str">
        <f>+RIGHT(AM275,2)</f>
        <v/>
      </c>
      <c r="AQ275" s="35" t="str">
        <f>+CONCATENATE(AN275,AO275,AP275)</f>
        <v/>
      </c>
      <c r="AR275" s="41">
        <f>AM275+_xlfn.XLOOKUP(C275,Hoja1!A:A,Hoja1!B:B)</f>
        <v>0</v>
      </c>
      <c r="AS275" s="42">
        <f>+DAY(AR275)</f>
        <v>0</v>
      </c>
      <c r="AT275" s="35">
        <f>+MONTH(AR275)</f>
        <v>1</v>
      </c>
      <c r="AU275" s="35">
        <f>+YEAR(AR275)</f>
        <v>1900</v>
      </c>
      <c r="AV275" s="35" t="str">
        <f>+CONCATENATE(TEXT(AS275,"00"),TEXT(AT275,"00"),RIGHT(AU275,2))</f>
        <v>000100</v>
      </c>
    </row>
    <row r="276" spans="1:48" s="31" customFormat="1" ht="10.15" hidden="1" customHeight="1" x14ac:dyDescent="0.25">
      <c r="A276" s="27"/>
      <c r="B276" s="27"/>
      <c r="C276" s="1"/>
      <c r="D276" s="1"/>
      <c r="E276" s="1"/>
      <c r="F276" s="1"/>
      <c r="G276" s="1"/>
      <c r="H276" s="28"/>
      <c r="I276" s="28"/>
      <c r="J276" s="1"/>
      <c r="K276" s="29"/>
      <c r="L276" s="28"/>
      <c r="M276" s="1"/>
      <c r="N276" s="1"/>
      <c r="O276" s="1"/>
      <c r="P276" s="1"/>
      <c r="Q276" s="1"/>
      <c r="R276" s="1"/>
      <c r="S276" s="28"/>
      <c r="T276" s="1"/>
      <c r="U276" s="1"/>
      <c r="V276" s="1"/>
      <c r="W276" s="28"/>
      <c r="X276" s="28"/>
      <c r="Y276" s="1"/>
      <c r="Z276" s="30"/>
      <c r="AA276" s="6"/>
      <c r="AB276" s="28"/>
      <c r="AC276" s="28"/>
      <c r="AD276" s="28"/>
      <c r="AE276" s="7"/>
      <c r="AF276" s="28"/>
      <c r="AG276" s="28"/>
      <c r="AH276" s="28"/>
      <c r="AI276" s="28"/>
      <c r="AJ276" s="28"/>
      <c r="AK276" s="28"/>
      <c r="AL276" s="28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s="31" customFormat="1" ht="10.15" hidden="1" customHeight="1" x14ac:dyDescent="0.25">
      <c r="A277" s="27"/>
      <c r="B277" s="27"/>
      <c r="C277" s="1"/>
      <c r="D277" s="1"/>
      <c r="E277" s="1"/>
      <c r="F277" s="1"/>
      <c r="G277" s="1"/>
      <c r="H277" s="28"/>
      <c r="I277" s="28"/>
      <c r="J277" s="1"/>
      <c r="K277" s="29"/>
      <c r="L277" s="28"/>
      <c r="M277" s="1"/>
      <c r="N277" s="1"/>
      <c r="O277" s="1"/>
      <c r="P277" s="1"/>
      <c r="Q277" s="1"/>
      <c r="R277" s="1"/>
      <c r="S277" s="28"/>
      <c r="T277" s="1"/>
      <c r="U277" s="1"/>
      <c r="V277" s="1"/>
      <c r="W277" s="28"/>
      <c r="X277" s="28"/>
      <c r="Y277" s="1"/>
      <c r="Z277" s="30"/>
      <c r="AA277" s="6"/>
      <c r="AB277" s="28"/>
      <c r="AC277" s="28"/>
      <c r="AD277" s="28"/>
      <c r="AE277" s="7"/>
      <c r="AF277" s="28"/>
      <c r="AG277" s="28"/>
      <c r="AH277" s="28"/>
      <c r="AI277" s="28"/>
      <c r="AJ277" s="28"/>
      <c r="AK277" s="28"/>
      <c r="AL277" s="28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s="31" customFormat="1" ht="10.15" hidden="1" customHeight="1" x14ac:dyDescent="0.25">
      <c r="A278" s="27"/>
      <c r="B278" s="27"/>
      <c r="C278" s="1"/>
      <c r="D278" s="1"/>
      <c r="E278" s="1"/>
      <c r="F278" s="1"/>
      <c r="G278" s="1"/>
      <c r="H278" s="28"/>
      <c r="I278" s="28"/>
      <c r="J278" s="1"/>
      <c r="K278" s="29"/>
      <c r="L278" s="28"/>
      <c r="M278" s="1"/>
      <c r="N278" s="1"/>
      <c r="O278" s="1"/>
      <c r="P278" s="1"/>
      <c r="Q278" s="1"/>
      <c r="R278" s="1"/>
      <c r="S278" s="28"/>
      <c r="T278" s="1"/>
      <c r="U278" s="1"/>
      <c r="V278" s="1"/>
      <c r="W278" s="28"/>
      <c r="X278" s="28"/>
      <c r="Y278" s="1"/>
      <c r="Z278" s="30"/>
      <c r="AA278" s="6"/>
      <c r="AB278" s="28"/>
      <c r="AC278" s="28"/>
      <c r="AD278" s="28"/>
      <c r="AE278" s="7"/>
      <c r="AF278" s="28"/>
      <c r="AG278" s="28"/>
      <c r="AH278" s="28"/>
      <c r="AI278" s="28"/>
      <c r="AJ278" s="28"/>
      <c r="AK278" s="28"/>
      <c r="AL278" s="28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ht="10.15" customHeight="1" x14ac:dyDescent="0.25">
      <c r="A279" s="44">
        <f>1+A275</f>
        <v>70</v>
      </c>
      <c r="B279" s="38"/>
      <c r="C279" s="57"/>
      <c r="D279" s="57"/>
      <c r="E279" s="34" t="str">
        <f>+AQ279</f>
        <v/>
      </c>
      <c r="F279" s="60"/>
      <c r="G279" s="34" t="str">
        <f>+AV279</f>
        <v>000100</v>
      </c>
      <c r="H279" s="35">
        <f>+AK279</f>
        <v>0</v>
      </c>
      <c r="I279" s="35">
        <f>+ROUND(AD279,2)</f>
        <v>0</v>
      </c>
      <c r="J279" s="57"/>
      <c r="K279" s="36">
        <f>+AE279</f>
        <v>0</v>
      </c>
      <c r="L279" s="35">
        <f>+AJ279</f>
        <v>0</v>
      </c>
      <c r="M279" s="37" t="s">
        <v>37</v>
      </c>
      <c r="N279" s="68"/>
      <c r="O279" s="57"/>
      <c r="P279" s="38" t="e">
        <f>+VLOOKUP(C279,Hoja1!$A$4:$C$57,3,FALSE)</f>
        <v>#N/A</v>
      </c>
      <c r="Q279" s="37" t="s">
        <v>38</v>
      </c>
      <c r="R279" s="68"/>
      <c r="S279" s="35" t="str">
        <f>(RIGHT(O279,7))</f>
        <v/>
      </c>
      <c r="T279" s="68"/>
      <c r="U279" s="37" t="s">
        <v>39</v>
      </c>
      <c r="V279" s="37" t="s">
        <v>40</v>
      </c>
      <c r="W279" s="35">
        <f>+AI279</f>
        <v>0</v>
      </c>
      <c r="X279" s="35">
        <f>+AJ279</f>
        <v>0</v>
      </c>
      <c r="Y279" s="33" t="s">
        <v>41</v>
      </c>
      <c r="Z279" s="39">
        <f>+F279</f>
        <v>0</v>
      </c>
      <c r="AA279" s="40"/>
      <c r="AB279" s="65"/>
      <c r="AC279" s="35">
        <v>0</v>
      </c>
      <c r="AD279" s="35">
        <f t="shared" ref="AD279" si="276">+AB279+AC279</f>
        <v>0</v>
      </c>
      <c r="AE279" s="67"/>
      <c r="AF279" s="35">
        <f>+AB279*AE279</f>
        <v>0</v>
      </c>
      <c r="AG279" s="35">
        <f>+AC279*AE279</f>
        <v>0</v>
      </c>
      <c r="AH279" s="35">
        <f>+AD279*AE279</f>
        <v>0</v>
      </c>
      <c r="AI279" s="35">
        <f t="shared" ref="AI279" si="277">+ROUND(AF279,2)</f>
        <v>0</v>
      </c>
      <c r="AJ279" s="35">
        <f t="shared" ref="AJ279" si="278">+ROUND(AG279,2)</f>
        <v>0</v>
      </c>
      <c r="AK279" s="35">
        <f t="shared" ref="AK279" si="279">+ROUND(AH279,2)</f>
        <v>0</v>
      </c>
      <c r="AL279" s="35">
        <f>+AI279+AJ279-AK279</f>
        <v>0</v>
      </c>
      <c r="AM279" s="62"/>
      <c r="AN279" s="35" t="str">
        <f>+LEFT(AM279,2)</f>
        <v/>
      </c>
      <c r="AO279" s="35" t="str">
        <f>+MID(AM279,4,2)</f>
        <v/>
      </c>
      <c r="AP279" s="35" t="str">
        <f>+RIGHT(AM279,2)</f>
        <v/>
      </c>
      <c r="AQ279" s="35" t="str">
        <f>+CONCATENATE(AN279,AO279,AP279)</f>
        <v/>
      </c>
      <c r="AR279" s="41">
        <f>AM279+_xlfn.XLOOKUP(C279,Hoja1!A:A,Hoja1!B:B)</f>
        <v>0</v>
      </c>
      <c r="AS279" s="42">
        <f>+DAY(AR279)</f>
        <v>0</v>
      </c>
      <c r="AT279" s="35">
        <f>+MONTH(AR279)</f>
        <v>1</v>
      </c>
      <c r="AU279" s="35">
        <f>+YEAR(AR279)</f>
        <v>1900</v>
      </c>
      <c r="AV279" s="35" t="str">
        <f>+CONCATENATE(TEXT(AS279,"00"),TEXT(AT279,"00"),RIGHT(AU279,2))</f>
        <v>000100</v>
      </c>
    </row>
    <row r="280" spans="1:48" s="31" customFormat="1" ht="10.15" hidden="1" customHeight="1" x14ac:dyDescent="0.25">
      <c r="A280" s="27"/>
      <c r="B280" s="27"/>
      <c r="C280" s="1"/>
      <c r="D280" s="1"/>
      <c r="E280" s="1"/>
      <c r="F280" s="1"/>
      <c r="G280" s="1"/>
      <c r="H280" s="28"/>
      <c r="I280" s="28"/>
      <c r="J280" s="1"/>
      <c r="K280" s="29"/>
      <c r="L280" s="28"/>
      <c r="M280" s="1"/>
      <c r="N280" s="1"/>
      <c r="O280" s="1"/>
      <c r="P280" s="1"/>
      <c r="Q280" s="1"/>
      <c r="R280" s="1"/>
      <c r="S280" s="28"/>
      <c r="T280" s="1"/>
      <c r="U280" s="1"/>
      <c r="V280" s="1"/>
      <c r="W280" s="28"/>
      <c r="X280" s="28"/>
      <c r="Y280" s="1"/>
      <c r="Z280" s="30"/>
      <c r="AA280" s="6"/>
      <c r="AB280" s="28"/>
      <c r="AC280" s="28"/>
      <c r="AD280" s="28"/>
      <c r="AE280" s="7"/>
      <c r="AF280" s="28"/>
      <c r="AG280" s="28"/>
      <c r="AH280" s="28"/>
      <c r="AI280" s="28"/>
      <c r="AJ280" s="28"/>
      <c r="AK280" s="28"/>
      <c r="AL280" s="28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s="31" customFormat="1" ht="10.15" hidden="1" customHeight="1" x14ac:dyDescent="0.25">
      <c r="A281" s="27"/>
      <c r="B281" s="27"/>
      <c r="C281" s="1"/>
      <c r="D281" s="1"/>
      <c r="E281" s="1"/>
      <c r="F281" s="1"/>
      <c r="G281" s="1"/>
      <c r="H281" s="28"/>
      <c r="I281" s="28"/>
      <c r="J281" s="1"/>
      <c r="K281" s="29"/>
      <c r="L281" s="28"/>
      <c r="M281" s="1"/>
      <c r="N281" s="1"/>
      <c r="O281" s="1"/>
      <c r="P281" s="1"/>
      <c r="Q281" s="1"/>
      <c r="R281" s="1"/>
      <c r="S281" s="28"/>
      <c r="T281" s="1"/>
      <c r="U281" s="1"/>
      <c r="V281" s="1"/>
      <c r="W281" s="28"/>
      <c r="X281" s="28"/>
      <c r="Y281" s="1"/>
      <c r="Z281" s="30"/>
      <c r="AA281" s="6"/>
      <c r="AB281" s="28"/>
      <c r="AC281" s="28"/>
      <c r="AD281" s="28"/>
      <c r="AE281" s="7"/>
      <c r="AF281" s="28"/>
      <c r="AG281" s="28"/>
      <c r="AH281" s="28"/>
      <c r="AI281" s="28"/>
      <c r="AJ281" s="28"/>
      <c r="AK281" s="28"/>
      <c r="AL281" s="28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s="31" customFormat="1" ht="10.15" hidden="1" customHeight="1" x14ac:dyDescent="0.25">
      <c r="A282" s="27"/>
      <c r="B282" s="27"/>
      <c r="C282" s="1"/>
      <c r="D282" s="1"/>
      <c r="E282" s="1"/>
      <c r="F282" s="1"/>
      <c r="G282" s="1"/>
      <c r="H282" s="28"/>
      <c r="I282" s="28"/>
      <c r="J282" s="1"/>
      <c r="K282" s="29"/>
      <c r="L282" s="28"/>
      <c r="M282" s="1"/>
      <c r="N282" s="1"/>
      <c r="O282" s="1"/>
      <c r="P282" s="1"/>
      <c r="Q282" s="1"/>
      <c r="R282" s="1"/>
      <c r="S282" s="28"/>
      <c r="T282" s="1"/>
      <c r="U282" s="1"/>
      <c r="V282" s="1"/>
      <c r="W282" s="28"/>
      <c r="X282" s="28"/>
      <c r="Y282" s="1"/>
      <c r="Z282" s="30"/>
      <c r="AA282" s="6"/>
      <c r="AB282" s="28"/>
      <c r="AC282" s="28"/>
      <c r="AD282" s="28"/>
      <c r="AE282" s="7"/>
      <c r="AF282" s="28"/>
      <c r="AG282" s="28"/>
      <c r="AH282" s="28"/>
      <c r="AI282" s="28"/>
      <c r="AJ282" s="28"/>
      <c r="AK282" s="28"/>
      <c r="AL282" s="28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ht="10.15" customHeight="1" x14ac:dyDescent="0.25">
      <c r="A283" s="44">
        <f>1+A279</f>
        <v>71</v>
      </c>
      <c r="B283" s="38"/>
      <c r="C283" s="57"/>
      <c r="D283" s="57"/>
      <c r="E283" s="34" t="str">
        <f>+AQ283</f>
        <v/>
      </c>
      <c r="F283" s="60"/>
      <c r="G283" s="34" t="str">
        <f>+AV283</f>
        <v>000100</v>
      </c>
      <c r="H283" s="35">
        <f>+AK283</f>
        <v>0</v>
      </c>
      <c r="I283" s="35">
        <f>+ROUND(AD283,2)</f>
        <v>0</v>
      </c>
      <c r="J283" s="57"/>
      <c r="K283" s="36">
        <f>+AE283</f>
        <v>0</v>
      </c>
      <c r="L283" s="35">
        <f>+AJ283</f>
        <v>0</v>
      </c>
      <c r="M283" s="37" t="s">
        <v>37</v>
      </c>
      <c r="N283" s="68"/>
      <c r="O283" s="57"/>
      <c r="P283" s="38" t="e">
        <f>+VLOOKUP(C283,Hoja1!$A$4:$C$57,3,FALSE)</f>
        <v>#N/A</v>
      </c>
      <c r="Q283" s="37" t="s">
        <v>38</v>
      </c>
      <c r="R283" s="68"/>
      <c r="S283" s="35" t="str">
        <f>(RIGHT(O283,7))</f>
        <v/>
      </c>
      <c r="T283" s="68"/>
      <c r="U283" s="37" t="s">
        <v>39</v>
      </c>
      <c r="V283" s="37" t="s">
        <v>40</v>
      </c>
      <c r="W283" s="35">
        <f>+AI283</f>
        <v>0</v>
      </c>
      <c r="X283" s="35">
        <f>+AJ283</f>
        <v>0</v>
      </c>
      <c r="Y283" s="33" t="s">
        <v>41</v>
      </c>
      <c r="Z283" s="39">
        <f>+F283</f>
        <v>0</v>
      </c>
      <c r="AA283" s="40"/>
      <c r="AB283" s="65"/>
      <c r="AC283" s="35">
        <v>0</v>
      </c>
      <c r="AD283" s="35">
        <f t="shared" ref="AD283" si="280">+AB283+AC283</f>
        <v>0</v>
      </c>
      <c r="AE283" s="67"/>
      <c r="AF283" s="35">
        <f>+AB283*AE283</f>
        <v>0</v>
      </c>
      <c r="AG283" s="35">
        <f>+AC283*AE283</f>
        <v>0</v>
      </c>
      <c r="AH283" s="35">
        <f>+AD283*AE283</f>
        <v>0</v>
      </c>
      <c r="AI283" s="35">
        <f t="shared" ref="AI283" si="281">+ROUND(AF283,2)</f>
        <v>0</v>
      </c>
      <c r="AJ283" s="35">
        <f t="shared" ref="AJ283" si="282">+ROUND(AG283,2)</f>
        <v>0</v>
      </c>
      <c r="AK283" s="35">
        <f t="shared" ref="AK283" si="283">+ROUND(AH283,2)</f>
        <v>0</v>
      </c>
      <c r="AL283" s="35">
        <f>+AI283+AJ283-AK283</f>
        <v>0</v>
      </c>
      <c r="AM283" s="63"/>
      <c r="AN283" s="35" t="str">
        <f>+LEFT(AM283,2)</f>
        <v/>
      </c>
      <c r="AO283" s="35" t="str">
        <f>+MID(AM283,4,2)</f>
        <v/>
      </c>
      <c r="AP283" s="35" t="str">
        <f>+RIGHT(AM283,2)</f>
        <v/>
      </c>
      <c r="AQ283" s="35" t="str">
        <f>+CONCATENATE(AN283,AO283,AP283)</f>
        <v/>
      </c>
      <c r="AR283" s="41">
        <f>AM283+_xlfn.XLOOKUP(C283,Hoja1!A:A,Hoja1!B:B)</f>
        <v>0</v>
      </c>
      <c r="AS283" s="42">
        <f>+DAY(AR283)</f>
        <v>0</v>
      </c>
      <c r="AT283" s="35">
        <f>+MONTH(AR283)</f>
        <v>1</v>
      </c>
      <c r="AU283" s="35">
        <f>+YEAR(AR283)</f>
        <v>1900</v>
      </c>
      <c r="AV283" s="35" t="str">
        <f>+CONCATENATE(TEXT(AS283,"00"),TEXT(AT283,"00"),RIGHT(AU283,2))</f>
        <v>000100</v>
      </c>
    </row>
    <row r="284" spans="1:48" s="31" customFormat="1" ht="10.15" hidden="1" customHeight="1" x14ac:dyDescent="0.25">
      <c r="A284" s="27"/>
      <c r="B284" s="27"/>
      <c r="C284" s="1"/>
      <c r="D284" s="1"/>
      <c r="E284" s="1"/>
      <c r="F284" s="1"/>
      <c r="G284" s="1"/>
      <c r="H284" s="28"/>
      <c r="I284" s="28"/>
      <c r="J284" s="1"/>
      <c r="K284" s="29"/>
      <c r="L284" s="28"/>
      <c r="M284" s="1"/>
      <c r="N284" s="1"/>
      <c r="O284" s="1"/>
      <c r="P284" s="1"/>
      <c r="Q284" s="1"/>
      <c r="R284" s="1"/>
      <c r="S284" s="28"/>
      <c r="T284" s="1"/>
      <c r="U284" s="1"/>
      <c r="V284" s="1"/>
      <c r="W284" s="28"/>
      <c r="X284" s="28"/>
      <c r="Y284" s="1"/>
      <c r="Z284" s="30"/>
      <c r="AA284" s="6"/>
      <c r="AB284" s="28"/>
      <c r="AC284" s="28"/>
      <c r="AD284" s="28"/>
      <c r="AE284" s="7"/>
      <c r="AF284" s="28"/>
      <c r="AG284" s="28"/>
      <c r="AH284" s="28"/>
      <c r="AI284" s="28"/>
      <c r="AJ284" s="28"/>
      <c r="AK284" s="28"/>
      <c r="AL284" s="28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s="31" customFormat="1" ht="10.15" hidden="1" customHeight="1" x14ac:dyDescent="0.25">
      <c r="A285" s="27"/>
      <c r="B285" s="27"/>
      <c r="C285" s="1"/>
      <c r="D285" s="1"/>
      <c r="E285" s="1"/>
      <c r="F285" s="1"/>
      <c r="G285" s="1"/>
      <c r="H285" s="28"/>
      <c r="I285" s="28"/>
      <c r="J285" s="1"/>
      <c r="K285" s="29"/>
      <c r="L285" s="28"/>
      <c r="M285" s="1"/>
      <c r="N285" s="1"/>
      <c r="O285" s="1"/>
      <c r="P285" s="1"/>
      <c r="Q285" s="1"/>
      <c r="R285" s="1"/>
      <c r="S285" s="28"/>
      <c r="T285" s="1"/>
      <c r="U285" s="1"/>
      <c r="V285" s="1"/>
      <c r="W285" s="28"/>
      <c r="X285" s="28"/>
      <c r="Y285" s="1"/>
      <c r="Z285" s="30"/>
      <c r="AA285" s="6"/>
      <c r="AB285" s="28"/>
      <c r="AC285" s="28"/>
      <c r="AD285" s="28"/>
      <c r="AE285" s="7"/>
      <c r="AF285" s="28"/>
      <c r="AG285" s="28"/>
      <c r="AH285" s="28"/>
      <c r="AI285" s="28"/>
      <c r="AJ285" s="28"/>
      <c r="AK285" s="28"/>
      <c r="AL285" s="28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s="31" customFormat="1" ht="10.15" hidden="1" customHeight="1" x14ac:dyDescent="0.25">
      <c r="A286" s="27"/>
      <c r="B286" s="27"/>
      <c r="C286" s="1"/>
      <c r="D286" s="1"/>
      <c r="E286" s="1"/>
      <c r="F286" s="1"/>
      <c r="G286" s="1"/>
      <c r="H286" s="28"/>
      <c r="I286" s="28"/>
      <c r="J286" s="1"/>
      <c r="K286" s="29"/>
      <c r="L286" s="28"/>
      <c r="M286" s="1"/>
      <c r="N286" s="1"/>
      <c r="O286" s="1"/>
      <c r="P286" s="1"/>
      <c r="Q286" s="1"/>
      <c r="R286" s="1"/>
      <c r="S286" s="28"/>
      <c r="T286" s="1"/>
      <c r="U286" s="1"/>
      <c r="V286" s="1"/>
      <c r="W286" s="28"/>
      <c r="X286" s="28"/>
      <c r="Y286" s="1"/>
      <c r="Z286" s="30"/>
      <c r="AA286" s="6"/>
      <c r="AB286" s="28"/>
      <c r="AC286" s="28"/>
      <c r="AD286" s="28"/>
      <c r="AE286" s="7"/>
      <c r="AF286" s="28"/>
      <c r="AG286" s="28"/>
      <c r="AH286" s="28"/>
      <c r="AI286" s="28"/>
      <c r="AJ286" s="28"/>
      <c r="AK286" s="28"/>
      <c r="AL286" s="28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ht="10.15" customHeight="1" x14ac:dyDescent="0.25">
      <c r="A287" s="44">
        <f>1+A283</f>
        <v>72</v>
      </c>
      <c r="B287" s="50"/>
      <c r="C287" s="57"/>
      <c r="D287" s="57"/>
      <c r="E287" s="34" t="str">
        <f>+AQ287</f>
        <v/>
      </c>
      <c r="F287" s="60"/>
      <c r="G287" s="34" t="str">
        <f>+AV287</f>
        <v>000100</v>
      </c>
      <c r="H287" s="35">
        <f>+AK287</f>
        <v>0</v>
      </c>
      <c r="I287" s="35">
        <f>+ROUND(AD287,2)</f>
        <v>0</v>
      </c>
      <c r="J287" s="57"/>
      <c r="K287" s="36">
        <f>+AE287</f>
        <v>0</v>
      </c>
      <c r="L287" s="35">
        <f>+AJ287</f>
        <v>0</v>
      </c>
      <c r="M287" s="37" t="s">
        <v>37</v>
      </c>
      <c r="N287" s="68"/>
      <c r="O287" s="57"/>
      <c r="P287" s="38" t="e">
        <f>+VLOOKUP(C287,Hoja1!$A$4:$C$57,3,FALSE)</f>
        <v>#N/A</v>
      </c>
      <c r="Q287" s="37" t="s">
        <v>38</v>
      </c>
      <c r="R287" s="68"/>
      <c r="S287" s="35" t="str">
        <f>(RIGHT(O287,7))</f>
        <v/>
      </c>
      <c r="T287" s="68"/>
      <c r="U287" s="37" t="s">
        <v>39</v>
      </c>
      <c r="V287" s="37" t="s">
        <v>40</v>
      </c>
      <c r="W287" s="35">
        <f>+AI287</f>
        <v>0</v>
      </c>
      <c r="X287" s="35">
        <f>+AJ287</f>
        <v>0</v>
      </c>
      <c r="Y287" s="33" t="s">
        <v>41</v>
      </c>
      <c r="Z287" s="39">
        <f>+F287</f>
        <v>0</v>
      </c>
      <c r="AA287" s="40"/>
      <c r="AB287" s="65"/>
      <c r="AC287" s="35">
        <v>0</v>
      </c>
      <c r="AD287" s="35">
        <f t="shared" ref="AD287" si="284">+AB287+AC287</f>
        <v>0</v>
      </c>
      <c r="AE287" s="67"/>
      <c r="AF287" s="35">
        <f>+AB287*AE287</f>
        <v>0</v>
      </c>
      <c r="AG287" s="35">
        <f>+AC287*AE287</f>
        <v>0</v>
      </c>
      <c r="AH287" s="35">
        <f>+AD287*AE287</f>
        <v>0</v>
      </c>
      <c r="AI287" s="35">
        <f t="shared" ref="AI287" si="285">+ROUND(AF287,2)</f>
        <v>0</v>
      </c>
      <c r="AJ287" s="35">
        <f t="shared" ref="AJ287" si="286">+ROUND(AG287,2)</f>
        <v>0</v>
      </c>
      <c r="AK287" s="35">
        <f t="shared" ref="AK287" si="287">+ROUND(AH287,2)</f>
        <v>0</v>
      </c>
      <c r="AL287" s="35">
        <f>+AI287+AJ287-AK287</f>
        <v>0</v>
      </c>
      <c r="AM287" s="63"/>
      <c r="AN287" s="35" t="str">
        <f>+LEFT(AM287,2)</f>
        <v/>
      </c>
      <c r="AO287" s="35" t="str">
        <f>+MID(AM287,4,2)</f>
        <v/>
      </c>
      <c r="AP287" s="35" t="str">
        <f>+RIGHT(AM287,2)</f>
        <v/>
      </c>
      <c r="AQ287" s="35" t="str">
        <f>+CONCATENATE(AN287,AO287,AP287)</f>
        <v/>
      </c>
      <c r="AR287" s="41">
        <f>AM287+_xlfn.XLOOKUP(C287,Hoja1!A:A,Hoja1!B:B)</f>
        <v>0</v>
      </c>
      <c r="AS287" s="42">
        <f>+DAY(AR287)</f>
        <v>0</v>
      </c>
      <c r="AT287" s="35">
        <f>+MONTH(AR287)</f>
        <v>1</v>
      </c>
      <c r="AU287" s="35">
        <f>+YEAR(AR287)</f>
        <v>1900</v>
      </c>
      <c r="AV287" s="35" t="str">
        <f>+CONCATENATE(TEXT(AS287,"00"),TEXT(AT287,"00"),RIGHT(AU287,2))</f>
        <v>000100</v>
      </c>
    </row>
    <row r="288" spans="1:48" s="31" customFormat="1" ht="10.15" hidden="1" customHeight="1" x14ac:dyDescent="0.25">
      <c r="A288" s="27"/>
      <c r="B288" s="27"/>
      <c r="C288" s="1"/>
      <c r="D288" s="1"/>
      <c r="E288" s="1"/>
      <c r="F288" s="1"/>
      <c r="G288" s="1"/>
      <c r="H288" s="28"/>
      <c r="I288" s="28"/>
      <c r="J288" s="1"/>
      <c r="K288" s="29"/>
      <c r="L288" s="28"/>
      <c r="M288" s="1"/>
      <c r="N288" s="1"/>
      <c r="O288" s="1"/>
      <c r="P288" s="1"/>
      <c r="Q288" s="1"/>
      <c r="R288" s="1"/>
      <c r="S288" s="28"/>
      <c r="T288" s="1"/>
      <c r="U288" s="1"/>
      <c r="V288" s="1"/>
      <c r="W288" s="28"/>
      <c r="X288" s="28"/>
      <c r="Y288" s="1"/>
      <c r="Z288" s="30"/>
      <c r="AA288" s="6"/>
      <c r="AB288" s="28"/>
      <c r="AC288" s="28"/>
      <c r="AD288" s="28"/>
      <c r="AE288" s="7"/>
      <c r="AF288" s="28"/>
      <c r="AG288" s="28"/>
      <c r="AH288" s="28"/>
      <c r="AI288" s="28"/>
      <c r="AJ288" s="28"/>
      <c r="AK288" s="28"/>
      <c r="AL288" s="28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s="31" customFormat="1" ht="10.15" hidden="1" customHeight="1" x14ac:dyDescent="0.25">
      <c r="A289" s="27"/>
      <c r="B289" s="27"/>
      <c r="C289" s="1"/>
      <c r="D289" s="1"/>
      <c r="E289" s="1"/>
      <c r="F289" s="1"/>
      <c r="G289" s="1"/>
      <c r="H289" s="28"/>
      <c r="I289" s="28"/>
      <c r="J289" s="1"/>
      <c r="K289" s="29"/>
      <c r="L289" s="28"/>
      <c r="M289" s="1"/>
      <c r="N289" s="1"/>
      <c r="O289" s="1"/>
      <c r="P289" s="1"/>
      <c r="Q289" s="1"/>
      <c r="R289" s="1"/>
      <c r="S289" s="28"/>
      <c r="T289" s="1"/>
      <c r="U289" s="1"/>
      <c r="V289" s="1"/>
      <c r="W289" s="28"/>
      <c r="X289" s="28"/>
      <c r="Y289" s="1"/>
      <c r="Z289" s="30"/>
      <c r="AA289" s="6"/>
      <c r="AB289" s="28"/>
      <c r="AC289" s="28"/>
      <c r="AD289" s="28"/>
      <c r="AE289" s="7"/>
      <c r="AF289" s="28"/>
      <c r="AG289" s="28"/>
      <c r="AH289" s="28"/>
      <c r="AI289" s="28"/>
      <c r="AJ289" s="28"/>
      <c r="AK289" s="28"/>
      <c r="AL289" s="28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s="31" customFormat="1" ht="10.15" hidden="1" customHeight="1" x14ac:dyDescent="0.25">
      <c r="A290" s="27"/>
      <c r="B290" s="27"/>
      <c r="C290" s="1"/>
      <c r="D290" s="1"/>
      <c r="E290" s="1"/>
      <c r="F290" s="1"/>
      <c r="G290" s="1"/>
      <c r="H290" s="28"/>
      <c r="I290" s="28"/>
      <c r="J290" s="1"/>
      <c r="K290" s="29"/>
      <c r="L290" s="28"/>
      <c r="M290" s="1"/>
      <c r="N290" s="1"/>
      <c r="O290" s="1"/>
      <c r="P290" s="1"/>
      <c r="Q290" s="1"/>
      <c r="R290" s="1"/>
      <c r="S290" s="28"/>
      <c r="T290" s="1"/>
      <c r="U290" s="1"/>
      <c r="V290" s="1"/>
      <c r="W290" s="28"/>
      <c r="X290" s="28"/>
      <c r="Y290" s="1"/>
      <c r="Z290" s="30"/>
      <c r="AA290" s="6"/>
      <c r="AB290" s="28"/>
      <c r="AC290" s="28"/>
      <c r="AD290" s="28"/>
      <c r="AE290" s="7"/>
      <c r="AF290" s="28"/>
      <c r="AG290" s="28"/>
      <c r="AH290" s="28"/>
      <c r="AI290" s="28"/>
      <c r="AJ290" s="28"/>
      <c r="AK290" s="28"/>
      <c r="AL290" s="28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ht="10.15" customHeight="1" x14ac:dyDescent="0.25">
      <c r="A291" s="44">
        <f>1+A287</f>
        <v>73</v>
      </c>
      <c r="B291" s="50"/>
      <c r="C291" s="57"/>
      <c r="D291" s="57"/>
      <c r="E291" s="34" t="str">
        <f>+AQ291</f>
        <v/>
      </c>
      <c r="F291" s="60"/>
      <c r="G291" s="34" t="str">
        <f>+AV291</f>
        <v>000100</v>
      </c>
      <c r="H291" s="35">
        <f>+AK291</f>
        <v>0</v>
      </c>
      <c r="I291" s="35">
        <f>+ROUND(AD291,2)</f>
        <v>0</v>
      </c>
      <c r="J291" s="57"/>
      <c r="K291" s="36">
        <f>+AE291</f>
        <v>0</v>
      </c>
      <c r="L291" s="35">
        <f>+AJ291</f>
        <v>0</v>
      </c>
      <c r="M291" s="37" t="s">
        <v>37</v>
      </c>
      <c r="N291" s="68"/>
      <c r="O291" s="57"/>
      <c r="P291" s="38" t="e">
        <f>+VLOOKUP(C291,Hoja1!$A$4:$C$57,3,FALSE)</f>
        <v>#N/A</v>
      </c>
      <c r="Q291" s="37" t="s">
        <v>38</v>
      </c>
      <c r="R291" s="68"/>
      <c r="S291" s="35" t="str">
        <f>(RIGHT(O291,7))</f>
        <v/>
      </c>
      <c r="T291" s="68"/>
      <c r="U291" s="37" t="s">
        <v>39</v>
      </c>
      <c r="V291" s="37" t="s">
        <v>40</v>
      </c>
      <c r="W291" s="35">
        <f>+AI291</f>
        <v>0</v>
      </c>
      <c r="X291" s="35">
        <f>+AJ291</f>
        <v>0</v>
      </c>
      <c r="Y291" s="33" t="s">
        <v>41</v>
      </c>
      <c r="Z291" s="39">
        <f>+F291</f>
        <v>0</v>
      </c>
      <c r="AA291" s="40"/>
      <c r="AB291" s="65"/>
      <c r="AC291" s="35">
        <v>0</v>
      </c>
      <c r="AD291" s="35">
        <f t="shared" ref="AD291" si="288">+AB291+AC291</f>
        <v>0</v>
      </c>
      <c r="AE291" s="67"/>
      <c r="AF291" s="35">
        <f>+AB291*AE291</f>
        <v>0</v>
      </c>
      <c r="AG291" s="35">
        <f>+AC291*AE291</f>
        <v>0</v>
      </c>
      <c r="AH291" s="35">
        <f>+AD291*AE291</f>
        <v>0</v>
      </c>
      <c r="AI291" s="35">
        <f t="shared" ref="AI291" si="289">+ROUND(AF291,2)</f>
        <v>0</v>
      </c>
      <c r="AJ291" s="35">
        <f t="shared" ref="AJ291" si="290">+ROUND(AG291,2)</f>
        <v>0</v>
      </c>
      <c r="AK291" s="35">
        <f t="shared" ref="AK291" si="291">+ROUND(AH291,2)</f>
        <v>0</v>
      </c>
      <c r="AL291" s="35">
        <f>+AI291+AJ291-AK291</f>
        <v>0</v>
      </c>
      <c r="AM291" s="63"/>
      <c r="AN291" s="35" t="str">
        <f>+LEFT(AM291,2)</f>
        <v/>
      </c>
      <c r="AO291" s="35" t="str">
        <f>+MID(AM291,4,2)</f>
        <v/>
      </c>
      <c r="AP291" s="35" t="str">
        <f>+RIGHT(AM291,2)</f>
        <v/>
      </c>
      <c r="AQ291" s="35" t="str">
        <f>+CONCATENATE(AN291,AO291,AP291)</f>
        <v/>
      </c>
      <c r="AR291" s="41">
        <f>AM291+_xlfn.XLOOKUP(C291,Hoja1!A:A,Hoja1!B:B)</f>
        <v>0</v>
      </c>
      <c r="AS291" s="42">
        <f>+DAY(AR291)</f>
        <v>0</v>
      </c>
      <c r="AT291" s="35">
        <f>+MONTH(AR291)</f>
        <v>1</v>
      </c>
      <c r="AU291" s="35">
        <f>+YEAR(AR291)</f>
        <v>1900</v>
      </c>
      <c r="AV291" s="35" t="str">
        <f>+CONCATENATE(TEXT(AS291,"00"),TEXT(AT291,"00"),RIGHT(AU291,2))</f>
        <v>000100</v>
      </c>
    </row>
    <row r="292" spans="1:48" s="31" customFormat="1" ht="10.15" hidden="1" customHeight="1" x14ac:dyDescent="0.25">
      <c r="A292" s="27"/>
      <c r="B292" s="27"/>
      <c r="C292" s="1"/>
      <c r="D292" s="1"/>
      <c r="E292" s="1"/>
      <c r="F292" s="1"/>
      <c r="G292" s="1"/>
      <c r="H292" s="28"/>
      <c r="I292" s="28"/>
      <c r="J292" s="1"/>
      <c r="K292" s="29"/>
      <c r="L292" s="28"/>
      <c r="M292" s="1"/>
      <c r="N292" s="1"/>
      <c r="O292" s="1"/>
      <c r="P292" s="1"/>
      <c r="Q292" s="1"/>
      <c r="R292" s="1"/>
      <c r="S292" s="28"/>
      <c r="T292" s="1"/>
      <c r="U292" s="1"/>
      <c r="V292" s="1"/>
      <c r="W292" s="28"/>
      <c r="X292" s="28"/>
      <c r="Y292" s="1"/>
      <c r="Z292" s="30"/>
      <c r="AA292" s="6"/>
      <c r="AB292" s="28"/>
      <c r="AC292" s="28"/>
      <c r="AD292" s="28"/>
      <c r="AE292" s="7"/>
      <c r="AF292" s="28"/>
      <c r="AG292" s="28"/>
      <c r="AH292" s="28"/>
      <c r="AI292" s="28"/>
      <c r="AJ292" s="28"/>
      <c r="AK292" s="28"/>
      <c r="AL292" s="28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s="31" customFormat="1" ht="10.15" hidden="1" customHeight="1" x14ac:dyDescent="0.25">
      <c r="A293" s="27"/>
      <c r="B293" s="27"/>
      <c r="C293" s="1"/>
      <c r="D293" s="1"/>
      <c r="E293" s="1"/>
      <c r="F293" s="1"/>
      <c r="G293" s="1"/>
      <c r="H293" s="28"/>
      <c r="I293" s="28"/>
      <c r="J293" s="1"/>
      <c r="K293" s="29"/>
      <c r="L293" s="28"/>
      <c r="M293" s="1"/>
      <c r="N293" s="1"/>
      <c r="O293" s="1"/>
      <c r="P293" s="1"/>
      <c r="Q293" s="1"/>
      <c r="R293" s="1"/>
      <c r="S293" s="28"/>
      <c r="T293" s="1"/>
      <c r="U293" s="1"/>
      <c r="V293" s="1"/>
      <c r="W293" s="28"/>
      <c r="X293" s="28"/>
      <c r="Y293" s="1"/>
      <c r="Z293" s="30"/>
      <c r="AA293" s="6"/>
      <c r="AB293" s="28"/>
      <c r="AC293" s="28"/>
      <c r="AD293" s="28"/>
      <c r="AE293" s="7"/>
      <c r="AF293" s="28"/>
      <c r="AG293" s="28"/>
      <c r="AH293" s="28"/>
      <c r="AI293" s="28"/>
      <c r="AJ293" s="28"/>
      <c r="AK293" s="28"/>
      <c r="AL293" s="28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s="31" customFormat="1" ht="10.15" hidden="1" customHeight="1" x14ac:dyDescent="0.25">
      <c r="A294" s="27"/>
      <c r="B294" s="27"/>
      <c r="C294" s="1"/>
      <c r="D294" s="1"/>
      <c r="E294" s="1"/>
      <c r="F294" s="1"/>
      <c r="G294" s="1"/>
      <c r="H294" s="28"/>
      <c r="I294" s="28"/>
      <c r="J294" s="1"/>
      <c r="K294" s="29"/>
      <c r="L294" s="28"/>
      <c r="M294" s="1"/>
      <c r="N294" s="1"/>
      <c r="O294" s="1"/>
      <c r="P294" s="1"/>
      <c r="Q294" s="1"/>
      <c r="R294" s="1"/>
      <c r="S294" s="28"/>
      <c r="T294" s="1"/>
      <c r="U294" s="1"/>
      <c r="V294" s="1"/>
      <c r="W294" s="28"/>
      <c r="X294" s="28"/>
      <c r="Y294" s="1"/>
      <c r="Z294" s="30"/>
      <c r="AA294" s="6"/>
      <c r="AB294" s="28"/>
      <c r="AC294" s="28"/>
      <c r="AD294" s="28"/>
      <c r="AE294" s="7"/>
      <c r="AF294" s="28"/>
      <c r="AG294" s="28"/>
      <c r="AH294" s="28"/>
      <c r="AI294" s="28"/>
      <c r="AJ294" s="28"/>
      <c r="AK294" s="28"/>
      <c r="AL294" s="28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ht="10.15" customHeight="1" x14ac:dyDescent="0.25">
      <c r="A295" s="44">
        <f>1+A291</f>
        <v>74</v>
      </c>
      <c r="B295" s="38"/>
      <c r="C295" s="57"/>
      <c r="D295" s="57"/>
      <c r="E295" s="34" t="str">
        <f>+AQ295</f>
        <v/>
      </c>
      <c r="F295" s="60"/>
      <c r="G295" s="34" t="str">
        <f>+AV295</f>
        <v>000100</v>
      </c>
      <c r="H295" s="35">
        <f>+AK295</f>
        <v>0</v>
      </c>
      <c r="I295" s="35">
        <f>+ROUND(AD295,2)</f>
        <v>0</v>
      </c>
      <c r="J295" s="57"/>
      <c r="K295" s="36">
        <f>+AE295</f>
        <v>0</v>
      </c>
      <c r="L295" s="35">
        <f>+AJ295</f>
        <v>0</v>
      </c>
      <c r="M295" s="37" t="s">
        <v>37</v>
      </c>
      <c r="N295" s="68"/>
      <c r="O295" s="57"/>
      <c r="P295" s="38" t="e">
        <f>+VLOOKUP(C295,Hoja1!$A$4:$C$57,3,FALSE)</f>
        <v>#N/A</v>
      </c>
      <c r="Q295" s="37" t="s">
        <v>38</v>
      </c>
      <c r="R295" s="68"/>
      <c r="S295" s="35" t="str">
        <f>(RIGHT(O295,7))</f>
        <v/>
      </c>
      <c r="T295" s="68"/>
      <c r="U295" s="37" t="s">
        <v>39</v>
      </c>
      <c r="V295" s="37" t="s">
        <v>40</v>
      </c>
      <c r="W295" s="35">
        <f>+AI295</f>
        <v>0</v>
      </c>
      <c r="X295" s="35">
        <f>+AJ295</f>
        <v>0</v>
      </c>
      <c r="Y295" s="33" t="s">
        <v>41</v>
      </c>
      <c r="Z295" s="39">
        <f>+F295</f>
        <v>0</v>
      </c>
      <c r="AA295" s="40"/>
      <c r="AB295" s="65"/>
      <c r="AC295" s="35">
        <v>0</v>
      </c>
      <c r="AD295" s="35">
        <f t="shared" ref="AD295" si="292">+AB295+AC295</f>
        <v>0</v>
      </c>
      <c r="AE295" s="67"/>
      <c r="AF295" s="35">
        <f>+AB295*AE295</f>
        <v>0</v>
      </c>
      <c r="AG295" s="35">
        <f>+AC295*AE295</f>
        <v>0</v>
      </c>
      <c r="AH295" s="35">
        <f>+AD295*AE295</f>
        <v>0</v>
      </c>
      <c r="AI295" s="35">
        <f t="shared" ref="AI295" si="293">+ROUND(AF295,2)</f>
        <v>0</v>
      </c>
      <c r="AJ295" s="35">
        <f t="shared" ref="AJ295" si="294">+ROUND(AG295,2)</f>
        <v>0</v>
      </c>
      <c r="AK295" s="35">
        <f t="shared" ref="AK295" si="295">+ROUND(AH295,2)</f>
        <v>0</v>
      </c>
      <c r="AL295" s="35">
        <f>+AI295+AJ295-AK295</f>
        <v>0</v>
      </c>
      <c r="AM295" s="62"/>
      <c r="AN295" s="35" t="str">
        <f>+LEFT(AM295,2)</f>
        <v/>
      </c>
      <c r="AO295" s="35" t="str">
        <f>+MID(AM295,4,2)</f>
        <v/>
      </c>
      <c r="AP295" s="35" t="str">
        <f>+RIGHT(AM295,2)</f>
        <v/>
      </c>
      <c r="AQ295" s="35" t="str">
        <f>+CONCATENATE(AN295,AO295,AP295)</f>
        <v/>
      </c>
      <c r="AR295" s="41">
        <f>AM295+_xlfn.XLOOKUP(C295,Hoja1!A:A,Hoja1!B:B)</f>
        <v>0</v>
      </c>
      <c r="AS295" s="42">
        <f>+DAY(AR295)</f>
        <v>0</v>
      </c>
      <c r="AT295" s="35">
        <f>+MONTH(AR295)</f>
        <v>1</v>
      </c>
      <c r="AU295" s="35">
        <f>+YEAR(AR295)</f>
        <v>1900</v>
      </c>
      <c r="AV295" s="35" t="str">
        <f>+CONCATENATE(TEXT(AS295,"00"),TEXT(AT295,"00"),RIGHT(AU295,2))</f>
        <v>000100</v>
      </c>
    </row>
    <row r="296" spans="1:48" s="31" customFormat="1" ht="10.15" hidden="1" customHeight="1" x14ac:dyDescent="0.25">
      <c r="A296" s="27"/>
      <c r="B296" s="27"/>
      <c r="C296" s="1"/>
      <c r="D296" s="1"/>
      <c r="E296" s="1"/>
      <c r="F296" s="1"/>
      <c r="G296" s="1"/>
      <c r="H296" s="28"/>
      <c r="I296" s="28"/>
      <c r="J296" s="1"/>
      <c r="K296" s="29"/>
      <c r="L296" s="28"/>
      <c r="M296" s="1"/>
      <c r="N296" s="1"/>
      <c r="O296" s="1"/>
      <c r="P296" s="1"/>
      <c r="Q296" s="1"/>
      <c r="R296" s="1"/>
      <c r="S296" s="28"/>
      <c r="T296" s="1"/>
      <c r="U296" s="1"/>
      <c r="V296" s="1"/>
      <c r="W296" s="28"/>
      <c r="X296" s="28"/>
      <c r="Y296" s="1"/>
      <c r="Z296" s="30"/>
      <c r="AA296" s="6"/>
      <c r="AB296" s="28"/>
      <c r="AC296" s="28"/>
      <c r="AD296" s="28"/>
      <c r="AE296" s="7"/>
      <c r="AF296" s="28"/>
      <c r="AG296" s="28"/>
      <c r="AH296" s="28"/>
      <c r="AI296" s="28"/>
      <c r="AJ296" s="28"/>
      <c r="AK296" s="28"/>
      <c r="AL296" s="28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s="31" customFormat="1" ht="10.15" hidden="1" customHeight="1" x14ac:dyDescent="0.25">
      <c r="A297" s="27"/>
      <c r="B297" s="27"/>
      <c r="C297" s="1"/>
      <c r="D297" s="1"/>
      <c r="E297" s="1"/>
      <c r="F297" s="1"/>
      <c r="G297" s="1"/>
      <c r="H297" s="28"/>
      <c r="I297" s="28"/>
      <c r="J297" s="1"/>
      <c r="K297" s="29"/>
      <c r="L297" s="28"/>
      <c r="M297" s="1"/>
      <c r="N297" s="1"/>
      <c r="O297" s="1"/>
      <c r="P297" s="1"/>
      <c r="Q297" s="1"/>
      <c r="R297" s="1"/>
      <c r="S297" s="28"/>
      <c r="T297" s="1"/>
      <c r="U297" s="1"/>
      <c r="V297" s="1"/>
      <c r="W297" s="28"/>
      <c r="X297" s="28"/>
      <c r="Y297" s="1"/>
      <c r="Z297" s="30"/>
      <c r="AA297" s="6"/>
      <c r="AB297" s="28"/>
      <c r="AC297" s="28"/>
      <c r="AD297" s="28"/>
      <c r="AE297" s="7"/>
      <c r="AF297" s="28"/>
      <c r="AG297" s="28"/>
      <c r="AH297" s="28"/>
      <c r="AI297" s="28"/>
      <c r="AJ297" s="28"/>
      <c r="AK297" s="28"/>
      <c r="AL297" s="28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s="31" customFormat="1" ht="10.15" hidden="1" customHeight="1" x14ac:dyDescent="0.25">
      <c r="A298" s="27"/>
      <c r="B298" s="27"/>
      <c r="C298" s="1"/>
      <c r="D298" s="1"/>
      <c r="E298" s="1"/>
      <c r="F298" s="1"/>
      <c r="G298" s="1"/>
      <c r="H298" s="28"/>
      <c r="I298" s="28"/>
      <c r="J298" s="1"/>
      <c r="K298" s="29"/>
      <c r="L298" s="28"/>
      <c r="M298" s="1"/>
      <c r="N298" s="1"/>
      <c r="O298" s="1"/>
      <c r="P298" s="1"/>
      <c r="Q298" s="1"/>
      <c r="R298" s="1"/>
      <c r="S298" s="28"/>
      <c r="T298" s="1"/>
      <c r="U298" s="1"/>
      <c r="V298" s="1"/>
      <c r="W298" s="28"/>
      <c r="X298" s="28"/>
      <c r="Y298" s="1"/>
      <c r="Z298" s="30"/>
      <c r="AA298" s="6"/>
      <c r="AB298" s="28"/>
      <c r="AC298" s="28"/>
      <c r="AD298" s="28"/>
      <c r="AE298" s="7"/>
      <c r="AF298" s="28"/>
      <c r="AG298" s="28"/>
      <c r="AH298" s="28"/>
      <c r="AI298" s="28"/>
      <c r="AJ298" s="28"/>
      <c r="AK298" s="28"/>
      <c r="AL298" s="28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ht="10.15" customHeight="1" x14ac:dyDescent="0.25">
      <c r="A299" s="44">
        <f>1+A295</f>
        <v>75</v>
      </c>
      <c r="B299" s="38"/>
      <c r="C299" s="57"/>
      <c r="D299" s="57"/>
      <c r="E299" s="34" t="str">
        <f>+AQ299</f>
        <v/>
      </c>
      <c r="F299" s="60"/>
      <c r="G299" s="34" t="str">
        <f>+AV299</f>
        <v>000100</v>
      </c>
      <c r="H299" s="35">
        <f>+AK299</f>
        <v>0</v>
      </c>
      <c r="I299" s="35">
        <f>+ROUND(AD299,2)</f>
        <v>0</v>
      </c>
      <c r="J299" s="57"/>
      <c r="K299" s="36">
        <f>+AE299</f>
        <v>0</v>
      </c>
      <c r="L299" s="35">
        <f>+AJ299</f>
        <v>0</v>
      </c>
      <c r="M299" s="37" t="s">
        <v>37</v>
      </c>
      <c r="N299" s="68"/>
      <c r="O299" s="57"/>
      <c r="P299" s="38" t="e">
        <f>+VLOOKUP(C299,Hoja1!$A$4:$C$57,3,FALSE)</f>
        <v>#N/A</v>
      </c>
      <c r="Q299" s="37" t="s">
        <v>38</v>
      </c>
      <c r="R299" s="68"/>
      <c r="S299" s="35" t="str">
        <f>(RIGHT(O299,7))</f>
        <v/>
      </c>
      <c r="T299" s="68"/>
      <c r="U299" s="37" t="s">
        <v>39</v>
      </c>
      <c r="V299" s="37" t="s">
        <v>40</v>
      </c>
      <c r="W299" s="35">
        <f>+AI299</f>
        <v>0</v>
      </c>
      <c r="X299" s="35">
        <f>+AJ299</f>
        <v>0</v>
      </c>
      <c r="Y299" s="33" t="s">
        <v>41</v>
      </c>
      <c r="Z299" s="39">
        <f>+F299</f>
        <v>0</v>
      </c>
      <c r="AA299" s="40"/>
      <c r="AB299" s="65"/>
      <c r="AC299" s="35">
        <v>0</v>
      </c>
      <c r="AD299" s="35">
        <f t="shared" ref="AD299" si="296">+AB299+AC299</f>
        <v>0</v>
      </c>
      <c r="AE299" s="67"/>
      <c r="AF299" s="35">
        <f>+AB299*AE299</f>
        <v>0</v>
      </c>
      <c r="AG299" s="35">
        <f>+AC299*AE299</f>
        <v>0</v>
      </c>
      <c r="AH299" s="35">
        <f>+AD299*AE299</f>
        <v>0</v>
      </c>
      <c r="AI299" s="35">
        <f t="shared" ref="AI299" si="297">+ROUND(AF299,2)</f>
        <v>0</v>
      </c>
      <c r="AJ299" s="35">
        <f t="shared" ref="AJ299" si="298">+ROUND(AG299,2)</f>
        <v>0</v>
      </c>
      <c r="AK299" s="35">
        <f t="shared" ref="AK299" si="299">+ROUND(AH299,2)</f>
        <v>0</v>
      </c>
      <c r="AL299" s="35">
        <f>+AI299+AJ299-AK299</f>
        <v>0</v>
      </c>
      <c r="AM299" s="63"/>
      <c r="AN299" s="35" t="str">
        <f>+LEFT(AM299,2)</f>
        <v/>
      </c>
      <c r="AO299" s="35" t="str">
        <f>+MID(AM299,4,2)</f>
        <v/>
      </c>
      <c r="AP299" s="35" t="str">
        <f>+RIGHT(AM299,2)</f>
        <v/>
      </c>
      <c r="AQ299" s="35" t="str">
        <f>+CONCATENATE(AN299,AO299,AP299)</f>
        <v/>
      </c>
      <c r="AR299" s="41">
        <f>AM299+_xlfn.XLOOKUP(C299,Hoja1!A:A,Hoja1!B:B)</f>
        <v>0</v>
      </c>
      <c r="AS299" s="42">
        <f>+DAY(AR299)</f>
        <v>0</v>
      </c>
      <c r="AT299" s="35">
        <f>+MONTH(AR299)</f>
        <v>1</v>
      </c>
      <c r="AU299" s="35">
        <f>+YEAR(AR299)</f>
        <v>1900</v>
      </c>
      <c r="AV299" s="35" t="str">
        <f>+CONCATENATE(TEXT(AS299,"00"),TEXT(AT299,"00"),RIGHT(AU299,2))</f>
        <v>000100</v>
      </c>
    </row>
    <row r="300" spans="1:48" s="31" customFormat="1" ht="10.15" hidden="1" customHeight="1" x14ac:dyDescent="0.25">
      <c r="A300" s="27"/>
      <c r="B300" s="27"/>
      <c r="C300" s="1"/>
      <c r="D300" s="1"/>
      <c r="E300" s="1"/>
      <c r="F300" s="1"/>
      <c r="G300" s="1"/>
      <c r="H300" s="28"/>
      <c r="I300" s="28"/>
      <c r="J300" s="1"/>
      <c r="K300" s="29"/>
      <c r="L300" s="28"/>
      <c r="M300" s="1"/>
      <c r="N300" s="1"/>
      <c r="O300" s="1"/>
      <c r="P300" s="1"/>
      <c r="Q300" s="1"/>
      <c r="R300" s="1"/>
      <c r="S300" s="28"/>
      <c r="T300" s="1"/>
      <c r="U300" s="1"/>
      <c r="V300" s="1"/>
      <c r="W300" s="28"/>
      <c r="X300" s="28"/>
      <c r="Y300" s="1"/>
      <c r="Z300" s="30"/>
      <c r="AA300" s="6"/>
      <c r="AB300" s="28"/>
      <c r="AC300" s="28"/>
      <c r="AD300" s="28"/>
      <c r="AE300" s="7"/>
      <c r="AF300" s="28"/>
      <c r="AG300" s="28"/>
      <c r="AH300" s="28"/>
      <c r="AI300" s="28"/>
      <c r="AJ300" s="28"/>
      <c r="AK300" s="28"/>
      <c r="AL300" s="28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s="31" customFormat="1" ht="10.15" hidden="1" customHeight="1" x14ac:dyDescent="0.25">
      <c r="A301" s="27"/>
      <c r="B301" s="27"/>
      <c r="C301" s="1"/>
      <c r="D301" s="1"/>
      <c r="E301" s="1"/>
      <c r="F301" s="1"/>
      <c r="G301" s="1"/>
      <c r="H301" s="28"/>
      <c r="I301" s="28"/>
      <c r="J301" s="1"/>
      <c r="K301" s="29"/>
      <c r="L301" s="28"/>
      <c r="M301" s="1"/>
      <c r="N301" s="1"/>
      <c r="O301" s="1"/>
      <c r="P301" s="1"/>
      <c r="Q301" s="1"/>
      <c r="R301" s="1"/>
      <c r="S301" s="28"/>
      <c r="T301" s="1"/>
      <c r="U301" s="1"/>
      <c r="V301" s="1"/>
      <c r="W301" s="28"/>
      <c r="X301" s="28"/>
      <c r="Y301" s="1"/>
      <c r="Z301" s="30"/>
      <c r="AA301" s="6"/>
      <c r="AB301" s="28"/>
      <c r="AC301" s="28"/>
      <c r="AD301" s="28"/>
      <c r="AE301" s="7"/>
      <c r="AF301" s="28"/>
      <c r="AG301" s="28"/>
      <c r="AH301" s="28"/>
      <c r="AI301" s="28"/>
      <c r="AJ301" s="28"/>
      <c r="AK301" s="28"/>
      <c r="AL301" s="28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s="31" customFormat="1" ht="10.15" hidden="1" customHeight="1" x14ac:dyDescent="0.25">
      <c r="A302" s="27"/>
      <c r="B302" s="27"/>
      <c r="C302" s="1"/>
      <c r="D302" s="1"/>
      <c r="E302" s="1"/>
      <c r="F302" s="1"/>
      <c r="G302" s="1"/>
      <c r="H302" s="28"/>
      <c r="I302" s="28"/>
      <c r="J302" s="1"/>
      <c r="K302" s="29"/>
      <c r="L302" s="28"/>
      <c r="M302" s="1"/>
      <c r="N302" s="1"/>
      <c r="O302" s="1"/>
      <c r="P302" s="1"/>
      <c r="Q302" s="1"/>
      <c r="R302" s="1"/>
      <c r="S302" s="28"/>
      <c r="T302" s="1"/>
      <c r="U302" s="1"/>
      <c r="V302" s="1"/>
      <c r="W302" s="28"/>
      <c r="X302" s="28"/>
      <c r="Y302" s="1"/>
      <c r="Z302" s="30"/>
      <c r="AA302" s="6"/>
      <c r="AB302" s="28"/>
      <c r="AC302" s="28"/>
      <c r="AD302" s="28"/>
      <c r="AE302" s="7"/>
      <c r="AF302" s="28"/>
      <c r="AG302" s="28"/>
      <c r="AH302" s="28"/>
      <c r="AI302" s="28"/>
      <c r="AJ302" s="28"/>
      <c r="AK302" s="28"/>
      <c r="AL302" s="28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ht="10.15" customHeight="1" x14ac:dyDescent="0.25">
      <c r="A303" s="44">
        <f>1+A299</f>
        <v>76</v>
      </c>
      <c r="B303" s="50"/>
      <c r="C303" s="57"/>
      <c r="D303" s="57"/>
      <c r="E303" s="34" t="str">
        <f>+AQ303</f>
        <v/>
      </c>
      <c r="F303" s="60"/>
      <c r="G303" s="34" t="str">
        <f>+AV303</f>
        <v>000100</v>
      </c>
      <c r="H303" s="35">
        <f>+AK303</f>
        <v>0</v>
      </c>
      <c r="I303" s="35">
        <f>+ROUND(AD303,2)</f>
        <v>0</v>
      </c>
      <c r="J303" s="57"/>
      <c r="K303" s="36">
        <f>+AE303</f>
        <v>0</v>
      </c>
      <c r="L303" s="35">
        <f>+AJ303</f>
        <v>0</v>
      </c>
      <c r="M303" s="37" t="s">
        <v>37</v>
      </c>
      <c r="N303" s="68"/>
      <c r="O303" s="57"/>
      <c r="P303" s="38" t="e">
        <f>+VLOOKUP(C303,Hoja1!$A$4:$C$57,3,FALSE)</f>
        <v>#N/A</v>
      </c>
      <c r="Q303" s="37" t="s">
        <v>38</v>
      </c>
      <c r="R303" s="68"/>
      <c r="S303" s="35" t="str">
        <f>(RIGHT(O303,7))</f>
        <v/>
      </c>
      <c r="T303" s="68"/>
      <c r="U303" s="37" t="s">
        <v>39</v>
      </c>
      <c r="V303" s="37" t="s">
        <v>40</v>
      </c>
      <c r="W303" s="35">
        <f>+AI303</f>
        <v>0</v>
      </c>
      <c r="X303" s="35">
        <f>+AJ303</f>
        <v>0</v>
      </c>
      <c r="Y303" s="33" t="s">
        <v>41</v>
      </c>
      <c r="Z303" s="39">
        <f>+F303</f>
        <v>0</v>
      </c>
      <c r="AA303" s="40"/>
      <c r="AB303" s="65"/>
      <c r="AC303" s="35">
        <v>0</v>
      </c>
      <c r="AD303" s="35">
        <f t="shared" ref="AD303" si="300">+AB303+AC303</f>
        <v>0</v>
      </c>
      <c r="AE303" s="67"/>
      <c r="AF303" s="35">
        <f>+AB303*AE303</f>
        <v>0</v>
      </c>
      <c r="AG303" s="35">
        <f>+AC303*AE303</f>
        <v>0</v>
      </c>
      <c r="AH303" s="35">
        <f>+AD303*AE303</f>
        <v>0</v>
      </c>
      <c r="AI303" s="35">
        <f t="shared" ref="AI303" si="301">+ROUND(AF303,2)</f>
        <v>0</v>
      </c>
      <c r="AJ303" s="35">
        <f t="shared" ref="AJ303" si="302">+ROUND(AG303,2)</f>
        <v>0</v>
      </c>
      <c r="AK303" s="35">
        <f t="shared" ref="AK303" si="303">+ROUND(AH303,2)</f>
        <v>0</v>
      </c>
      <c r="AL303" s="35">
        <f>+AI303+AJ303-AK303</f>
        <v>0</v>
      </c>
      <c r="AM303" s="63"/>
      <c r="AN303" s="35" t="str">
        <f>+LEFT(AM303,2)</f>
        <v/>
      </c>
      <c r="AO303" s="35" t="str">
        <f>+MID(AM303,4,2)</f>
        <v/>
      </c>
      <c r="AP303" s="35" t="str">
        <f>+RIGHT(AM303,2)</f>
        <v/>
      </c>
      <c r="AQ303" s="35" t="str">
        <f>+CONCATENATE(AN303,AO303,AP303)</f>
        <v/>
      </c>
      <c r="AR303" s="41">
        <f>AM303+_xlfn.XLOOKUP(C303,Hoja1!A:A,Hoja1!B:B)</f>
        <v>0</v>
      </c>
      <c r="AS303" s="42">
        <f>+DAY(AR303)</f>
        <v>0</v>
      </c>
      <c r="AT303" s="35">
        <f>+MONTH(AR303)</f>
        <v>1</v>
      </c>
      <c r="AU303" s="35">
        <f>+YEAR(AR303)</f>
        <v>1900</v>
      </c>
      <c r="AV303" s="35" t="str">
        <f>+CONCATENATE(TEXT(AS303,"00"),TEXT(AT303,"00"),RIGHT(AU303,2))</f>
        <v>000100</v>
      </c>
    </row>
    <row r="304" spans="1:48" s="31" customFormat="1" ht="10.15" hidden="1" customHeight="1" x14ac:dyDescent="0.25">
      <c r="A304" s="27"/>
      <c r="B304" s="27"/>
      <c r="C304" s="1"/>
      <c r="D304" s="1"/>
      <c r="E304" s="1"/>
      <c r="F304" s="1"/>
      <c r="G304" s="1"/>
      <c r="H304" s="28"/>
      <c r="I304" s="28"/>
      <c r="J304" s="1"/>
      <c r="K304" s="29"/>
      <c r="L304" s="28"/>
      <c r="M304" s="1"/>
      <c r="N304" s="1"/>
      <c r="O304" s="1"/>
      <c r="P304" s="1"/>
      <c r="Q304" s="1"/>
      <c r="R304" s="1"/>
      <c r="S304" s="28"/>
      <c r="T304" s="1"/>
      <c r="U304" s="1"/>
      <c r="V304" s="1"/>
      <c r="W304" s="28"/>
      <c r="X304" s="28"/>
      <c r="Y304" s="1"/>
      <c r="Z304" s="30"/>
      <c r="AA304" s="6"/>
      <c r="AB304" s="28"/>
      <c r="AC304" s="28"/>
      <c r="AD304" s="28"/>
      <c r="AE304" s="7"/>
      <c r="AF304" s="28"/>
      <c r="AG304" s="28"/>
      <c r="AH304" s="28"/>
      <c r="AI304" s="28"/>
      <c r="AJ304" s="28"/>
      <c r="AK304" s="28"/>
      <c r="AL304" s="28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s="31" customFormat="1" ht="10.15" hidden="1" customHeight="1" x14ac:dyDescent="0.25">
      <c r="A305" s="27"/>
      <c r="B305" s="27"/>
      <c r="C305" s="1"/>
      <c r="D305" s="1"/>
      <c r="E305" s="1"/>
      <c r="F305" s="1"/>
      <c r="G305" s="1"/>
      <c r="H305" s="28"/>
      <c r="I305" s="28"/>
      <c r="J305" s="1"/>
      <c r="K305" s="29"/>
      <c r="L305" s="28"/>
      <c r="M305" s="1"/>
      <c r="N305" s="1"/>
      <c r="O305" s="1"/>
      <c r="P305" s="1"/>
      <c r="Q305" s="1"/>
      <c r="R305" s="1"/>
      <c r="S305" s="28"/>
      <c r="T305" s="1"/>
      <c r="U305" s="1"/>
      <c r="V305" s="1"/>
      <c r="W305" s="28"/>
      <c r="X305" s="28"/>
      <c r="Y305" s="1"/>
      <c r="Z305" s="30"/>
      <c r="AA305" s="6"/>
      <c r="AB305" s="28"/>
      <c r="AC305" s="28"/>
      <c r="AD305" s="28"/>
      <c r="AE305" s="7"/>
      <c r="AF305" s="28"/>
      <c r="AG305" s="28"/>
      <c r="AH305" s="28"/>
      <c r="AI305" s="28"/>
      <c r="AJ305" s="28"/>
      <c r="AK305" s="28"/>
      <c r="AL305" s="28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s="31" customFormat="1" ht="10.15" hidden="1" customHeight="1" x14ac:dyDescent="0.25">
      <c r="A306" s="27"/>
      <c r="B306" s="27"/>
      <c r="C306" s="1"/>
      <c r="D306" s="1"/>
      <c r="E306" s="1"/>
      <c r="F306" s="1"/>
      <c r="G306" s="1"/>
      <c r="H306" s="28"/>
      <c r="I306" s="28"/>
      <c r="J306" s="1"/>
      <c r="K306" s="29"/>
      <c r="L306" s="28"/>
      <c r="M306" s="1"/>
      <c r="N306" s="1"/>
      <c r="O306" s="1"/>
      <c r="P306" s="1"/>
      <c r="Q306" s="1"/>
      <c r="R306" s="1"/>
      <c r="S306" s="28"/>
      <c r="T306" s="1"/>
      <c r="U306" s="1"/>
      <c r="V306" s="1"/>
      <c r="W306" s="28"/>
      <c r="X306" s="28"/>
      <c r="Y306" s="1"/>
      <c r="Z306" s="30"/>
      <c r="AA306" s="6"/>
      <c r="AB306" s="28"/>
      <c r="AC306" s="28"/>
      <c r="AD306" s="28"/>
      <c r="AE306" s="7"/>
      <c r="AF306" s="28"/>
      <c r="AG306" s="28"/>
      <c r="AH306" s="28"/>
      <c r="AI306" s="28"/>
      <c r="AJ306" s="28"/>
      <c r="AK306" s="28"/>
      <c r="AL306" s="28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ht="10.15" customHeight="1" x14ac:dyDescent="0.25">
      <c r="A307" s="44">
        <f>1+A303</f>
        <v>77</v>
      </c>
      <c r="B307" s="50"/>
      <c r="C307" s="57"/>
      <c r="D307" s="57"/>
      <c r="E307" s="34" t="str">
        <f>+AQ307</f>
        <v/>
      </c>
      <c r="F307" s="60"/>
      <c r="G307" s="34" t="str">
        <f>+AV307</f>
        <v>000100</v>
      </c>
      <c r="H307" s="35">
        <f>+AK307</f>
        <v>0</v>
      </c>
      <c r="I307" s="35">
        <f>+ROUND(AD307,2)</f>
        <v>0</v>
      </c>
      <c r="J307" s="57"/>
      <c r="K307" s="36">
        <f>+AE307</f>
        <v>0</v>
      </c>
      <c r="L307" s="35">
        <f>+AJ307</f>
        <v>0</v>
      </c>
      <c r="M307" s="37" t="s">
        <v>37</v>
      </c>
      <c r="N307" s="68"/>
      <c r="O307" s="57"/>
      <c r="P307" s="38" t="e">
        <f>+VLOOKUP(C307,Hoja1!$A$4:$C$57,3,FALSE)</f>
        <v>#N/A</v>
      </c>
      <c r="Q307" s="37" t="s">
        <v>38</v>
      </c>
      <c r="R307" s="68"/>
      <c r="S307" s="35" t="str">
        <f>(RIGHT(O307,7))</f>
        <v/>
      </c>
      <c r="T307" s="68"/>
      <c r="U307" s="37" t="s">
        <v>39</v>
      </c>
      <c r="V307" s="37" t="s">
        <v>40</v>
      </c>
      <c r="W307" s="35">
        <f>+AI307</f>
        <v>0</v>
      </c>
      <c r="X307" s="35">
        <f>+AJ307</f>
        <v>0</v>
      </c>
      <c r="Y307" s="33" t="s">
        <v>41</v>
      </c>
      <c r="Z307" s="39">
        <f>+F307</f>
        <v>0</v>
      </c>
      <c r="AA307" s="40"/>
      <c r="AB307" s="65"/>
      <c r="AC307" s="35">
        <v>0</v>
      </c>
      <c r="AD307" s="35">
        <f t="shared" ref="AD307" si="304">+AB307+AC307</f>
        <v>0</v>
      </c>
      <c r="AE307" s="67"/>
      <c r="AF307" s="35">
        <f>+AB307*AE307</f>
        <v>0</v>
      </c>
      <c r="AG307" s="35">
        <f>+AC307*AE307</f>
        <v>0</v>
      </c>
      <c r="AH307" s="35">
        <f>+AD307*AE307</f>
        <v>0</v>
      </c>
      <c r="AI307" s="35">
        <f t="shared" ref="AI307" si="305">+ROUND(AF307,2)</f>
        <v>0</v>
      </c>
      <c r="AJ307" s="35">
        <f t="shared" ref="AJ307" si="306">+ROUND(AG307,2)</f>
        <v>0</v>
      </c>
      <c r="AK307" s="35">
        <f t="shared" ref="AK307" si="307">+ROUND(AH307,2)</f>
        <v>0</v>
      </c>
      <c r="AL307" s="35">
        <f>+AI307+AJ307-AK307</f>
        <v>0</v>
      </c>
      <c r="AM307" s="63"/>
      <c r="AN307" s="35" t="str">
        <f>+LEFT(AM307,2)</f>
        <v/>
      </c>
      <c r="AO307" s="35" t="str">
        <f>+MID(AM307,4,2)</f>
        <v/>
      </c>
      <c r="AP307" s="35" t="str">
        <f>+RIGHT(AM307,2)</f>
        <v/>
      </c>
      <c r="AQ307" s="35" t="str">
        <f>+CONCATENATE(AN307,AO307,AP307)</f>
        <v/>
      </c>
      <c r="AR307" s="41">
        <f>AM307+_xlfn.XLOOKUP(C307,Hoja1!A:A,Hoja1!B:B)</f>
        <v>0</v>
      </c>
      <c r="AS307" s="42">
        <f>+DAY(AR307)</f>
        <v>0</v>
      </c>
      <c r="AT307" s="35">
        <f>+MONTH(AR307)</f>
        <v>1</v>
      </c>
      <c r="AU307" s="35">
        <f>+YEAR(AR307)</f>
        <v>1900</v>
      </c>
      <c r="AV307" s="35" t="str">
        <f>+CONCATENATE(TEXT(AS307,"00"),TEXT(AT307,"00"),RIGHT(AU307,2))</f>
        <v>000100</v>
      </c>
    </row>
    <row r="308" spans="1:48" s="31" customFormat="1" ht="10.15" hidden="1" customHeight="1" x14ac:dyDescent="0.25">
      <c r="A308" s="27"/>
      <c r="B308" s="27"/>
      <c r="C308" s="1"/>
      <c r="D308" s="1"/>
      <c r="E308" s="1"/>
      <c r="F308" s="1"/>
      <c r="G308" s="1"/>
      <c r="H308" s="28"/>
      <c r="I308" s="28"/>
      <c r="J308" s="1"/>
      <c r="K308" s="29"/>
      <c r="L308" s="28"/>
      <c r="M308" s="1"/>
      <c r="N308" s="1"/>
      <c r="O308" s="1"/>
      <c r="P308" s="1"/>
      <c r="Q308" s="1"/>
      <c r="R308" s="1"/>
      <c r="S308" s="28"/>
      <c r="T308" s="1"/>
      <c r="U308" s="1"/>
      <c r="V308" s="1"/>
      <c r="W308" s="28"/>
      <c r="X308" s="28"/>
      <c r="Y308" s="1"/>
      <c r="Z308" s="30"/>
      <c r="AA308" s="6"/>
      <c r="AB308" s="28"/>
      <c r="AC308" s="28"/>
      <c r="AD308" s="28"/>
      <c r="AE308" s="7"/>
      <c r="AF308" s="28"/>
      <c r="AG308" s="28"/>
      <c r="AH308" s="28"/>
      <c r="AI308" s="28"/>
      <c r="AJ308" s="28"/>
      <c r="AK308" s="28"/>
      <c r="AL308" s="28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s="31" customFormat="1" ht="10.15" hidden="1" customHeight="1" x14ac:dyDescent="0.25">
      <c r="A309" s="27"/>
      <c r="B309" s="27"/>
      <c r="C309" s="1"/>
      <c r="D309" s="1"/>
      <c r="E309" s="1"/>
      <c r="F309" s="1"/>
      <c r="G309" s="1"/>
      <c r="H309" s="28"/>
      <c r="I309" s="28"/>
      <c r="J309" s="1"/>
      <c r="K309" s="29"/>
      <c r="L309" s="28"/>
      <c r="M309" s="1"/>
      <c r="N309" s="1"/>
      <c r="O309" s="1"/>
      <c r="P309" s="1"/>
      <c r="Q309" s="1"/>
      <c r="R309" s="1"/>
      <c r="S309" s="28"/>
      <c r="T309" s="1"/>
      <c r="U309" s="1"/>
      <c r="V309" s="1"/>
      <c r="W309" s="28"/>
      <c r="X309" s="28"/>
      <c r="Y309" s="1"/>
      <c r="Z309" s="30"/>
      <c r="AA309" s="6"/>
      <c r="AB309" s="28"/>
      <c r="AC309" s="28"/>
      <c r="AD309" s="28"/>
      <c r="AE309" s="7"/>
      <c r="AF309" s="28"/>
      <c r="AG309" s="28"/>
      <c r="AH309" s="28"/>
      <c r="AI309" s="28"/>
      <c r="AJ309" s="28"/>
      <c r="AK309" s="28"/>
      <c r="AL309" s="28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s="31" customFormat="1" ht="10.15" hidden="1" customHeight="1" x14ac:dyDescent="0.25">
      <c r="A310" s="27"/>
      <c r="B310" s="27"/>
      <c r="C310" s="1"/>
      <c r="D310" s="1"/>
      <c r="E310" s="1"/>
      <c r="F310" s="1"/>
      <c r="G310" s="1"/>
      <c r="H310" s="28"/>
      <c r="I310" s="28"/>
      <c r="J310" s="1"/>
      <c r="K310" s="29"/>
      <c r="L310" s="28"/>
      <c r="M310" s="1"/>
      <c r="N310" s="1"/>
      <c r="O310" s="1"/>
      <c r="P310" s="1"/>
      <c r="Q310" s="1"/>
      <c r="R310" s="1"/>
      <c r="S310" s="28"/>
      <c r="T310" s="1"/>
      <c r="U310" s="1"/>
      <c r="V310" s="1"/>
      <c r="W310" s="28"/>
      <c r="X310" s="28"/>
      <c r="Y310" s="1"/>
      <c r="Z310" s="30"/>
      <c r="AA310" s="6"/>
      <c r="AB310" s="28"/>
      <c r="AC310" s="28"/>
      <c r="AD310" s="28"/>
      <c r="AE310" s="7"/>
      <c r="AF310" s="28"/>
      <c r="AG310" s="28"/>
      <c r="AH310" s="28"/>
      <c r="AI310" s="28"/>
      <c r="AJ310" s="28"/>
      <c r="AK310" s="28"/>
      <c r="AL310" s="28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ht="10.15" customHeight="1" x14ac:dyDescent="0.25">
      <c r="A311" s="44">
        <f>1+A307</f>
        <v>78</v>
      </c>
      <c r="B311" s="38"/>
      <c r="C311" s="57"/>
      <c r="D311" s="57"/>
      <c r="E311" s="34" t="str">
        <f>+AQ311</f>
        <v/>
      </c>
      <c r="F311" s="60"/>
      <c r="G311" s="34" t="str">
        <f>+AV311</f>
        <v>000100</v>
      </c>
      <c r="H311" s="35">
        <f>+AK311</f>
        <v>0</v>
      </c>
      <c r="I311" s="35">
        <f>+ROUND(AD311,2)</f>
        <v>0</v>
      </c>
      <c r="J311" s="57"/>
      <c r="K311" s="36">
        <f>+AE311</f>
        <v>0</v>
      </c>
      <c r="L311" s="35">
        <f>+AJ311</f>
        <v>0</v>
      </c>
      <c r="M311" s="37" t="s">
        <v>37</v>
      </c>
      <c r="N311" s="68"/>
      <c r="O311" s="57"/>
      <c r="P311" s="38" t="e">
        <f>+VLOOKUP(C311,Hoja1!$A$4:$C$57,3,FALSE)</f>
        <v>#N/A</v>
      </c>
      <c r="Q311" s="37" t="s">
        <v>38</v>
      </c>
      <c r="R311" s="68"/>
      <c r="S311" s="35" t="str">
        <f>(RIGHT(O311,7))</f>
        <v/>
      </c>
      <c r="T311" s="68"/>
      <c r="U311" s="37" t="s">
        <v>39</v>
      </c>
      <c r="V311" s="37" t="s">
        <v>40</v>
      </c>
      <c r="W311" s="35">
        <f>+AI311</f>
        <v>0</v>
      </c>
      <c r="X311" s="35">
        <f>+AJ311</f>
        <v>0</v>
      </c>
      <c r="Y311" s="33" t="s">
        <v>41</v>
      </c>
      <c r="Z311" s="39">
        <f>+F311</f>
        <v>0</v>
      </c>
      <c r="AA311" s="40"/>
      <c r="AB311" s="65"/>
      <c r="AC311" s="35">
        <v>0</v>
      </c>
      <c r="AD311" s="35">
        <f t="shared" ref="AD311" si="308">+AB311+AC311</f>
        <v>0</v>
      </c>
      <c r="AE311" s="67"/>
      <c r="AF311" s="35">
        <f>+AB311*AE311</f>
        <v>0</v>
      </c>
      <c r="AG311" s="35">
        <f>+AC311*AE311</f>
        <v>0</v>
      </c>
      <c r="AH311" s="35">
        <f>+AD311*AE311</f>
        <v>0</v>
      </c>
      <c r="AI311" s="35">
        <f t="shared" ref="AI311" si="309">+ROUND(AF311,2)</f>
        <v>0</v>
      </c>
      <c r="AJ311" s="35">
        <f t="shared" ref="AJ311" si="310">+ROUND(AG311,2)</f>
        <v>0</v>
      </c>
      <c r="AK311" s="35">
        <f t="shared" ref="AK311" si="311">+ROUND(AH311,2)</f>
        <v>0</v>
      </c>
      <c r="AL311" s="35">
        <f>+AI311+AJ311-AK311</f>
        <v>0</v>
      </c>
      <c r="AM311" s="62"/>
      <c r="AN311" s="35" t="str">
        <f>+LEFT(AM311,2)</f>
        <v/>
      </c>
      <c r="AO311" s="35" t="str">
        <f>+MID(AM311,4,2)</f>
        <v/>
      </c>
      <c r="AP311" s="35" t="str">
        <f>+RIGHT(AM311,2)</f>
        <v/>
      </c>
      <c r="AQ311" s="35" t="str">
        <f>+CONCATENATE(AN311,AO311,AP311)</f>
        <v/>
      </c>
      <c r="AR311" s="41">
        <f>AM311+_xlfn.XLOOKUP(C311,Hoja1!A:A,Hoja1!B:B)</f>
        <v>0</v>
      </c>
      <c r="AS311" s="42">
        <f>+DAY(AR311)</f>
        <v>0</v>
      </c>
      <c r="AT311" s="35">
        <f>+MONTH(AR311)</f>
        <v>1</v>
      </c>
      <c r="AU311" s="35">
        <f>+YEAR(AR311)</f>
        <v>1900</v>
      </c>
      <c r="AV311" s="35" t="str">
        <f>+CONCATENATE(TEXT(AS311,"00"),TEXT(AT311,"00"),RIGHT(AU311,2))</f>
        <v>000100</v>
      </c>
    </row>
    <row r="312" spans="1:48" s="31" customFormat="1" ht="10.15" hidden="1" customHeight="1" x14ac:dyDescent="0.25">
      <c r="A312" s="27"/>
      <c r="B312" s="27"/>
      <c r="C312" s="1"/>
      <c r="D312" s="1"/>
      <c r="E312" s="1"/>
      <c r="F312" s="1"/>
      <c r="G312" s="1"/>
      <c r="H312" s="28"/>
      <c r="I312" s="28"/>
      <c r="J312" s="1"/>
      <c r="K312" s="29"/>
      <c r="L312" s="28"/>
      <c r="M312" s="1"/>
      <c r="N312" s="1"/>
      <c r="O312" s="1"/>
      <c r="P312" s="1"/>
      <c r="Q312" s="1"/>
      <c r="R312" s="1"/>
      <c r="S312" s="28"/>
      <c r="T312" s="1"/>
      <c r="U312" s="1"/>
      <c r="V312" s="1"/>
      <c r="W312" s="28"/>
      <c r="X312" s="28"/>
      <c r="Y312" s="1"/>
      <c r="Z312" s="30"/>
      <c r="AA312" s="6"/>
      <c r="AB312" s="28"/>
      <c r="AC312" s="28"/>
      <c r="AD312" s="28"/>
      <c r="AE312" s="7"/>
      <c r="AF312" s="28"/>
      <c r="AG312" s="28"/>
      <c r="AH312" s="28"/>
      <c r="AI312" s="28"/>
      <c r="AJ312" s="28"/>
      <c r="AK312" s="28"/>
      <c r="AL312" s="28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s="31" customFormat="1" ht="10.15" hidden="1" customHeight="1" x14ac:dyDescent="0.25">
      <c r="A313" s="27"/>
      <c r="B313" s="27"/>
      <c r="C313" s="1"/>
      <c r="D313" s="1"/>
      <c r="E313" s="1"/>
      <c r="F313" s="1"/>
      <c r="G313" s="1"/>
      <c r="H313" s="28"/>
      <c r="I313" s="28"/>
      <c r="J313" s="1"/>
      <c r="K313" s="29"/>
      <c r="L313" s="28"/>
      <c r="M313" s="1"/>
      <c r="N313" s="1"/>
      <c r="O313" s="1"/>
      <c r="P313" s="1"/>
      <c r="Q313" s="1"/>
      <c r="R313" s="1"/>
      <c r="S313" s="28"/>
      <c r="T313" s="1"/>
      <c r="U313" s="1"/>
      <c r="V313" s="1"/>
      <c r="W313" s="28"/>
      <c r="X313" s="28"/>
      <c r="Y313" s="1"/>
      <c r="Z313" s="30"/>
      <c r="AA313" s="6"/>
      <c r="AB313" s="28"/>
      <c r="AC313" s="28"/>
      <c r="AD313" s="28"/>
      <c r="AE313" s="7"/>
      <c r="AF313" s="28"/>
      <c r="AG313" s="28"/>
      <c r="AH313" s="28"/>
      <c r="AI313" s="28"/>
      <c r="AJ313" s="28"/>
      <c r="AK313" s="28"/>
      <c r="AL313" s="28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s="31" customFormat="1" ht="10.15" hidden="1" customHeight="1" x14ac:dyDescent="0.25">
      <c r="A314" s="27"/>
      <c r="B314" s="27"/>
      <c r="C314" s="1"/>
      <c r="D314" s="1"/>
      <c r="E314" s="1"/>
      <c r="F314" s="1"/>
      <c r="G314" s="1"/>
      <c r="H314" s="28"/>
      <c r="I314" s="28"/>
      <c r="J314" s="1"/>
      <c r="K314" s="29"/>
      <c r="L314" s="28"/>
      <c r="M314" s="1"/>
      <c r="N314" s="1"/>
      <c r="O314" s="1"/>
      <c r="P314" s="1"/>
      <c r="Q314" s="1"/>
      <c r="R314" s="1"/>
      <c r="S314" s="28"/>
      <c r="T314" s="1"/>
      <c r="U314" s="1"/>
      <c r="V314" s="1"/>
      <c r="W314" s="28"/>
      <c r="X314" s="28"/>
      <c r="Y314" s="1"/>
      <c r="Z314" s="30"/>
      <c r="AA314" s="6"/>
      <c r="AB314" s="28"/>
      <c r="AC314" s="28"/>
      <c r="AD314" s="28"/>
      <c r="AE314" s="7"/>
      <c r="AF314" s="28"/>
      <c r="AG314" s="28"/>
      <c r="AH314" s="28"/>
      <c r="AI314" s="28"/>
      <c r="AJ314" s="28"/>
      <c r="AK314" s="28"/>
      <c r="AL314" s="28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ht="10.15" customHeight="1" x14ac:dyDescent="0.25">
      <c r="A315" s="44">
        <f>1+A311</f>
        <v>79</v>
      </c>
      <c r="B315" s="38"/>
      <c r="C315" s="57"/>
      <c r="D315" s="57"/>
      <c r="E315" s="34" t="str">
        <f>+AQ315</f>
        <v/>
      </c>
      <c r="F315" s="60"/>
      <c r="G315" s="34" t="str">
        <f>+AV315</f>
        <v>000100</v>
      </c>
      <c r="H315" s="35">
        <f>+AK315</f>
        <v>0</v>
      </c>
      <c r="I315" s="35">
        <f>+ROUND(AD315,2)</f>
        <v>0</v>
      </c>
      <c r="J315" s="57"/>
      <c r="K315" s="36">
        <f>+AE315</f>
        <v>0</v>
      </c>
      <c r="L315" s="35">
        <f>+AJ315</f>
        <v>0</v>
      </c>
      <c r="M315" s="37" t="s">
        <v>37</v>
      </c>
      <c r="N315" s="68"/>
      <c r="O315" s="57"/>
      <c r="P315" s="38" t="e">
        <f>+VLOOKUP(C315,Hoja1!$A$4:$C$57,3,FALSE)</f>
        <v>#N/A</v>
      </c>
      <c r="Q315" s="37" t="s">
        <v>38</v>
      </c>
      <c r="R315" s="68"/>
      <c r="S315" s="35" t="str">
        <f>(RIGHT(O315,7))</f>
        <v/>
      </c>
      <c r="T315" s="68"/>
      <c r="U315" s="37" t="s">
        <v>39</v>
      </c>
      <c r="V315" s="37" t="s">
        <v>40</v>
      </c>
      <c r="W315" s="35">
        <f>+AI315</f>
        <v>0</v>
      </c>
      <c r="X315" s="35">
        <f>+AJ315</f>
        <v>0</v>
      </c>
      <c r="Y315" s="33" t="s">
        <v>41</v>
      </c>
      <c r="Z315" s="39">
        <f>+F315</f>
        <v>0</v>
      </c>
      <c r="AA315" s="40"/>
      <c r="AB315" s="65"/>
      <c r="AC315" s="35">
        <v>0</v>
      </c>
      <c r="AD315" s="35">
        <f t="shared" ref="AD315" si="312">+AB315+AC315</f>
        <v>0</v>
      </c>
      <c r="AE315" s="67"/>
      <c r="AF315" s="35">
        <f>+AB315*AE315</f>
        <v>0</v>
      </c>
      <c r="AG315" s="35">
        <f>+AC315*AE315</f>
        <v>0</v>
      </c>
      <c r="AH315" s="35">
        <f>+AD315*AE315</f>
        <v>0</v>
      </c>
      <c r="AI315" s="35">
        <f t="shared" ref="AI315" si="313">+ROUND(AF315,2)</f>
        <v>0</v>
      </c>
      <c r="AJ315" s="35">
        <f t="shared" ref="AJ315" si="314">+ROUND(AG315,2)</f>
        <v>0</v>
      </c>
      <c r="AK315" s="35">
        <f t="shared" ref="AK315" si="315">+ROUND(AH315,2)</f>
        <v>0</v>
      </c>
      <c r="AL315" s="35">
        <f>+AI315+AJ315-AK315</f>
        <v>0</v>
      </c>
      <c r="AM315" s="63"/>
      <c r="AN315" s="35" t="str">
        <f>+LEFT(AM315,2)</f>
        <v/>
      </c>
      <c r="AO315" s="35" t="str">
        <f>+MID(AM315,4,2)</f>
        <v/>
      </c>
      <c r="AP315" s="35" t="str">
        <f>+RIGHT(AM315,2)</f>
        <v/>
      </c>
      <c r="AQ315" s="35" t="str">
        <f>+CONCATENATE(AN315,AO315,AP315)</f>
        <v/>
      </c>
      <c r="AR315" s="41">
        <f>AM315+_xlfn.XLOOKUP(C315,Hoja1!A:A,Hoja1!B:B)</f>
        <v>0</v>
      </c>
      <c r="AS315" s="42">
        <f>+DAY(AR315)</f>
        <v>0</v>
      </c>
      <c r="AT315" s="35">
        <f>+MONTH(AR315)</f>
        <v>1</v>
      </c>
      <c r="AU315" s="35">
        <f>+YEAR(AR315)</f>
        <v>1900</v>
      </c>
      <c r="AV315" s="35" t="str">
        <f>+CONCATENATE(TEXT(AS315,"00"),TEXT(AT315,"00"),RIGHT(AU315,2))</f>
        <v>000100</v>
      </c>
    </row>
    <row r="316" spans="1:48" s="31" customFormat="1" ht="10.15" hidden="1" customHeight="1" x14ac:dyDescent="0.25">
      <c r="A316" s="27"/>
      <c r="B316" s="27"/>
      <c r="C316" s="1"/>
      <c r="D316" s="1"/>
      <c r="E316" s="1"/>
      <c r="F316" s="1"/>
      <c r="G316" s="1"/>
      <c r="H316" s="28"/>
      <c r="I316" s="28"/>
      <c r="J316" s="1"/>
      <c r="K316" s="29"/>
      <c r="L316" s="28"/>
      <c r="M316" s="1"/>
      <c r="N316" s="1"/>
      <c r="O316" s="1"/>
      <c r="P316" s="1"/>
      <c r="Q316" s="1"/>
      <c r="R316" s="1"/>
      <c r="S316" s="28"/>
      <c r="T316" s="1"/>
      <c r="U316" s="1"/>
      <c r="V316" s="1"/>
      <c r="W316" s="28"/>
      <c r="X316" s="28"/>
      <c r="Y316" s="1"/>
      <c r="Z316" s="30"/>
      <c r="AA316" s="6"/>
      <c r="AB316" s="28"/>
      <c r="AC316" s="28"/>
      <c r="AD316" s="28"/>
      <c r="AE316" s="7"/>
      <c r="AF316" s="28"/>
      <c r="AG316" s="28"/>
      <c r="AH316" s="28"/>
      <c r="AI316" s="28"/>
      <c r="AJ316" s="28"/>
      <c r="AK316" s="28"/>
      <c r="AL316" s="28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s="31" customFormat="1" ht="10.15" hidden="1" customHeight="1" x14ac:dyDescent="0.25">
      <c r="A317" s="27"/>
      <c r="B317" s="27"/>
      <c r="C317" s="1"/>
      <c r="D317" s="1"/>
      <c r="E317" s="1"/>
      <c r="F317" s="1"/>
      <c r="G317" s="1"/>
      <c r="H317" s="28"/>
      <c r="I317" s="28"/>
      <c r="J317" s="1"/>
      <c r="K317" s="29"/>
      <c r="L317" s="28"/>
      <c r="M317" s="1"/>
      <c r="N317" s="1"/>
      <c r="O317" s="1"/>
      <c r="P317" s="1"/>
      <c r="Q317" s="1"/>
      <c r="R317" s="1"/>
      <c r="S317" s="28"/>
      <c r="T317" s="1"/>
      <c r="U317" s="1"/>
      <c r="V317" s="1"/>
      <c r="W317" s="28"/>
      <c r="X317" s="28"/>
      <c r="Y317" s="1"/>
      <c r="Z317" s="30"/>
      <c r="AA317" s="6"/>
      <c r="AB317" s="28"/>
      <c r="AC317" s="28"/>
      <c r="AD317" s="28"/>
      <c r="AE317" s="7"/>
      <c r="AF317" s="28"/>
      <c r="AG317" s="28"/>
      <c r="AH317" s="28"/>
      <c r="AI317" s="28"/>
      <c r="AJ317" s="28"/>
      <c r="AK317" s="28"/>
      <c r="AL317" s="28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s="31" customFormat="1" ht="10.15" hidden="1" customHeight="1" x14ac:dyDescent="0.25">
      <c r="A318" s="27"/>
      <c r="B318" s="27"/>
      <c r="C318" s="1"/>
      <c r="D318" s="1"/>
      <c r="E318" s="1"/>
      <c r="F318" s="1"/>
      <c r="G318" s="1"/>
      <c r="H318" s="28"/>
      <c r="I318" s="28"/>
      <c r="J318" s="1"/>
      <c r="K318" s="29"/>
      <c r="L318" s="28"/>
      <c r="M318" s="1"/>
      <c r="N318" s="1"/>
      <c r="O318" s="1"/>
      <c r="P318" s="1"/>
      <c r="Q318" s="1"/>
      <c r="R318" s="1"/>
      <c r="S318" s="28"/>
      <c r="T318" s="1"/>
      <c r="U318" s="1"/>
      <c r="V318" s="1"/>
      <c r="W318" s="28"/>
      <c r="X318" s="28"/>
      <c r="Y318" s="1"/>
      <c r="Z318" s="30"/>
      <c r="AA318" s="6"/>
      <c r="AB318" s="28"/>
      <c r="AC318" s="28"/>
      <c r="AD318" s="28"/>
      <c r="AE318" s="7"/>
      <c r="AF318" s="28"/>
      <c r="AG318" s="28"/>
      <c r="AH318" s="28"/>
      <c r="AI318" s="28"/>
      <c r="AJ318" s="28"/>
      <c r="AK318" s="28"/>
      <c r="AL318" s="28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ht="10.15" customHeight="1" x14ac:dyDescent="0.25">
      <c r="A319" s="44">
        <f>1+A315</f>
        <v>80</v>
      </c>
      <c r="B319" s="50"/>
      <c r="C319" s="57"/>
      <c r="D319" s="57"/>
      <c r="E319" s="34" t="str">
        <f>+AQ319</f>
        <v/>
      </c>
      <c r="F319" s="60"/>
      <c r="G319" s="34" t="str">
        <f>+AV319</f>
        <v>000100</v>
      </c>
      <c r="H319" s="35">
        <f>+AK319</f>
        <v>0</v>
      </c>
      <c r="I319" s="35">
        <f>+ROUND(AD319,2)</f>
        <v>0</v>
      </c>
      <c r="J319" s="57"/>
      <c r="K319" s="36">
        <f>+AE319</f>
        <v>0</v>
      </c>
      <c r="L319" s="35">
        <f>+AJ319</f>
        <v>0</v>
      </c>
      <c r="M319" s="37" t="s">
        <v>37</v>
      </c>
      <c r="N319" s="68"/>
      <c r="O319" s="57"/>
      <c r="P319" s="38" t="e">
        <f>+VLOOKUP(C319,Hoja1!$A$4:$C$57,3,FALSE)</f>
        <v>#N/A</v>
      </c>
      <c r="Q319" s="37" t="s">
        <v>38</v>
      </c>
      <c r="R319" s="68"/>
      <c r="S319" s="35" t="str">
        <f>(RIGHT(O319,7))</f>
        <v/>
      </c>
      <c r="T319" s="68"/>
      <c r="U319" s="37" t="s">
        <v>39</v>
      </c>
      <c r="V319" s="37" t="s">
        <v>40</v>
      </c>
      <c r="W319" s="35">
        <f>+AI319</f>
        <v>0</v>
      </c>
      <c r="X319" s="35">
        <f>+AJ319</f>
        <v>0</v>
      </c>
      <c r="Y319" s="33" t="s">
        <v>41</v>
      </c>
      <c r="Z319" s="39">
        <f>+F319</f>
        <v>0</v>
      </c>
      <c r="AA319" s="40"/>
      <c r="AB319" s="65"/>
      <c r="AC319" s="35">
        <v>0</v>
      </c>
      <c r="AD319" s="35">
        <f t="shared" ref="AD319" si="316">+AB319+AC319</f>
        <v>0</v>
      </c>
      <c r="AE319" s="67"/>
      <c r="AF319" s="35">
        <f>+AB319*AE319</f>
        <v>0</v>
      </c>
      <c r="AG319" s="35">
        <f>+AC319*AE319</f>
        <v>0</v>
      </c>
      <c r="AH319" s="35">
        <f>+AD319*AE319</f>
        <v>0</v>
      </c>
      <c r="AI319" s="35">
        <f t="shared" ref="AI319" si="317">+ROUND(AF319,2)</f>
        <v>0</v>
      </c>
      <c r="AJ319" s="35">
        <f t="shared" ref="AJ319" si="318">+ROUND(AG319,2)</f>
        <v>0</v>
      </c>
      <c r="AK319" s="35">
        <f t="shared" ref="AK319" si="319">+ROUND(AH319,2)</f>
        <v>0</v>
      </c>
      <c r="AL319" s="35">
        <f>+AI319+AJ319-AK319</f>
        <v>0</v>
      </c>
      <c r="AM319" s="63"/>
      <c r="AN319" s="35" t="str">
        <f>+LEFT(AM319,2)</f>
        <v/>
      </c>
      <c r="AO319" s="35" t="str">
        <f>+MID(AM319,4,2)</f>
        <v/>
      </c>
      <c r="AP319" s="35" t="str">
        <f>+RIGHT(AM319,2)</f>
        <v/>
      </c>
      <c r="AQ319" s="35" t="str">
        <f>+CONCATENATE(AN319,AO319,AP319)</f>
        <v/>
      </c>
      <c r="AR319" s="41">
        <f>AM319+_xlfn.XLOOKUP(C319,Hoja1!A:A,Hoja1!B:B)</f>
        <v>0</v>
      </c>
      <c r="AS319" s="42">
        <f>+DAY(AR319)</f>
        <v>0</v>
      </c>
      <c r="AT319" s="35">
        <f>+MONTH(AR319)</f>
        <v>1</v>
      </c>
      <c r="AU319" s="35">
        <f>+YEAR(AR319)</f>
        <v>1900</v>
      </c>
      <c r="AV319" s="35" t="str">
        <f>+CONCATENATE(TEXT(AS319,"00"),TEXT(AT319,"00"),RIGHT(AU319,2))</f>
        <v>000100</v>
      </c>
    </row>
    <row r="320" spans="1:48" s="31" customFormat="1" ht="10.15" hidden="1" customHeight="1" x14ac:dyDescent="0.25">
      <c r="A320" s="27"/>
      <c r="B320" s="27"/>
      <c r="C320" s="1"/>
      <c r="D320" s="1"/>
      <c r="E320" s="1"/>
      <c r="F320" s="1"/>
      <c r="G320" s="1"/>
      <c r="H320" s="28"/>
      <c r="I320" s="28"/>
      <c r="J320" s="1"/>
      <c r="K320" s="29"/>
      <c r="L320" s="28"/>
      <c r="M320" s="1"/>
      <c r="N320" s="1"/>
      <c r="O320" s="1"/>
      <c r="P320" s="1"/>
      <c r="Q320" s="1"/>
      <c r="R320" s="1"/>
      <c r="S320" s="28"/>
      <c r="T320" s="1"/>
      <c r="U320" s="1"/>
      <c r="V320" s="1"/>
      <c r="W320" s="28"/>
      <c r="X320" s="28"/>
      <c r="Y320" s="1"/>
      <c r="Z320" s="30"/>
      <c r="AA320" s="6"/>
      <c r="AB320" s="28"/>
      <c r="AC320" s="28"/>
      <c r="AD320" s="28"/>
      <c r="AE320" s="7"/>
      <c r="AF320" s="28"/>
      <c r="AG320" s="28"/>
      <c r="AH320" s="28"/>
      <c r="AI320" s="28"/>
      <c r="AJ320" s="28"/>
      <c r="AK320" s="28"/>
      <c r="AL320" s="28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s="31" customFormat="1" ht="10.15" hidden="1" customHeight="1" x14ac:dyDescent="0.25">
      <c r="A321" s="27"/>
      <c r="B321" s="27"/>
      <c r="C321" s="1"/>
      <c r="D321" s="1"/>
      <c r="E321" s="1"/>
      <c r="F321" s="1"/>
      <c r="G321" s="1"/>
      <c r="H321" s="28"/>
      <c r="I321" s="28"/>
      <c r="J321" s="1"/>
      <c r="K321" s="29"/>
      <c r="L321" s="28"/>
      <c r="M321" s="1"/>
      <c r="N321" s="1"/>
      <c r="O321" s="1"/>
      <c r="P321" s="1"/>
      <c r="Q321" s="1"/>
      <c r="R321" s="1"/>
      <c r="S321" s="28"/>
      <c r="T321" s="1"/>
      <c r="U321" s="1"/>
      <c r="V321" s="1"/>
      <c r="W321" s="28"/>
      <c r="X321" s="28"/>
      <c r="Y321" s="1"/>
      <c r="Z321" s="30"/>
      <c r="AA321" s="6"/>
      <c r="AB321" s="28"/>
      <c r="AC321" s="28"/>
      <c r="AD321" s="28"/>
      <c r="AE321" s="7"/>
      <c r="AF321" s="28"/>
      <c r="AG321" s="28"/>
      <c r="AH321" s="28"/>
      <c r="AI321" s="28"/>
      <c r="AJ321" s="28"/>
      <c r="AK321" s="28"/>
      <c r="AL321" s="28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s="31" customFormat="1" ht="10.15" hidden="1" customHeight="1" x14ac:dyDescent="0.25">
      <c r="A322" s="27"/>
      <c r="B322" s="27"/>
      <c r="C322" s="1"/>
      <c r="D322" s="1"/>
      <c r="E322" s="1"/>
      <c r="F322" s="1"/>
      <c r="G322" s="1"/>
      <c r="H322" s="28"/>
      <c r="I322" s="28"/>
      <c r="J322" s="1"/>
      <c r="K322" s="29"/>
      <c r="L322" s="28"/>
      <c r="M322" s="1"/>
      <c r="N322" s="1"/>
      <c r="O322" s="1"/>
      <c r="P322" s="1"/>
      <c r="Q322" s="1"/>
      <c r="R322" s="1"/>
      <c r="S322" s="28"/>
      <c r="T322" s="1"/>
      <c r="U322" s="1"/>
      <c r="V322" s="1"/>
      <c r="W322" s="28"/>
      <c r="X322" s="28"/>
      <c r="Y322" s="1"/>
      <c r="Z322" s="30"/>
      <c r="AA322" s="6"/>
      <c r="AB322" s="28"/>
      <c r="AC322" s="28"/>
      <c r="AD322" s="28"/>
      <c r="AE322" s="7"/>
      <c r="AF322" s="28"/>
      <c r="AG322" s="28"/>
      <c r="AH322" s="28"/>
      <c r="AI322" s="28"/>
      <c r="AJ322" s="28"/>
      <c r="AK322" s="28"/>
      <c r="AL322" s="28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ht="10.15" customHeight="1" x14ac:dyDescent="0.25">
      <c r="A323" s="44">
        <f>1+A319</f>
        <v>81</v>
      </c>
      <c r="B323" s="50"/>
      <c r="C323" s="57"/>
      <c r="D323" s="57"/>
      <c r="E323" s="34" t="str">
        <f>+AQ323</f>
        <v/>
      </c>
      <c r="F323" s="60"/>
      <c r="G323" s="34" t="str">
        <f>+AV323</f>
        <v>000100</v>
      </c>
      <c r="H323" s="35">
        <f>+AK323</f>
        <v>0</v>
      </c>
      <c r="I323" s="35">
        <f>+ROUND(AD323,2)</f>
        <v>0</v>
      </c>
      <c r="J323" s="57"/>
      <c r="K323" s="36">
        <f>+AE323</f>
        <v>0</v>
      </c>
      <c r="L323" s="35">
        <f>+AJ323</f>
        <v>0</v>
      </c>
      <c r="M323" s="37" t="s">
        <v>37</v>
      </c>
      <c r="N323" s="68"/>
      <c r="O323" s="57"/>
      <c r="P323" s="38" t="e">
        <f>+VLOOKUP(C323,Hoja1!$A$4:$C$57,3,FALSE)</f>
        <v>#N/A</v>
      </c>
      <c r="Q323" s="37" t="s">
        <v>38</v>
      </c>
      <c r="R323" s="68"/>
      <c r="S323" s="35" t="str">
        <f>(RIGHT(O323,7))</f>
        <v/>
      </c>
      <c r="T323" s="68"/>
      <c r="U323" s="37" t="s">
        <v>39</v>
      </c>
      <c r="V323" s="37" t="s">
        <v>40</v>
      </c>
      <c r="W323" s="35">
        <f>+AI323</f>
        <v>0</v>
      </c>
      <c r="X323" s="35">
        <f>+AJ323</f>
        <v>0</v>
      </c>
      <c r="Y323" s="33" t="s">
        <v>41</v>
      </c>
      <c r="Z323" s="39">
        <f>+F323</f>
        <v>0</v>
      </c>
      <c r="AA323" s="40"/>
      <c r="AB323" s="65"/>
      <c r="AC323" s="35">
        <v>0</v>
      </c>
      <c r="AD323" s="35">
        <f t="shared" ref="AD323" si="320">+AB323+AC323</f>
        <v>0</v>
      </c>
      <c r="AE323" s="67"/>
      <c r="AF323" s="35">
        <f>+AB323*AE323</f>
        <v>0</v>
      </c>
      <c r="AG323" s="35">
        <f>+AC323*AE323</f>
        <v>0</v>
      </c>
      <c r="AH323" s="35">
        <f>+AD323*AE323</f>
        <v>0</v>
      </c>
      <c r="AI323" s="35">
        <f t="shared" ref="AI323" si="321">+ROUND(AF323,2)</f>
        <v>0</v>
      </c>
      <c r="AJ323" s="35">
        <f t="shared" ref="AJ323" si="322">+ROUND(AG323,2)</f>
        <v>0</v>
      </c>
      <c r="AK323" s="35">
        <f t="shared" ref="AK323" si="323">+ROUND(AH323,2)</f>
        <v>0</v>
      </c>
      <c r="AL323" s="35">
        <f>+AI323+AJ323-AK323</f>
        <v>0</v>
      </c>
      <c r="AM323" s="63"/>
      <c r="AN323" s="35" t="str">
        <f>+LEFT(AM323,2)</f>
        <v/>
      </c>
      <c r="AO323" s="35" t="str">
        <f>+MID(AM323,4,2)</f>
        <v/>
      </c>
      <c r="AP323" s="35" t="str">
        <f>+RIGHT(AM323,2)</f>
        <v/>
      </c>
      <c r="AQ323" s="35" t="str">
        <f>+CONCATENATE(AN323,AO323,AP323)</f>
        <v/>
      </c>
      <c r="AR323" s="41">
        <f>AM323+_xlfn.XLOOKUP(C323,Hoja1!A:A,Hoja1!B:B)</f>
        <v>0</v>
      </c>
      <c r="AS323" s="42">
        <f>+DAY(AR323)</f>
        <v>0</v>
      </c>
      <c r="AT323" s="35">
        <f>+MONTH(AR323)</f>
        <v>1</v>
      </c>
      <c r="AU323" s="35">
        <f>+YEAR(AR323)</f>
        <v>1900</v>
      </c>
      <c r="AV323" s="35" t="str">
        <f>+CONCATENATE(TEXT(AS323,"00"),TEXT(AT323,"00"),RIGHT(AU323,2))</f>
        <v>000100</v>
      </c>
    </row>
    <row r="324" spans="1:48" s="31" customFormat="1" ht="10.15" hidden="1" customHeight="1" x14ac:dyDescent="0.25">
      <c r="A324" s="27"/>
      <c r="B324" s="27"/>
      <c r="C324" s="1"/>
      <c r="D324" s="1"/>
      <c r="E324" s="1"/>
      <c r="F324" s="1"/>
      <c r="G324" s="1"/>
      <c r="H324" s="28"/>
      <c r="I324" s="28"/>
      <c r="J324" s="1"/>
      <c r="K324" s="29"/>
      <c r="L324" s="28"/>
      <c r="M324" s="1"/>
      <c r="N324" s="1"/>
      <c r="O324" s="1"/>
      <c r="P324" s="1"/>
      <c r="Q324" s="1"/>
      <c r="R324" s="1"/>
      <c r="S324" s="28"/>
      <c r="T324" s="1"/>
      <c r="U324" s="1"/>
      <c r="V324" s="1"/>
      <c r="W324" s="28"/>
      <c r="X324" s="28"/>
      <c r="Y324" s="1"/>
      <c r="Z324" s="30"/>
      <c r="AA324" s="6"/>
      <c r="AB324" s="28"/>
      <c r="AC324" s="28"/>
      <c r="AD324" s="28"/>
      <c r="AE324" s="7"/>
      <c r="AF324" s="28"/>
      <c r="AG324" s="28"/>
      <c r="AH324" s="28"/>
      <c r="AI324" s="28"/>
      <c r="AJ324" s="28"/>
      <c r="AK324" s="28"/>
      <c r="AL324" s="28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s="31" customFormat="1" ht="10.15" hidden="1" customHeight="1" x14ac:dyDescent="0.25">
      <c r="A325" s="27"/>
      <c r="B325" s="27"/>
      <c r="C325" s="1"/>
      <c r="D325" s="1"/>
      <c r="E325" s="1"/>
      <c r="F325" s="1"/>
      <c r="G325" s="1"/>
      <c r="H325" s="28"/>
      <c r="I325" s="28"/>
      <c r="J325" s="1"/>
      <c r="K325" s="29"/>
      <c r="L325" s="28"/>
      <c r="M325" s="1"/>
      <c r="N325" s="1"/>
      <c r="O325" s="1"/>
      <c r="P325" s="1"/>
      <c r="Q325" s="1"/>
      <c r="R325" s="1"/>
      <c r="S325" s="28"/>
      <c r="T325" s="1"/>
      <c r="U325" s="1"/>
      <c r="V325" s="1"/>
      <c r="W325" s="28"/>
      <c r="X325" s="28"/>
      <c r="Y325" s="1"/>
      <c r="Z325" s="30"/>
      <c r="AA325" s="6"/>
      <c r="AB325" s="28"/>
      <c r="AC325" s="28"/>
      <c r="AD325" s="28"/>
      <c r="AE325" s="7"/>
      <c r="AF325" s="28"/>
      <c r="AG325" s="28"/>
      <c r="AH325" s="28"/>
      <c r="AI325" s="28"/>
      <c r="AJ325" s="28"/>
      <c r="AK325" s="28"/>
      <c r="AL325" s="28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s="31" customFormat="1" ht="10.15" hidden="1" customHeight="1" x14ac:dyDescent="0.25">
      <c r="A326" s="27"/>
      <c r="B326" s="27"/>
      <c r="C326" s="1"/>
      <c r="D326" s="1"/>
      <c r="E326" s="1"/>
      <c r="F326" s="1"/>
      <c r="G326" s="1"/>
      <c r="H326" s="28"/>
      <c r="I326" s="28"/>
      <c r="J326" s="1"/>
      <c r="K326" s="29"/>
      <c r="L326" s="28"/>
      <c r="M326" s="1"/>
      <c r="N326" s="1"/>
      <c r="O326" s="1"/>
      <c r="P326" s="1"/>
      <c r="Q326" s="1"/>
      <c r="R326" s="1"/>
      <c r="S326" s="28"/>
      <c r="T326" s="1"/>
      <c r="U326" s="1"/>
      <c r="V326" s="1"/>
      <c r="W326" s="28"/>
      <c r="X326" s="28"/>
      <c r="Y326" s="1"/>
      <c r="Z326" s="30"/>
      <c r="AA326" s="6"/>
      <c r="AB326" s="28"/>
      <c r="AC326" s="28"/>
      <c r="AD326" s="28"/>
      <c r="AE326" s="7"/>
      <c r="AF326" s="28"/>
      <c r="AG326" s="28"/>
      <c r="AH326" s="28"/>
      <c r="AI326" s="28"/>
      <c r="AJ326" s="28"/>
      <c r="AK326" s="28"/>
      <c r="AL326" s="28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ht="10.15" customHeight="1" x14ac:dyDescent="0.25">
      <c r="A327" s="44">
        <f>1+A323</f>
        <v>82</v>
      </c>
      <c r="B327" s="38"/>
      <c r="C327" s="57"/>
      <c r="D327" s="57"/>
      <c r="E327" s="34" t="str">
        <f>+AQ327</f>
        <v/>
      </c>
      <c r="F327" s="60"/>
      <c r="G327" s="34" t="str">
        <f>+AV327</f>
        <v>000100</v>
      </c>
      <c r="H327" s="35">
        <f>+AK327</f>
        <v>0</v>
      </c>
      <c r="I327" s="35">
        <f>+ROUND(AD327,2)</f>
        <v>0</v>
      </c>
      <c r="J327" s="57"/>
      <c r="K327" s="36">
        <f>+AE327</f>
        <v>0</v>
      </c>
      <c r="L327" s="35">
        <f>+AJ327</f>
        <v>0</v>
      </c>
      <c r="M327" s="37" t="s">
        <v>37</v>
      </c>
      <c r="N327" s="68"/>
      <c r="O327" s="57"/>
      <c r="P327" s="38" t="e">
        <f>+VLOOKUP(C327,Hoja1!$A$4:$C$57,3,FALSE)</f>
        <v>#N/A</v>
      </c>
      <c r="Q327" s="37" t="s">
        <v>38</v>
      </c>
      <c r="R327" s="68"/>
      <c r="S327" s="35" t="str">
        <f>(RIGHT(O327,7))</f>
        <v/>
      </c>
      <c r="T327" s="68"/>
      <c r="U327" s="37" t="s">
        <v>39</v>
      </c>
      <c r="V327" s="37" t="s">
        <v>40</v>
      </c>
      <c r="W327" s="35">
        <f>+AI327</f>
        <v>0</v>
      </c>
      <c r="X327" s="35">
        <f>+AJ327</f>
        <v>0</v>
      </c>
      <c r="Y327" s="33" t="s">
        <v>41</v>
      </c>
      <c r="Z327" s="39">
        <f>+F327</f>
        <v>0</v>
      </c>
      <c r="AA327" s="40"/>
      <c r="AB327" s="65"/>
      <c r="AC327" s="35">
        <v>0</v>
      </c>
      <c r="AD327" s="35">
        <f t="shared" ref="AD327" si="324">+AB327+AC327</f>
        <v>0</v>
      </c>
      <c r="AE327" s="67"/>
      <c r="AF327" s="35">
        <f>+AB327*AE327</f>
        <v>0</v>
      </c>
      <c r="AG327" s="35">
        <f>+AC327*AE327</f>
        <v>0</v>
      </c>
      <c r="AH327" s="35">
        <f>+AD327*AE327</f>
        <v>0</v>
      </c>
      <c r="AI327" s="35">
        <f t="shared" ref="AI327" si="325">+ROUND(AF327,2)</f>
        <v>0</v>
      </c>
      <c r="AJ327" s="35">
        <f t="shared" ref="AJ327" si="326">+ROUND(AG327,2)</f>
        <v>0</v>
      </c>
      <c r="AK327" s="35">
        <f t="shared" ref="AK327" si="327">+ROUND(AH327,2)</f>
        <v>0</v>
      </c>
      <c r="AL327" s="35">
        <f>+AI327+AJ327-AK327</f>
        <v>0</v>
      </c>
      <c r="AM327" s="62"/>
      <c r="AN327" s="35" t="str">
        <f>+LEFT(AM327,2)</f>
        <v/>
      </c>
      <c r="AO327" s="35" t="str">
        <f>+MID(AM327,4,2)</f>
        <v/>
      </c>
      <c r="AP327" s="35" t="str">
        <f>+RIGHT(AM327,2)</f>
        <v/>
      </c>
      <c r="AQ327" s="35" t="str">
        <f>+CONCATENATE(AN327,AO327,AP327)</f>
        <v/>
      </c>
      <c r="AR327" s="41">
        <f>AM327+_xlfn.XLOOKUP(C327,Hoja1!A:A,Hoja1!B:B)</f>
        <v>0</v>
      </c>
      <c r="AS327" s="42">
        <f>+DAY(AR327)</f>
        <v>0</v>
      </c>
      <c r="AT327" s="35">
        <f>+MONTH(AR327)</f>
        <v>1</v>
      </c>
      <c r="AU327" s="35">
        <f>+YEAR(AR327)</f>
        <v>1900</v>
      </c>
      <c r="AV327" s="35" t="str">
        <f>+CONCATENATE(TEXT(AS327,"00"),TEXT(AT327,"00"),RIGHT(AU327,2))</f>
        <v>000100</v>
      </c>
    </row>
    <row r="328" spans="1:48" s="31" customFormat="1" ht="10.15" hidden="1" customHeight="1" x14ac:dyDescent="0.25">
      <c r="A328" s="27"/>
      <c r="B328" s="27"/>
      <c r="C328" s="1"/>
      <c r="D328" s="1"/>
      <c r="E328" s="1"/>
      <c r="F328" s="1"/>
      <c r="G328" s="1"/>
      <c r="H328" s="28"/>
      <c r="I328" s="28"/>
      <c r="J328" s="1"/>
      <c r="K328" s="29"/>
      <c r="L328" s="28"/>
      <c r="M328" s="1"/>
      <c r="N328" s="1"/>
      <c r="O328" s="1"/>
      <c r="P328" s="1"/>
      <c r="Q328" s="1"/>
      <c r="R328" s="1"/>
      <c r="S328" s="28"/>
      <c r="T328" s="1"/>
      <c r="U328" s="1"/>
      <c r="V328" s="1"/>
      <c r="W328" s="28"/>
      <c r="X328" s="28"/>
      <c r="Y328" s="1"/>
      <c r="Z328" s="30"/>
      <c r="AA328" s="6"/>
      <c r="AB328" s="28"/>
      <c r="AC328" s="28"/>
      <c r="AD328" s="28"/>
      <c r="AE328" s="7"/>
      <c r="AF328" s="28"/>
      <c r="AG328" s="28"/>
      <c r="AH328" s="28"/>
      <c r="AI328" s="28"/>
      <c r="AJ328" s="28"/>
      <c r="AK328" s="28"/>
      <c r="AL328" s="28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s="31" customFormat="1" ht="10.15" hidden="1" customHeight="1" x14ac:dyDescent="0.25">
      <c r="A329" s="27"/>
      <c r="B329" s="27"/>
      <c r="C329" s="1"/>
      <c r="D329" s="1"/>
      <c r="E329" s="1"/>
      <c r="F329" s="1"/>
      <c r="G329" s="1"/>
      <c r="H329" s="28"/>
      <c r="I329" s="28"/>
      <c r="J329" s="1"/>
      <c r="K329" s="29"/>
      <c r="L329" s="28"/>
      <c r="M329" s="1"/>
      <c r="N329" s="1"/>
      <c r="O329" s="1"/>
      <c r="P329" s="1"/>
      <c r="Q329" s="1"/>
      <c r="R329" s="1"/>
      <c r="S329" s="28"/>
      <c r="T329" s="1"/>
      <c r="U329" s="1"/>
      <c r="V329" s="1"/>
      <c r="W329" s="28"/>
      <c r="X329" s="28"/>
      <c r="Y329" s="1"/>
      <c r="Z329" s="30"/>
      <c r="AA329" s="6"/>
      <c r="AB329" s="28"/>
      <c r="AC329" s="28"/>
      <c r="AD329" s="28"/>
      <c r="AE329" s="7"/>
      <c r="AF329" s="28"/>
      <c r="AG329" s="28"/>
      <c r="AH329" s="28"/>
      <c r="AI329" s="28"/>
      <c r="AJ329" s="28"/>
      <c r="AK329" s="28"/>
      <c r="AL329" s="28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s="31" customFormat="1" ht="10.15" hidden="1" customHeight="1" x14ac:dyDescent="0.25">
      <c r="A330" s="27"/>
      <c r="B330" s="27"/>
      <c r="C330" s="1"/>
      <c r="D330" s="1"/>
      <c r="E330" s="1"/>
      <c r="F330" s="1"/>
      <c r="G330" s="1"/>
      <c r="H330" s="28"/>
      <c r="I330" s="28"/>
      <c r="J330" s="1"/>
      <c r="K330" s="29"/>
      <c r="L330" s="28"/>
      <c r="M330" s="1"/>
      <c r="N330" s="1"/>
      <c r="O330" s="1"/>
      <c r="P330" s="1"/>
      <c r="Q330" s="1"/>
      <c r="R330" s="1"/>
      <c r="S330" s="28"/>
      <c r="T330" s="1"/>
      <c r="U330" s="1"/>
      <c r="V330" s="1"/>
      <c r="W330" s="28"/>
      <c r="X330" s="28"/>
      <c r="Y330" s="1"/>
      <c r="Z330" s="30"/>
      <c r="AA330" s="6"/>
      <c r="AB330" s="28"/>
      <c r="AC330" s="28"/>
      <c r="AD330" s="28"/>
      <c r="AE330" s="7"/>
      <c r="AF330" s="28"/>
      <c r="AG330" s="28"/>
      <c r="AH330" s="28"/>
      <c r="AI330" s="28"/>
      <c r="AJ330" s="28"/>
      <c r="AK330" s="28"/>
      <c r="AL330" s="28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ht="10.15" customHeight="1" x14ac:dyDescent="0.25">
      <c r="A331" s="44">
        <f>1+A327</f>
        <v>83</v>
      </c>
      <c r="B331" s="38"/>
      <c r="C331" s="57"/>
      <c r="D331" s="57"/>
      <c r="E331" s="34" t="str">
        <f>+AQ331</f>
        <v/>
      </c>
      <c r="F331" s="60"/>
      <c r="G331" s="34" t="str">
        <f>+AV331</f>
        <v>000100</v>
      </c>
      <c r="H331" s="35">
        <f>+AK331</f>
        <v>0</v>
      </c>
      <c r="I331" s="35">
        <f>+ROUND(AD331,2)</f>
        <v>0</v>
      </c>
      <c r="J331" s="57"/>
      <c r="K331" s="36">
        <f>+AE331</f>
        <v>0</v>
      </c>
      <c r="L331" s="35">
        <f>+AJ331</f>
        <v>0</v>
      </c>
      <c r="M331" s="37" t="s">
        <v>37</v>
      </c>
      <c r="N331" s="68"/>
      <c r="O331" s="57"/>
      <c r="P331" s="38" t="e">
        <f>+VLOOKUP(C331,Hoja1!$A$4:$C$57,3,FALSE)</f>
        <v>#N/A</v>
      </c>
      <c r="Q331" s="37" t="s">
        <v>38</v>
      </c>
      <c r="R331" s="68"/>
      <c r="S331" s="35" t="str">
        <f>(RIGHT(O331,7))</f>
        <v/>
      </c>
      <c r="T331" s="68"/>
      <c r="U331" s="37" t="s">
        <v>39</v>
      </c>
      <c r="V331" s="37" t="s">
        <v>40</v>
      </c>
      <c r="W331" s="35">
        <f>+AI331</f>
        <v>0</v>
      </c>
      <c r="X331" s="35">
        <f>+AJ331</f>
        <v>0</v>
      </c>
      <c r="Y331" s="33" t="s">
        <v>41</v>
      </c>
      <c r="Z331" s="39">
        <f>+F331</f>
        <v>0</v>
      </c>
      <c r="AA331" s="40"/>
      <c r="AB331" s="65"/>
      <c r="AC331" s="35">
        <v>0</v>
      </c>
      <c r="AD331" s="35">
        <f t="shared" ref="AD331" si="328">+AB331+AC331</f>
        <v>0</v>
      </c>
      <c r="AE331" s="67"/>
      <c r="AF331" s="35">
        <f>+AB331*AE331</f>
        <v>0</v>
      </c>
      <c r="AG331" s="35">
        <f>+AC331*AE331</f>
        <v>0</v>
      </c>
      <c r="AH331" s="35">
        <f>+AD331*AE331</f>
        <v>0</v>
      </c>
      <c r="AI331" s="35">
        <f t="shared" ref="AI331" si="329">+ROUND(AF331,2)</f>
        <v>0</v>
      </c>
      <c r="AJ331" s="35">
        <f t="shared" ref="AJ331" si="330">+ROUND(AG331,2)</f>
        <v>0</v>
      </c>
      <c r="AK331" s="35">
        <f t="shared" ref="AK331" si="331">+ROUND(AH331,2)</f>
        <v>0</v>
      </c>
      <c r="AL331" s="35">
        <f>+AI331+AJ331-AK331</f>
        <v>0</v>
      </c>
      <c r="AM331" s="63"/>
      <c r="AN331" s="35" t="str">
        <f>+LEFT(AM331,2)</f>
        <v/>
      </c>
      <c r="AO331" s="35" t="str">
        <f>+MID(AM331,4,2)</f>
        <v/>
      </c>
      <c r="AP331" s="35" t="str">
        <f>+RIGHT(AM331,2)</f>
        <v/>
      </c>
      <c r="AQ331" s="35" t="str">
        <f>+CONCATENATE(AN331,AO331,AP331)</f>
        <v/>
      </c>
      <c r="AR331" s="41">
        <f>AM331+_xlfn.XLOOKUP(C331,Hoja1!A:A,Hoja1!B:B)</f>
        <v>0</v>
      </c>
      <c r="AS331" s="42">
        <f>+DAY(AR331)</f>
        <v>0</v>
      </c>
      <c r="AT331" s="35">
        <f>+MONTH(AR331)</f>
        <v>1</v>
      </c>
      <c r="AU331" s="35">
        <f>+YEAR(AR331)</f>
        <v>1900</v>
      </c>
      <c r="AV331" s="35" t="str">
        <f>+CONCATENATE(TEXT(AS331,"00"),TEXT(AT331,"00"),RIGHT(AU331,2))</f>
        <v>000100</v>
      </c>
    </row>
    <row r="332" spans="1:48" s="31" customFormat="1" ht="10.15" hidden="1" customHeight="1" x14ac:dyDescent="0.25">
      <c r="A332" s="27"/>
      <c r="B332" s="27"/>
      <c r="C332" s="1"/>
      <c r="D332" s="1"/>
      <c r="E332" s="1"/>
      <c r="F332" s="1"/>
      <c r="G332" s="1"/>
      <c r="H332" s="28"/>
      <c r="I332" s="28"/>
      <c r="J332" s="1"/>
      <c r="K332" s="29"/>
      <c r="L332" s="28"/>
      <c r="M332" s="1"/>
      <c r="N332" s="1"/>
      <c r="O332" s="1"/>
      <c r="P332" s="1"/>
      <c r="Q332" s="1"/>
      <c r="R332" s="1"/>
      <c r="S332" s="28"/>
      <c r="T332" s="1"/>
      <c r="U332" s="1"/>
      <c r="V332" s="1"/>
      <c r="W332" s="28"/>
      <c r="X332" s="28"/>
      <c r="Y332" s="1"/>
      <c r="Z332" s="30"/>
      <c r="AA332" s="6"/>
      <c r="AB332" s="28"/>
      <c r="AC332" s="28"/>
      <c r="AD332" s="28"/>
      <c r="AE332" s="7"/>
      <c r="AF332" s="28"/>
      <c r="AG332" s="28"/>
      <c r="AH332" s="28"/>
      <c r="AI332" s="28"/>
      <c r="AJ332" s="28"/>
      <c r="AK332" s="28"/>
      <c r="AL332" s="28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s="31" customFormat="1" ht="10.15" hidden="1" customHeight="1" x14ac:dyDescent="0.25">
      <c r="A333" s="27"/>
      <c r="B333" s="27"/>
      <c r="C333" s="1"/>
      <c r="D333" s="1"/>
      <c r="E333" s="1"/>
      <c r="F333" s="1"/>
      <c r="G333" s="1"/>
      <c r="H333" s="28"/>
      <c r="I333" s="28"/>
      <c r="J333" s="1"/>
      <c r="K333" s="29"/>
      <c r="L333" s="28"/>
      <c r="M333" s="1"/>
      <c r="N333" s="1"/>
      <c r="O333" s="1"/>
      <c r="P333" s="1"/>
      <c r="Q333" s="1"/>
      <c r="R333" s="1"/>
      <c r="S333" s="28"/>
      <c r="T333" s="1"/>
      <c r="U333" s="1"/>
      <c r="V333" s="1"/>
      <c r="W333" s="28"/>
      <c r="X333" s="28"/>
      <c r="Y333" s="1"/>
      <c r="Z333" s="30"/>
      <c r="AA333" s="6"/>
      <c r="AB333" s="28"/>
      <c r="AC333" s="28"/>
      <c r="AD333" s="28"/>
      <c r="AE333" s="7"/>
      <c r="AF333" s="28"/>
      <c r="AG333" s="28"/>
      <c r="AH333" s="28"/>
      <c r="AI333" s="28"/>
      <c r="AJ333" s="28"/>
      <c r="AK333" s="28"/>
      <c r="AL333" s="28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s="31" customFormat="1" ht="10.15" hidden="1" customHeight="1" x14ac:dyDescent="0.25">
      <c r="A334" s="27"/>
      <c r="B334" s="27"/>
      <c r="C334" s="1"/>
      <c r="D334" s="1"/>
      <c r="E334" s="1"/>
      <c r="F334" s="1"/>
      <c r="G334" s="1"/>
      <c r="H334" s="28"/>
      <c r="I334" s="28"/>
      <c r="J334" s="1"/>
      <c r="K334" s="29"/>
      <c r="L334" s="28"/>
      <c r="M334" s="1"/>
      <c r="N334" s="1"/>
      <c r="O334" s="1"/>
      <c r="P334" s="1"/>
      <c r="Q334" s="1"/>
      <c r="R334" s="1"/>
      <c r="S334" s="28"/>
      <c r="T334" s="1"/>
      <c r="U334" s="1"/>
      <c r="V334" s="1"/>
      <c r="W334" s="28"/>
      <c r="X334" s="28"/>
      <c r="Y334" s="1"/>
      <c r="Z334" s="30"/>
      <c r="AA334" s="6"/>
      <c r="AB334" s="28"/>
      <c r="AC334" s="28"/>
      <c r="AD334" s="28"/>
      <c r="AE334" s="7"/>
      <c r="AF334" s="28"/>
      <c r="AG334" s="28"/>
      <c r="AH334" s="28"/>
      <c r="AI334" s="28"/>
      <c r="AJ334" s="28"/>
      <c r="AK334" s="28"/>
      <c r="AL334" s="28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ht="10.15" customHeight="1" x14ac:dyDescent="0.25">
      <c r="A335" s="44">
        <f>1+A331</f>
        <v>84</v>
      </c>
      <c r="B335" s="50"/>
      <c r="C335" s="57"/>
      <c r="D335" s="57"/>
      <c r="E335" s="34" t="str">
        <f>+AQ335</f>
        <v/>
      </c>
      <c r="F335" s="60"/>
      <c r="G335" s="34" t="str">
        <f>+AV335</f>
        <v>000100</v>
      </c>
      <c r="H335" s="35">
        <f>+AK335</f>
        <v>0</v>
      </c>
      <c r="I335" s="35">
        <f>+ROUND(AD335,2)</f>
        <v>0</v>
      </c>
      <c r="J335" s="57"/>
      <c r="K335" s="36">
        <f>+AE335</f>
        <v>0</v>
      </c>
      <c r="L335" s="35">
        <f>+AJ335</f>
        <v>0</v>
      </c>
      <c r="M335" s="37" t="s">
        <v>37</v>
      </c>
      <c r="N335" s="68"/>
      <c r="O335" s="57"/>
      <c r="P335" s="38" t="e">
        <f>+VLOOKUP(C335,Hoja1!$A$4:$C$57,3,FALSE)</f>
        <v>#N/A</v>
      </c>
      <c r="Q335" s="37" t="s">
        <v>38</v>
      </c>
      <c r="R335" s="68"/>
      <c r="S335" s="35" t="str">
        <f>(RIGHT(O335,7))</f>
        <v/>
      </c>
      <c r="T335" s="68"/>
      <c r="U335" s="37" t="s">
        <v>39</v>
      </c>
      <c r="V335" s="37" t="s">
        <v>40</v>
      </c>
      <c r="W335" s="35">
        <f>+AI335</f>
        <v>0</v>
      </c>
      <c r="X335" s="35">
        <f>+AJ335</f>
        <v>0</v>
      </c>
      <c r="Y335" s="33" t="s">
        <v>41</v>
      </c>
      <c r="Z335" s="39">
        <f>+F335</f>
        <v>0</v>
      </c>
      <c r="AA335" s="40"/>
      <c r="AB335" s="65"/>
      <c r="AC335" s="35">
        <v>0</v>
      </c>
      <c r="AD335" s="35">
        <f t="shared" ref="AD335" si="332">+AB335+AC335</f>
        <v>0</v>
      </c>
      <c r="AE335" s="67"/>
      <c r="AF335" s="35">
        <f>+AB335*AE335</f>
        <v>0</v>
      </c>
      <c r="AG335" s="35">
        <f>+AC335*AE335</f>
        <v>0</v>
      </c>
      <c r="AH335" s="35">
        <f>+AD335*AE335</f>
        <v>0</v>
      </c>
      <c r="AI335" s="35">
        <f t="shared" ref="AI335" si="333">+ROUND(AF335,2)</f>
        <v>0</v>
      </c>
      <c r="AJ335" s="35">
        <f t="shared" ref="AJ335" si="334">+ROUND(AG335,2)</f>
        <v>0</v>
      </c>
      <c r="AK335" s="35">
        <f t="shared" ref="AK335" si="335">+ROUND(AH335,2)</f>
        <v>0</v>
      </c>
      <c r="AL335" s="35">
        <f>+AI335+AJ335-AK335</f>
        <v>0</v>
      </c>
      <c r="AM335" s="63"/>
      <c r="AN335" s="35" t="str">
        <f>+LEFT(AM335,2)</f>
        <v/>
      </c>
      <c r="AO335" s="35" t="str">
        <f>+MID(AM335,4,2)</f>
        <v/>
      </c>
      <c r="AP335" s="35" t="str">
        <f>+RIGHT(AM335,2)</f>
        <v/>
      </c>
      <c r="AQ335" s="35" t="str">
        <f>+CONCATENATE(AN335,AO335,AP335)</f>
        <v/>
      </c>
      <c r="AR335" s="41">
        <f>AM335+_xlfn.XLOOKUP(C335,Hoja1!A:A,Hoja1!B:B)</f>
        <v>0</v>
      </c>
      <c r="AS335" s="42">
        <f>+DAY(AR335)</f>
        <v>0</v>
      </c>
      <c r="AT335" s="35">
        <f>+MONTH(AR335)</f>
        <v>1</v>
      </c>
      <c r="AU335" s="35">
        <f>+YEAR(AR335)</f>
        <v>1900</v>
      </c>
      <c r="AV335" s="35" t="str">
        <f>+CONCATENATE(TEXT(AS335,"00"),TEXT(AT335,"00"),RIGHT(AU335,2))</f>
        <v>000100</v>
      </c>
    </row>
    <row r="336" spans="1:48" s="31" customFormat="1" ht="10.15" hidden="1" customHeight="1" x14ac:dyDescent="0.25">
      <c r="A336" s="27"/>
      <c r="B336" s="27"/>
      <c r="C336" s="1"/>
      <c r="D336" s="1"/>
      <c r="E336" s="1"/>
      <c r="F336" s="1"/>
      <c r="G336" s="1"/>
      <c r="H336" s="28"/>
      <c r="I336" s="28"/>
      <c r="J336" s="1"/>
      <c r="K336" s="29"/>
      <c r="L336" s="28"/>
      <c r="M336" s="1"/>
      <c r="N336" s="1"/>
      <c r="O336" s="1"/>
      <c r="P336" s="1"/>
      <c r="Q336" s="1"/>
      <c r="R336" s="1"/>
      <c r="S336" s="28"/>
      <c r="T336" s="1"/>
      <c r="U336" s="1"/>
      <c r="V336" s="1"/>
      <c r="W336" s="28"/>
      <c r="X336" s="28"/>
      <c r="Y336" s="1"/>
      <c r="Z336" s="30"/>
      <c r="AA336" s="6"/>
      <c r="AB336" s="28"/>
      <c r="AC336" s="28"/>
      <c r="AD336" s="28"/>
      <c r="AE336" s="7"/>
      <c r="AF336" s="28"/>
      <c r="AG336" s="28"/>
      <c r="AH336" s="28"/>
      <c r="AI336" s="28"/>
      <c r="AJ336" s="28"/>
      <c r="AK336" s="28"/>
      <c r="AL336" s="28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s="31" customFormat="1" ht="10.15" hidden="1" customHeight="1" x14ac:dyDescent="0.25">
      <c r="A337" s="27"/>
      <c r="B337" s="27"/>
      <c r="C337" s="1"/>
      <c r="D337" s="1"/>
      <c r="E337" s="1"/>
      <c r="F337" s="1"/>
      <c r="G337" s="1"/>
      <c r="H337" s="28"/>
      <c r="I337" s="28"/>
      <c r="J337" s="1"/>
      <c r="K337" s="29"/>
      <c r="L337" s="28"/>
      <c r="M337" s="1"/>
      <c r="N337" s="1"/>
      <c r="O337" s="1"/>
      <c r="P337" s="1"/>
      <c r="Q337" s="1"/>
      <c r="R337" s="1"/>
      <c r="S337" s="28"/>
      <c r="T337" s="1"/>
      <c r="U337" s="1"/>
      <c r="V337" s="1"/>
      <c r="W337" s="28"/>
      <c r="X337" s="28"/>
      <c r="Y337" s="1"/>
      <c r="Z337" s="30"/>
      <c r="AA337" s="6"/>
      <c r="AB337" s="28"/>
      <c r="AC337" s="28"/>
      <c r="AD337" s="28"/>
      <c r="AE337" s="7"/>
      <c r="AF337" s="28"/>
      <c r="AG337" s="28"/>
      <c r="AH337" s="28"/>
      <c r="AI337" s="28"/>
      <c r="AJ337" s="28"/>
      <c r="AK337" s="28"/>
      <c r="AL337" s="28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s="31" customFormat="1" ht="10.15" hidden="1" customHeight="1" x14ac:dyDescent="0.25">
      <c r="A338" s="27"/>
      <c r="B338" s="27"/>
      <c r="C338" s="1"/>
      <c r="D338" s="1"/>
      <c r="E338" s="1"/>
      <c r="F338" s="1"/>
      <c r="G338" s="1"/>
      <c r="H338" s="28"/>
      <c r="I338" s="28"/>
      <c r="J338" s="1"/>
      <c r="K338" s="29"/>
      <c r="L338" s="28"/>
      <c r="M338" s="1"/>
      <c r="N338" s="1"/>
      <c r="O338" s="1"/>
      <c r="P338" s="1"/>
      <c r="Q338" s="1"/>
      <c r="R338" s="1"/>
      <c r="S338" s="28"/>
      <c r="T338" s="1"/>
      <c r="U338" s="1"/>
      <c r="V338" s="1"/>
      <c r="W338" s="28"/>
      <c r="X338" s="28"/>
      <c r="Y338" s="1"/>
      <c r="Z338" s="30"/>
      <c r="AA338" s="6"/>
      <c r="AB338" s="28"/>
      <c r="AC338" s="28"/>
      <c r="AD338" s="28"/>
      <c r="AE338" s="7"/>
      <c r="AF338" s="28"/>
      <c r="AG338" s="28"/>
      <c r="AH338" s="28"/>
      <c r="AI338" s="28"/>
      <c r="AJ338" s="28"/>
      <c r="AK338" s="28"/>
      <c r="AL338" s="28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ht="10.15" customHeight="1" x14ac:dyDescent="0.25">
      <c r="A339" s="44">
        <f>1+A335</f>
        <v>85</v>
      </c>
      <c r="B339" s="50"/>
      <c r="C339" s="57"/>
      <c r="D339" s="57"/>
      <c r="E339" s="34" t="str">
        <f>+AQ339</f>
        <v/>
      </c>
      <c r="F339" s="60"/>
      <c r="G339" s="34" t="str">
        <f>+AV339</f>
        <v>000100</v>
      </c>
      <c r="H339" s="35">
        <f>+AK339</f>
        <v>0</v>
      </c>
      <c r="I339" s="35">
        <f>+ROUND(AD339,2)</f>
        <v>0</v>
      </c>
      <c r="J339" s="57"/>
      <c r="K339" s="36">
        <f>+AE339</f>
        <v>0</v>
      </c>
      <c r="L339" s="35">
        <f>+AJ339</f>
        <v>0</v>
      </c>
      <c r="M339" s="37" t="s">
        <v>37</v>
      </c>
      <c r="N339" s="68"/>
      <c r="O339" s="57"/>
      <c r="P339" s="38" t="e">
        <f>+VLOOKUP(C339,Hoja1!$A$4:$C$57,3,FALSE)</f>
        <v>#N/A</v>
      </c>
      <c r="Q339" s="37" t="s">
        <v>38</v>
      </c>
      <c r="R339" s="68"/>
      <c r="S339" s="35" t="str">
        <f>(RIGHT(O339,7))</f>
        <v/>
      </c>
      <c r="T339" s="68"/>
      <c r="U339" s="37" t="s">
        <v>39</v>
      </c>
      <c r="V339" s="37" t="s">
        <v>40</v>
      </c>
      <c r="W339" s="35">
        <f>+AI339</f>
        <v>0</v>
      </c>
      <c r="X339" s="35">
        <f>+AJ339</f>
        <v>0</v>
      </c>
      <c r="Y339" s="33" t="s">
        <v>41</v>
      </c>
      <c r="Z339" s="39">
        <f>+F339</f>
        <v>0</v>
      </c>
      <c r="AA339" s="40"/>
      <c r="AB339" s="65"/>
      <c r="AC339" s="35">
        <v>0</v>
      </c>
      <c r="AD339" s="35">
        <f t="shared" ref="AD339" si="336">+AB339+AC339</f>
        <v>0</v>
      </c>
      <c r="AE339" s="67"/>
      <c r="AF339" s="35">
        <f>+AB339*AE339</f>
        <v>0</v>
      </c>
      <c r="AG339" s="35">
        <f>+AC339*AE339</f>
        <v>0</v>
      </c>
      <c r="AH339" s="35">
        <f>+AD339*AE339</f>
        <v>0</v>
      </c>
      <c r="AI339" s="35">
        <f t="shared" ref="AI339" si="337">+ROUND(AF339,2)</f>
        <v>0</v>
      </c>
      <c r="AJ339" s="35">
        <f t="shared" ref="AJ339" si="338">+ROUND(AG339,2)</f>
        <v>0</v>
      </c>
      <c r="AK339" s="35">
        <f t="shared" ref="AK339" si="339">+ROUND(AH339,2)</f>
        <v>0</v>
      </c>
      <c r="AL339" s="35">
        <f>+AI339+AJ339-AK339</f>
        <v>0</v>
      </c>
      <c r="AM339" s="62"/>
      <c r="AN339" s="35" t="str">
        <f>+LEFT(AM339,2)</f>
        <v/>
      </c>
      <c r="AO339" s="35" t="str">
        <f>+MID(AM339,4,2)</f>
        <v/>
      </c>
      <c r="AP339" s="35" t="str">
        <f>+RIGHT(AM339,2)</f>
        <v/>
      </c>
      <c r="AQ339" s="35" t="str">
        <f>+CONCATENATE(AN339,AO339,AP339)</f>
        <v/>
      </c>
      <c r="AR339" s="41">
        <f>AM339+_xlfn.XLOOKUP(C339,Hoja1!A:A,Hoja1!B:B)</f>
        <v>0</v>
      </c>
      <c r="AS339" s="42">
        <f>+DAY(AR339)</f>
        <v>0</v>
      </c>
      <c r="AT339" s="35">
        <f>+MONTH(AR339)</f>
        <v>1</v>
      </c>
      <c r="AU339" s="35">
        <f>+YEAR(AR339)</f>
        <v>1900</v>
      </c>
      <c r="AV339" s="35" t="str">
        <f>+CONCATENATE(TEXT(AS339,"00"),TEXT(AT339,"00"),RIGHT(AU339,2))</f>
        <v>000100</v>
      </c>
    </row>
    <row r="340" spans="1:48" s="31" customFormat="1" ht="10.15" hidden="1" customHeight="1" x14ac:dyDescent="0.25">
      <c r="A340" s="27"/>
      <c r="B340" s="27"/>
      <c r="C340" s="1"/>
      <c r="D340" s="1"/>
      <c r="E340" s="1"/>
      <c r="F340" s="1"/>
      <c r="G340" s="1"/>
      <c r="H340" s="28"/>
      <c r="I340" s="28"/>
      <c r="J340" s="1"/>
      <c r="K340" s="29"/>
      <c r="L340" s="28"/>
      <c r="M340" s="1"/>
      <c r="N340" s="1"/>
      <c r="O340" s="1"/>
      <c r="P340" s="1"/>
      <c r="Q340" s="1"/>
      <c r="R340" s="1"/>
      <c r="S340" s="28"/>
      <c r="T340" s="1"/>
      <c r="U340" s="1"/>
      <c r="V340" s="1"/>
      <c r="W340" s="28"/>
      <c r="X340" s="28"/>
      <c r="Y340" s="1"/>
      <c r="Z340" s="30"/>
      <c r="AA340" s="6"/>
      <c r="AB340" s="28"/>
      <c r="AC340" s="28"/>
      <c r="AD340" s="28"/>
      <c r="AE340" s="7"/>
      <c r="AF340" s="28"/>
      <c r="AG340" s="28"/>
      <c r="AH340" s="28"/>
      <c r="AI340" s="28"/>
      <c r="AJ340" s="28"/>
      <c r="AK340" s="28"/>
      <c r="AL340" s="28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s="31" customFormat="1" ht="10.15" hidden="1" customHeight="1" x14ac:dyDescent="0.25">
      <c r="A341" s="27"/>
      <c r="B341" s="27"/>
      <c r="C341" s="1"/>
      <c r="D341" s="1"/>
      <c r="E341" s="1"/>
      <c r="F341" s="1"/>
      <c r="G341" s="1"/>
      <c r="H341" s="28"/>
      <c r="I341" s="28"/>
      <c r="J341" s="1"/>
      <c r="K341" s="29"/>
      <c r="L341" s="28"/>
      <c r="M341" s="1"/>
      <c r="N341" s="1"/>
      <c r="O341" s="1"/>
      <c r="P341" s="1"/>
      <c r="Q341" s="1"/>
      <c r="R341" s="1"/>
      <c r="S341" s="28"/>
      <c r="T341" s="1"/>
      <c r="U341" s="1"/>
      <c r="V341" s="1"/>
      <c r="W341" s="28"/>
      <c r="X341" s="28"/>
      <c r="Y341" s="1"/>
      <c r="Z341" s="30"/>
      <c r="AA341" s="6"/>
      <c r="AB341" s="28"/>
      <c r="AC341" s="28"/>
      <c r="AD341" s="28"/>
      <c r="AE341" s="7"/>
      <c r="AF341" s="28"/>
      <c r="AG341" s="28"/>
      <c r="AH341" s="28"/>
      <c r="AI341" s="28"/>
      <c r="AJ341" s="28"/>
      <c r="AK341" s="28"/>
      <c r="AL341" s="28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s="31" customFormat="1" ht="10.15" hidden="1" customHeight="1" x14ac:dyDescent="0.25">
      <c r="A342" s="27"/>
      <c r="B342" s="27"/>
      <c r="C342" s="1"/>
      <c r="D342" s="1"/>
      <c r="E342" s="1"/>
      <c r="F342" s="1"/>
      <c r="G342" s="1"/>
      <c r="H342" s="28"/>
      <c r="I342" s="28"/>
      <c r="J342" s="1"/>
      <c r="K342" s="29"/>
      <c r="L342" s="28"/>
      <c r="M342" s="1"/>
      <c r="N342" s="1"/>
      <c r="O342" s="1"/>
      <c r="P342" s="1"/>
      <c r="Q342" s="1"/>
      <c r="R342" s="1"/>
      <c r="S342" s="28"/>
      <c r="T342" s="1"/>
      <c r="U342" s="1"/>
      <c r="V342" s="1"/>
      <c r="W342" s="28"/>
      <c r="X342" s="28"/>
      <c r="Y342" s="1"/>
      <c r="Z342" s="30"/>
      <c r="AA342" s="6"/>
      <c r="AB342" s="28"/>
      <c r="AC342" s="28"/>
      <c r="AD342" s="28"/>
      <c r="AE342" s="7"/>
      <c r="AF342" s="28"/>
      <c r="AG342" s="28"/>
      <c r="AH342" s="28"/>
      <c r="AI342" s="28"/>
      <c r="AJ342" s="28"/>
      <c r="AK342" s="28"/>
      <c r="AL342" s="28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ht="10.15" customHeight="1" x14ac:dyDescent="0.25">
      <c r="A343" s="44">
        <f>1+A339</f>
        <v>86</v>
      </c>
      <c r="B343" s="38"/>
      <c r="C343" s="57"/>
      <c r="D343" s="57"/>
      <c r="E343" s="34" t="str">
        <f>+AQ343</f>
        <v/>
      </c>
      <c r="F343" s="60"/>
      <c r="G343" s="34" t="str">
        <f>+AV343</f>
        <v>000100</v>
      </c>
      <c r="H343" s="35">
        <f>+AK343</f>
        <v>0</v>
      </c>
      <c r="I343" s="35">
        <f>+ROUND(AD343,2)</f>
        <v>0</v>
      </c>
      <c r="J343" s="57"/>
      <c r="K343" s="36">
        <f>+AE343</f>
        <v>0</v>
      </c>
      <c r="L343" s="35">
        <f>+AJ343</f>
        <v>0</v>
      </c>
      <c r="M343" s="37" t="s">
        <v>37</v>
      </c>
      <c r="N343" s="68"/>
      <c r="O343" s="57"/>
      <c r="P343" s="38" t="e">
        <f>+VLOOKUP(C343,Hoja1!$A$4:$C$57,3,FALSE)</f>
        <v>#N/A</v>
      </c>
      <c r="Q343" s="37" t="s">
        <v>38</v>
      </c>
      <c r="R343" s="68"/>
      <c r="S343" s="35" t="str">
        <f>(RIGHT(O343,7))</f>
        <v/>
      </c>
      <c r="T343" s="68"/>
      <c r="U343" s="37" t="s">
        <v>39</v>
      </c>
      <c r="V343" s="37" t="s">
        <v>40</v>
      </c>
      <c r="W343" s="35">
        <f>+AI343</f>
        <v>0</v>
      </c>
      <c r="X343" s="35">
        <f>+AJ343</f>
        <v>0</v>
      </c>
      <c r="Y343" s="33" t="s">
        <v>41</v>
      </c>
      <c r="Z343" s="39">
        <f>+F343</f>
        <v>0</v>
      </c>
      <c r="AA343" s="40"/>
      <c r="AB343" s="65"/>
      <c r="AC343" s="35">
        <v>0</v>
      </c>
      <c r="AD343" s="35">
        <f t="shared" ref="AD343" si="340">+AB343+AC343</f>
        <v>0</v>
      </c>
      <c r="AE343" s="67"/>
      <c r="AF343" s="35">
        <f>+AB343*AE343</f>
        <v>0</v>
      </c>
      <c r="AG343" s="35">
        <f>+AC343*AE343</f>
        <v>0</v>
      </c>
      <c r="AH343" s="35">
        <f>+AD343*AE343</f>
        <v>0</v>
      </c>
      <c r="AI343" s="35">
        <f t="shared" ref="AI343" si="341">+ROUND(AF343,2)</f>
        <v>0</v>
      </c>
      <c r="AJ343" s="35">
        <f t="shared" ref="AJ343" si="342">+ROUND(AG343,2)</f>
        <v>0</v>
      </c>
      <c r="AK343" s="35">
        <f t="shared" ref="AK343" si="343">+ROUND(AH343,2)</f>
        <v>0</v>
      </c>
      <c r="AL343" s="35">
        <f>+AI343+AJ343-AK343</f>
        <v>0</v>
      </c>
      <c r="AM343" s="62"/>
      <c r="AN343" s="35" t="str">
        <f>+LEFT(AM343,2)</f>
        <v/>
      </c>
      <c r="AO343" s="35" t="str">
        <f>+MID(AM343,4,2)</f>
        <v/>
      </c>
      <c r="AP343" s="35" t="str">
        <f>+RIGHT(AM343,2)</f>
        <v/>
      </c>
      <c r="AQ343" s="35" t="str">
        <f>+CONCATENATE(AN343,AO343,AP343)</f>
        <v/>
      </c>
      <c r="AR343" s="41">
        <f>AM343+_xlfn.XLOOKUP(C343,Hoja1!A:A,Hoja1!B:B)</f>
        <v>0</v>
      </c>
      <c r="AS343" s="42">
        <f>+DAY(AR343)</f>
        <v>0</v>
      </c>
      <c r="AT343" s="35">
        <f>+MONTH(AR343)</f>
        <v>1</v>
      </c>
      <c r="AU343" s="35">
        <f>+YEAR(AR343)</f>
        <v>1900</v>
      </c>
      <c r="AV343" s="35" t="str">
        <f>+CONCATENATE(TEXT(AS343,"00"),TEXT(AT343,"00"),RIGHT(AU343,2))</f>
        <v>000100</v>
      </c>
    </row>
    <row r="344" spans="1:48" s="31" customFormat="1" ht="10.15" hidden="1" customHeight="1" x14ac:dyDescent="0.25">
      <c r="A344" s="27"/>
      <c r="B344" s="27"/>
      <c r="C344" s="1"/>
      <c r="D344" s="1"/>
      <c r="E344" s="1"/>
      <c r="F344" s="1"/>
      <c r="G344" s="1"/>
      <c r="H344" s="28"/>
      <c r="I344" s="28"/>
      <c r="J344" s="1"/>
      <c r="K344" s="29"/>
      <c r="L344" s="28"/>
      <c r="M344" s="1"/>
      <c r="N344" s="1"/>
      <c r="O344" s="1"/>
      <c r="P344" s="1"/>
      <c r="Q344" s="1"/>
      <c r="R344" s="1"/>
      <c r="S344" s="28"/>
      <c r="T344" s="1"/>
      <c r="U344" s="1"/>
      <c r="V344" s="1"/>
      <c r="W344" s="28"/>
      <c r="X344" s="28"/>
      <c r="Y344" s="1"/>
      <c r="Z344" s="30"/>
      <c r="AA344" s="6"/>
      <c r="AB344" s="28"/>
      <c r="AC344" s="28"/>
      <c r="AD344" s="28"/>
      <c r="AE344" s="7"/>
      <c r="AF344" s="28"/>
      <c r="AG344" s="28"/>
      <c r="AH344" s="28"/>
      <c r="AI344" s="28"/>
      <c r="AJ344" s="28"/>
      <c r="AK344" s="28"/>
      <c r="AL344" s="28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s="31" customFormat="1" ht="10.15" hidden="1" customHeight="1" x14ac:dyDescent="0.25">
      <c r="A345" s="27"/>
      <c r="B345" s="27"/>
      <c r="C345" s="1"/>
      <c r="D345" s="1"/>
      <c r="E345" s="1"/>
      <c r="F345" s="1"/>
      <c r="G345" s="1"/>
      <c r="H345" s="28"/>
      <c r="I345" s="28"/>
      <c r="J345" s="1"/>
      <c r="K345" s="29"/>
      <c r="L345" s="28"/>
      <c r="M345" s="1"/>
      <c r="N345" s="1"/>
      <c r="O345" s="1"/>
      <c r="P345" s="1"/>
      <c r="Q345" s="1"/>
      <c r="R345" s="1"/>
      <c r="S345" s="28"/>
      <c r="T345" s="1"/>
      <c r="U345" s="1"/>
      <c r="V345" s="1"/>
      <c r="W345" s="28"/>
      <c r="X345" s="28"/>
      <c r="Y345" s="1"/>
      <c r="Z345" s="30"/>
      <c r="AA345" s="6"/>
      <c r="AB345" s="28"/>
      <c r="AC345" s="28"/>
      <c r="AD345" s="28"/>
      <c r="AE345" s="7"/>
      <c r="AF345" s="28"/>
      <c r="AG345" s="28"/>
      <c r="AH345" s="28"/>
      <c r="AI345" s="28"/>
      <c r="AJ345" s="28"/>
      <c r="AK345" s="28"/>
      <c r="AL345" s="28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s="31" customFormat="1" ht="10.15" hidden="1" customHeight="1" x14ac:dyDescent="0.25">
      <c r="A346" s="27"/>
      <c r="B346" s="27"/>
      <c r="C346" s="1"/>
      <c r="D346" s="1"/>
      <c r="E346" s="1"/>
      <c r="F346" s="1"/>
      <c r="G346" s="1"/>
      <c r="H346" s="28"/>
      <c r="I346" s="28"/>
      <c r="J346" s="1"/>
      <c r="K346" s="29"/>
      <c r="L346" s="28"/>
      <c r="M346" s="1"/>
      <c r="N346" s="1"/>
      <c r="O346" s="1"/>
      <c r="P346" s="1"/>
      <c r="Q346" s="1"/>
      <c r="R346" s="1"/>
      <c r="S346" s="28"/>
      <c r="T346" s="1"/>
      <c r="U346" s="1"/>
      <c r="V346" s="1"/>
      <c r="W346" s="28"/>
      <c r="X346" s="28"/>
      <c r="Y346" s="1"/>
      <c r="Z346" s="30"/>
      <c r="AA346" s="6"/>
      <c r="AB346" s="28"/>
      <c r="AC346" s="28"/>
      <c r="AD346" s="28"/>
      <c r="AE346" s="7"/>
      <c r="AF346" s="28"/>
      <c r="AG346" s="28"/>
      <c r="AH346" s="28"/>
      <c r="AI346" s="28"/>
      <c r="AJ346" s="28"/>
      <c r="AK346" s="28"/>
      <c r="AL346" s="28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ht="10.15" customHeight="1" x14ac:dyDescent="0.25">
      <c r="A347" s="44">
        <f>1+A343</f>
        <v>87</v>
      </c>
      <c r="B347" s="38"/>
      <c r="C347" s="57"/>
      <c r="D347" s="57"/>
      <c r="E347" s="34" t="str">
        <f>+AQ347</f>
        <v/>
      </c>
      <c r="F347" s="60"/>
      <c r="G347" s="34" t="str">
        <f>+AV347</f>
        <v>000100</v>
      </c>
      <c r="H347" s="35">
        <f>+AK347</f>
        <v>0</v>
      </c>
      <c r="I347" s="35">
        <f>+ROUND(AD347,2)</f>
        <v>0</v>
      </c>
      <c r="J347" s="57"/>
      <c r="K347" s="36">
        <f>+AE347</f>
        <v>0</v>
      </c>
      <c r="L347" s="35">
        <f>+AJ347</f>
        <v>0</v>
      </c>
      <c r="M347" s="37" t="s">
        <v>37</v>
      </c>
      <c r="N347" s="68"/>
      <c r="O347" s="57"/>
      <c r="P347" s="38" t="e">
        <f>+VLOOKUP(C347,Hoja1!$A$4:$C$57,3,FALSE)</f>
        <v>#N/A</v>
      </c>
      <c r="Q347" s="37" t="s">
        <v>38</v>
      </c>
      <c r="R347" s="68"/>
      <c r="S347" s="35" t="str">
        <f>(RIGHT(O347,7))</f>
        <v/>
      </c>
      <c r="T347" s="68"/>
      <c r="U347" s="37" t="s">
        <v>39</v>
      </c>
      <c r="V347" s="37" t="s">
        <v>40</v>
      </c>
      <c r="W347" s="35">
        <f>+AI347</f>
        <v>0</v>
      </c>
      <c r="X347" s="35">
        <f>+AJ347</f>
        <v>0</v>
      </c>
      <c r="Y347" s="33" t="s">
        <v>41</v>
      </c>
      <c r="Z347" s="39">
        <f>+F347</f>
        <v>0</v>
      </c>
      <c r="AA347" s="40"/>
      <c r="AB347" s="65"/>
      <c r="AC347" s="35">
        <v>0</v>
      </c>
      <c r="AD347" s="35">
        <f t="shared" ref="AD347" si="344">+AB347+AC347</f>
        <v>0</v>
      </c>
      <c r="AE347" s="67"/>
      <c r="AF347" s="35">
        <f>+AB347*AE347</f>
        <v>0</v>
      </c>
      <c r="AG347" s="35">
        <f>+AC347*AE347</f>
        <v>0</v>
      </c>
      <c r="AH347" s="35">
        <f>+AD347*AE347</f>
        <v>0</v>
      </c>
      <c r="AI347" s="35">
        <f t="shared" ref="AI347" si="345">+ROUND(AF347,2)</f>
        <v>0</v>
      </c>
      <c r="AJ347" s="35">
        <f t="shared" ref="AJ347" si="346">+ROUND(AG347,2)</f>
        <v>0</v>
      </c>
      <c r="AK347" s="35">
        <f t="shared" ref="AK347" si="347">+ROUND(AH347,2)</f>
        <v>0</v>
      </c>
      <c r="AL347" s="35">
        <f>+AI347+AJ347-AK347</f>
        <v>0</v>
      </c>
      <c r="AM347" s="63"/>
      <c r="AN347" s="35" t="str">
        <f>+LEFT(AM347,2)</f>
        <v/>
      </c>
      <c r="AO347" s="35" t="str">
        <f>+MID(AM347,4,2)</f>
        <v/>
      </c>
      <c r="AP347" s="35" t="str">
        <f>+RIGHT(AM347,2)</f>
        <v/>
      </c>
      <c r="AQ347" s="35" t="str">
        <f>+CONCATENATE(AN347,AO347,AP347)</f>
        <v/>
      </c>
      <c r="AR347" s="41">
        <f>AM347+_xlfn.XLOOKUP(C347,Hoja1!A:A,Hoja1!B:B)</f>
        <v>0</v>
      </c>
      <c r="AS347" s="42">
        <f>+DAY(AR347)</f>
        <v>0</v>
      </c>
      <c r="AT347" s="35">
        <f>+MONTH(AR347)</f>
        <v>1</v>
      </c>
      <c r="AU347" s="35">
        <f>+YEAR(AR347)</f>
        <v>1900</v>
      </c>
      <c r="AV347" s="35" t="str">
        <f>+CONCATENATE(TEXT(AS347,"00"),TEXT(AT347,"00"),RIGHT(AU347,2))</f>
        <v>000100</v>
      </c>
    </row>
    <row r="348" spans="1:48" s="31" customFormat="1" ht="10.15" hidden="1" customHeight="1" x14ac:dyDescent="0.25">
      <c r="A348" s="27"/>
      <c r="B348" s="27"/>
      <c r="C348" s="1"/>
      <c r="D348" s="1"/>
      <c r="E348" s="1"/>
      <c r="F348" s="1"/>
      <c r="G348" s="1"/>
      <c r="H348" s="28"/>
      <c r="I348" s="28"/>
      <c r="J348" s="1"/>
      <c r="K348" s="29"/>
      <c r="L348" s="28"/>
      <c r="M348" s="1"/>
      <c r="N348" s="1"/>
      <c r="O348" s="1"/>
      <c r="P348" s="1"/>
      <c r="Q348" s="1"/>
      <c r="R348" s="1"/>
      <c r="S348" s="28"/>
      <c r="T348" s="1"/>
      <c r="U348" s="1"/>
      <c r="V348" s="1"/>
      <c r="W348" s="28"/>
      <c r="X348" s="28"/>
      <c r="Y348" s="1"/>
      <c r="Z348" s="30"/>
      <c r="AA348" s="6"/>
      <c r="AB348" s="28"/>
      <c r="AC348" s="28"/>
      <c r="AD348" s="28"/>
      <c r="AE348" s="7"/>
      <c r="AF348" s="28"/>
      <c r="AG348" s="28"/>
      <c r="AH348" s="28"/>
      <c r="AI348" s="28"/>
      <c r="AJ348" s="28"/>
      <c r="AK348" s="28"/>
      <c r="AL348" s="28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s="31" customFormat="1" ht="10.15" hidden="1" customHeight="1" x14ac:dyDescent="0.25">
      <c r="A349" s="27"/>
      <c r="B349" s="27"/>
      <c r="C349" s="1"/>
      <c r="D349" s="1"/>
      <c r="E349" s="1"/>
      <c r="F349" s="1"/>
      <c r="G349" s="1"/>
      <c r="H349" s="28"/>
      <c r="I349" s="28"/>
      <c r="J349" s="1"/>
      <c r="K349" s="29"/>
      <c r="L349" s="28"/>
      <c r="M349" s="1"/>
      <c r="N349" s="1"/>
      <c r="O349" s="1"/>
      <c r="P349" s="1"/>
      <c r="Q349" s="1"/>
      <c r="R349" s="1"/>
      <c r="S349" s="28"/>
      <c r="T349" s="1"/>
      <c r="U349" s="1"/>
      <c r="V349" s="1"/>
      <c r="W349" s="28"/>
      <c r="X349" s="28"/>
      <c r="Y349" s="1"/>
      <c r="Z349" s="30"/>
      <c r="AA349" s="6"/>
      <c r="AB349" s="28"/>
      <c r="AC349" s="28"/>
      <c r="AD349" s="28"/>
      <c r="AE349" s="7"/>
      <c r="AF349" s="28"/>
      <c r="AG349" s="28"/>
      <c r="AH349" s="28"/>
      <c r="AI349" s="28"/>
      <c r="AJ349" s="28"/>
      <c r="AK349" s="28"/>
      <c r="AL349" s="28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s="31" customFormat="1" ht="10.15" hidden="1" customHeight="1" x14ac:dyDescent="0.25">
      <c r="A350" s="27"/>
      <c r="B350" s="27"/>
      <c r="C350" s="1"/>
      <c r="D350" s="1"/>
      <c r="E350" s="1"/>
      <c r="F350" s="1"/>
      <c r="G350" s="1"/>
      <c r="H350" s="28"/>
      <c r="I350" s="28"/>
      <c r="J350" s="1"/>
      <c r="K350" s="29"/>
      <c r="L350" s="28"/>
      <c r="M350" s="1"/>
      <c r="N350" s="1"/>
      <c r="O350" s="1"/>
      <c r="P350" s="1"/>
      <c r="Q350" s="1"/>
      <c r="R350" s="1"/>
      <c r="S350" s="28"/>
      <c r="T350" s="1"/>
      <c r="U350" s="1"/>
      <c r="V350" s="1"/>
      <c r="W350" s="28"/>
      <c r="X350" s="28"/>
      <c r="Y350" s="1"/>
      <c r="Z350" s="30"/>
      <c r="AA350" s="6"/>
      <c r="AB350" s="28"/>
      <c r="AC350" s="28"/>
      <c r="AD350" s="28"/>
      <c r="AE350" s="7"/>
      <c r="AF350" s="28"/>
      <c r="AG350" s="28"/>
      <c r="AH350" s="28"/>
      <c r="AI350" s="28"/>
      <c r="AJ350" s="28"/>
      <c r="AK350" s="28"/>
      <c r="AL350" s="28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ht="10.15" customHeight="1" x14ac:dyDescent="0.25">
      <c r="A351" s="44">
        <f>1+A347</f>
        <v>88</v>
      </c>
      <c r="B351" s="50"/>
      <c r="C351" s="57"/>
      <c r="D351" s="57"/>
      <c r="E351" s="34" t="str">
        <f>+AQ351</f>
        <v/>
      </c>
      <c r="F351" s="60"/>
      <c r="G351" s="34" t="str">
        <f>+AV351</f>
        <v>000100</v>
      </c>
      <c r="H351" s="35">
        <f>+AK351</f>
        <v>0</v>
      </c>
      <c r="I351" s="35">
        <f>+ROUND(AD351,2)</f>
        <v>0</v>
      </c>
      <c r="J351" s="57"/>
      <c r="K351" s="36">
        <f>+AE351</f>
        <v>0</v>
      </c>
      <c r="L351" s="35">
        <f>+AJ351</f>
        <v>0</v>
      </c>
      <c r="M351" s="37" t="s">
        <v>37</v>
      </c>
      <c r="N351" s="68"/>
      <c r="O351" s="57"/>
      <c r="P351" s="38" t="e">
        <f>+VLOOKUP(C351,Hoja1!$A$4:$C$57,3,FALSE)</f>
        <v>#N/A</v>
      </c>
      <c r="Q351" s="37" t="s">
        <v>38</v>
      </c>
      <c r="R351" s="68"/>
      <c r="S351" s="35" t="str">
        <f>(RIGHT(O351,7))</f>
        <v/>
      </c>
      <c r="T351" s="68"/>
      <c r="U351" s="37" t="s">
        <v>39</v>
      </c>
      <c r="V351" s="37" t="s">
        <v>40</v>
      </c>
      <c r="W351" s="35">
        <f>+AI351</f>
        <v>0</v>
      </c>
      <c r="X351" s="35">
        <f>+AJ351</f>
        <v>0</v>
      </c>
      <c r="Y351" s="33" t="s">
        <v>41</v>
      </c>
      <c r="Z351" s="39">
        <f>+F351</f>
        <v>0</v>
      </c>
      <c r="AA351" s="40"/>
      <c r="AB351" s="65"/>
      <c r="AC351" s="35">
        <v>0</v>
      </c>
      <c r="AD351" s="35">
        <f t="shared" ref="AD351" si="348">+AB351+AC351</f>
        <v>0</v>
      </c>
      <c r="AE351" s="67"/>
      <c r="AF351" s="35">
        <f>+AB351*AE351</f>
        <v>0</v>
      </c>
      <c r="AG351" s="35">
        <f>+AC351*AE351</f>
        <v>0</v>
      </c>
      <c r="AH351" s="35">
        <f>+AD351*AE351</f>
        <v>0</v>
      </c>
      <c r="AI351" s="35">
        <f t="shared" ref="AI351" si="349">+ROUND(AF351,2)</f>
        <v>0</v>
      </c>
      <c r="AJ351" s="35">
        <f t="shared" ref="AJ351" si="350">+ROUND(AG351,2)</f>
        <v>0</v>
      </c>
      <c r="AK351" s="35">
        <f t="shared" ref="AK351" si="351">+ROUND(AH351,2)</f>
        <v>0</v>
      </c>
      <c r="AL351" s="35">
        <f>+AI351+AJ351-AK351</f>
        <v>0</v>
      </c>
      <c r="AM351" s="62"/>
      <c r="AN351" s="35" t="str">
        <f>+LEFT(AM351,2)</f>
        <v/>
      </c>
      <c r="AO351" s="35" t="str">
        <f>+MID(AM351,4,2)</f>
        <v/>
      </c>
      <c r="AP351" s="35" t="str">
        <f>+RIGHT(AM351,2)</f>
        <v/>
      </c>
      <c r="AQ351" s="35" t="str">
        <f>+CONCATENATE(AN351,AO351,AP351)</f>
        <v/>
      </c>
      <c r="AR351" s="41">
        <f>AM351+_xlfn.XLOOKUP(C351,Hoja1!A:A,Hoja1!B:B)</f>
        <v>0</v>
      </c>
      <c r="AS351" s="42">
        <f>+DAY(AR351)</f>
        <v>0</v>
      </c>
      <c r="AT351" s="35">
        <f>+MONTH(AR351)</f>
        <v>1</v>
      </c>
      <c r="AU351" s="35">
        <f>+YEAR(AR351)</f>
        <v>1900</v>
      </c>
      <c r="AV351" s="35" t="str">
        <f>+CONCATENATE(TEXT(AS351,"00"),TEXT(AT351,"00"),RIGHT(AU351,2))</f>
        <v>000100</v>
      </c>
    </row>
    <row r="352" spans="1:48" s="31" customFormat="1" ht="10.15" hidden="1" customHeight="1" x14ac:dyDescent="0.25">
      <c r="A352" s="27"/>
      <c r="B352" s="27"/>
      <c r="C352" s="1"/>
      <c r="D352" s="1"/>
      <c r="E352" s="1"/>
      <c r="F352" s="1"/>
      <c r="G352" s="1"/>
      <c r="H352" s="28"/>
      <c r="I352" s="28"/>
      <c r="J352" s="1"/>
      <c r="K352" s="29"/>
      <c r="L352" s="28"/>
      <c r="M352" s="1"/>
      <c r="N352" s="1"/>
      <c r="O352" s="1"/>
      <c r="P352" s="1"/>
      <c r="Q352" s="1"/>
      <c r="R352" s="1"/>
      <c r="S352" s="28"/>
      <c r="T352" s="1"/>
      <c r="U352" s="1"/>
      <c r="V352" s="1"/>
      <c r="W352" s="28"/>
      <c r="X352" s="28"/>
      <c r="Y352" s="1"/>
      <c r="Z352" s="30"/>
      <c r="AA352" s="6"/>
      <c r="AB352" s="28"/>
      <c r="AC352" s="28"/>
      <c r="AD352" s="28"/>
      <c r="AE352" s="7"/>
      <c r="AF352" s="28"/>
      <c r="AG352" s="28"/>
      <c r="AH352" s="28"/>
      <c r="AI352" s="28"/>
      <c r="AJ352" s="28"/>
      <c r="AK352" s="28"/>
      <c r="AL352" s="28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s="31" customFormat="1" ht="10.15" hidden="1" customHeight="1" x14ac:dyDescent="0.25">
      <c r="A353" s="27"/>
      <c r="B353" s="27"/>
      <c r="C353" s="1"/>
      <c r="D353" s="1"/>
      <c r="E353" s="1"/>
      <c r="F353" s="1"/>
      <c r="G353" s="1"/>
      <c r="H353" s="28"/>
      <c r="I353" s="28"/>
      <c r="J353" s="1"/>
      <c r="K353" s="29"/>
      <c r="L353" s="28"/>
      <c r="M353" s="1"/>
      <c r="N353" s="1"/>
      <c r="O353" s="1"/>
      <c r="P353" s="1"/>
      <c r="Q353" s="1"/>
      <c r="R353" s="1"/>
      <c r="S353" s="28"/>
      <c r="T353" s="1"/>
      <c r="U353" s="1"/>
      <c r="V353" s="1"/>
      <c r="W353" s="28"/>
      <c r="X353" s="28"/>
      <c r="Y353" s="1"/>
      <c r="Z353" s="30"/>
      <c r="AA353" s="6"/>
      <c r="AB353" s="28"/>
      <c r="AC353" s="28"/>
      <c r="AD353" s="28"/>
      <c r="AE353" s="7"/>
      <c r="AF353" s="28"/>
      <c r="AG353" s="28"/>
      <c r="AH353" s="28"/>
      <c r="AI353" s="28"/>
      <c r="AJ353" s="28"/>
      <c r="AK353" s="28"/>
      <c r="AL353" s="28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s="31" customFormat="1" ht="10.15" hidden="1" customHeight="1" x14ac:dyDescent="0.25">
      <c r="A354" s="27"/>
      <c r="B354" s="27"/>
      <c r="C354" s="1"/>
      <c r="D354" s="1"/>
      <c r="E354" s="1"/>
      <c r="F354" s="1"/>
      <c r="G354" s="1"/>
      <c r="H354" s="28"/>
      <c r="I354" s="28"/>
      <c r="J354" s="1"/>
      <c r="K354" s="29"/>
      <c r="L354" s="28"/>
      <c r="M354" s="1"/>
      <c r="N354" s="1"/>
      <c r="O354" s="1"/>
      <c r="P354" s="1"/>
      <c r="Q354" s="1"/>
      <c r="R354" s="1"/>
      <c r="S354" s="28"/>
      <c r="T354" s="1"/>
      <c r="U354" s="1"/>
      <c r="V354" s="1"/>
      <c r="W354" s="28"/>
      <c r="X354" s="28"/>
      <c r="Y354" s="1"/>
      <c r="Z354" s="30"/>
      <c r="AA354" s="6"/>
      <c r="AB354" s="28"/>
      <c r="AC354" s="28"/>
      <c r="AD354" s="28"/>
      <c r="AE354" s="7"/>
      <c r="AF354" s="28"/>
      <c r="AG354" s="28"/>
      <c r="AH354" s="28"/>
      <c r="AI354" s="28"/>
      <c r="AJ354" s="28"/>
      <c r="AK354" s="28"/>
      <c r="AL354" s="28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ht="10.15" customHeight="1" x14ac:dyDescent="0.25">
      <c r="A355" s="44">
        <f>1+A351</f>
        <v>89</v>
      </c>
      <c r="B355" s="50"/>
      <c r="C355" s="57"/>
      <c r="D355" s="57"/>
      <c r="E355" s="34" t="str">
        <f>+AQ355</f>
        <v/>
      </c>
      <c r="F355" s="60"/>
      <c r="G355" s="34" t="str">
        <f>+AV355</f>
        <v>000100</v>
      </c>
      <c r="H355" s="35">
        <f>+AK355</f>
        <v>0</v>
      </c>
      <c r="I355" s="35">
        <f>+ROUND(AD355,2)</f>
        <v>0</v>
      </c>
      <c r="J355" s="57"/>
      <c r="K355" s="36">
        <f>+AE355</f>
        <v>0</v>
      </c>
      <c r="L355" s="35">
        <f>+AJ355</f>
        <v>0</v>
      </c>
      <c r="M355" s="37" t="s">
        <v>37</v>
      </c>
      <c r="N355" s="68"/>
      <c r="O355" s="57"/>
      <c r="P355" s="38" t="e">
        <f>+VLOOKUP(C355,Hoja1!$A$4:$C$57,3,FALSE)</f>
        <v>#N/A</v>
      </c>
      <c r="Q355" s="37" t="s">
        <v>38</v>
      </c>
      <c r="R355" s="68"/>
      <c r="S355" s="35" t="str">
        <f>(RIGHT(O355,7))</f>
        <v/>
      </c>
      <c r="T355" s="68"/>
      <c r="U355" s="37" t="s">
        <v>39</v>
      </c>
      <c r="V355" s="37" t="s">
        <v>40</v>
      </c>
      <c r="W355" s="35">
        <f>+AI355</f>
        <v>0</v>
      </c>
      <c r="X355" s="35">
        <f>+AJ355</f>
        <v>0</v>
      </c>
      <c r="Y355" s="33" t="s">
        <v>41</v>
      </c>
      <c r="Z355" s="39">
        <f>+F355</f>
        <v>0</v>
      </c>
      <c r="AA355" s="40"/>
      <c r="AB355" s="65"/>
      <c r="AC355" s="35">
        <v>0</v>
      </c>
      <c r="AD355" s="35">
        <f t="shared" ref="AD355" si="352">+AB355+AC355</f>
        <v>0</v>
      </c>
      <c r="AE355" s="67"/>
      <c r="AF355" s="35">
        <f>+AB355*AE355</f>
        <v>0</v>
      </c>
      <c r="AG355" s="35">
        <f>+AC355*AE355</f>
        <v>0</v>
      </c>
      <c r="AH355" s="35">
        <f>+AD355*AE355</f>
        <v>0</v>
      </c>
      <c r="AI355" s="35">
        <f t="shared" ref="AI355" si="353">+ROUND(AF355,2)</f>
        <v>0</v>
      </c>
      <c r="AJ355" s="35">
        <f t="shared" ref="AJ355" si="354">+ROUND(AG355,2)</f>
        <v>0</v>
      </c>
      <c r="AK355" s="35">
        <f t="shared" ref="AK355" si="355">+ROUND(AH355,2)</f>
        <v>0</v>
      </c>
      <c r="AL355" s="35">
        <f>+AI355+AJ355-AK355</f>
        <v>0</v>
      </c>
      <c r="AM355" s="63"/>
      <c r="AN355" s="35" t="str">
        <f>+LEFT(AM355,2)</f>
        <v/>
      </c>
      <c r="AO355" s="35" t="str">
        <f>+MID(AM355,4,2)</f>
        <v/>
      </c>
      <c r="AP355" s="35" t="str">
        <f>+RIGHT(AM355,2)</f>
        <v/>
      </c>
      <c r="AQ355" s="35" t="str">
        <f>+CONCATENATE(AN355,AO355,AP355)</f>
        <v/>
      </c>
      <c r="AR355" s="41">
        <f>AM355+_xlfn.XLOOKUP(C355,Hoja1!A:A,Hoja1!B:B)</f>
        <v>0</v>
      </c>
      <c r="AS355" s="42">
        <f>+DAY(AR355)</f>
        <v>0</v>
      </c>
      <c r="AT355" s="35">
        <f>+MONTH(AR355)</f>
        <v>1</v>
      </c>
      <c r="AU355" s="35">
        <f>+YEAR(AR355)</f>
        <v>1900</v>
      </c>
      <c r="AV355" s="35" t="str">
        <f>+CONCATENATE(TEXT(AS355,"00"),TEXT(AT355,"00"),RIGHT(AU355,2))</f>
        <v>000100</v>
      </c>
    </row>
    <row r="356" spans="1:48" s="31" customFormat="1" ht="10.15" hidden="1" customHeight="1" x14ac:dyDescent="0.25">
      <c r="A356" s="27"/>
      <c r="B356" s="27"/>
      <c r="C356" s="1"/>
      <c r="D356" s="1"/>
      <c r="E356" s="1"/>
      <c r="F356" s="1"/>
      <c r="G356" s="1"/>
      <c r="H356" s="28"/>
      <c r="I356" s="28"/>
      <c r="J356" s="1"/>
      <c r="K356" s="29"/>
      <c r="L356" s="28"/>
      <c r="M356" s="1"/>
      <c r="N356" s="1"/>
      <c r="O356" s="1"/>
      <c r="P356" s="1"/>
      <c r="Q356" s="1"/>
      <c r="R356" s="1"/>
      <c r="S356" s="28"/>
      <c r="T356" s="1"/>
      <c r="U356" s="1"/>
      <c r="V356" s="1"/>
      <c r="W356" s="28"/>
      <c r="X356" s="28"/>
      <c r="Y356" s="1"/>
      <c r="Z356" s="30"/>
      <c r="AA356" s="6"/>
      <c r="AB356" s="28"/>
      <c r="AC356" s="28"/>
      <c r="AD356" s="28"/>
      <c r="AE356" s="7"/>
      <c r="AF356" s="28"/>
      <c r="AG356" s="28"/>
      <c r="AH356" s="28"/>
      <c r="AI356" s="28"/>
      <c r="AJ356" s="28"/>
      <c r="AK356" s="28"/>
      <c r="AL356" s="28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s="31" customFormat="1" ht="10.15" hidden="1" customHeight="1" x14ac:dyDescent="0.25">
      <c r="A357" s="27"/>
      <c r="B357" s="27"/>
      <c r="C357" s="1"/>
      <c r="D357" s="1"/>
      <c r="E357" s="1"/>
      <c r="F357" s="1"/>
      <c r="G357" s="1"/>
      <c r="H357" s="28"/>
      <c r="I357" s="28"/>
      <c r="J357" s="1"/>
      <c r="K357" s="29"/>
      <c r="L357" s="28"/>
      <c r="M357" s="1"/>
      <c r="N357" s="1"/>
      <c r="O357" s="1"/>
      <c r="P357" s="1"/>
      <c r="Q357" s="1"/>
      <c r="R357" s="1"/>
      <c r="S357" s="28"/>
      <c r="T357" s="1"/>
      <c r="U357" s="1"/>
      <c r="V357" s="1"/>
      <c r="W357" s="28"/>
      <c r="X357" s="28"/>
      <c r="Y357" s="1"/>
      <c r="Z357" s="30"/>
      <c r="AA357" s="6"/>
      <c r="AB357" s="28"/>
      <c r="AC357" s="28"/>
      <c r="AD357" s="28"/>
      <c r="AE357" s="7"/>
      <c r="AF357" s="28"/>
      <c r="AG357" s="28"/>
      <c r="AH357" s="28"/>
      <c r="AI357" s="28"/>
      <c r="AJ357" s="28"/>
      <c r="AK357" s="28"/>
      <c r="AL357" s="28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s="31" customFormat="1" ht="10.15" hidden="1" customHeight="1" x14ac:dyDescent="0.25">
      <c r="A358" s="27"/>
      <c r="B358" s="27"/>
      <c r="C358" s="1"/>
      <c r="D358" s="1"/>
      <c r="E358" s="1"/>
      <c r="F358" s="1"/>
      <c r="G358" s="1"/>
      <c r="H358" s="28"/>
      <c r="I358" s="28"/>
      <c r="J358" s="1"/>
      <c r="K358" s="29"/>
      <c r="L358" s="28"/>
      <c r="M358" s="1"/>
      <c r="N358" s="1"/>
      <c r="O358" s="1"/>
      <c r="P358" s="1"/>
      <c r="Q358" s="1"/>
      <c r="R358" s="1"/>
      <c r="S358" s="28"/>
      <c r="T358" s="1"/>
      <c r="U358" s="1"/>
      <c r="V358" s="1"/>
      <c r="W358" s="28"/>
      <c r="X358" s="28"/>
      <c r="Y358" s="1"/>
      <c r="Z358" s="30"/>
      <c r="AA358" s="6"/>
      <c r="AB358" s="28"/>
      <c r="AC358" s="28"/>
      <c r="AD358" s="28"/>
      <c r="AE358" s="7"/>
      <c r="AF358" s="28"/>
      <c r="AG358" s="28"/>
      <c r="AH358" s="28"/>
      <c r="AI358" s="28"/>
      <c r="AJ358" s="28"/>
      <c r="AK358" s="28"/>
      <c r="AL358" s="28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ht="10.15" customHeight="1" x14ac:dyDescent="0.25">
      <c r="A359" s="44">
        <f>1+A355</f>
        <v>90</v>
      </c>
      <c r="B359" s="38"/>
      <c r="C359" s="57"/>
      <c r="D359" s="57"/>
      <c r="E359" s="34" t="str">
        <f>+AQ359</f>
        <v/>
      </c>
      <c r="F359" s="60"/>
      <c r="G359" s="34" t="str">
        <f>+AV359</f>
        <v>000100</v>
      </c>
      <c r="H359" s="35">
        <f>+AK359</f>
        <v>0</v>
      </c>
      <c r="I359" s="35">
        <f>+ROUND(AD359,2)</f>
        <v>0</v>
      </c>
      <c r="J359" s="57"/>
      <c r="K359" s="36">
        <f>+AE359</f>
        <v>0</v>
      </c>
      <c r="L359" s="35">
        <f>+AJ359</f>
        <v>0</v>
      </c>
      <c r="M359" s="37" t="s">
        <v>37</v>
      </c>
      <c r="N359" s="68"/>
      <c r="O359" s="57"/>
      <c r="P359" s="38" t="e">
        <f>+VLOOKUP(C359,Hoja1!$A$4:$C$57,3,FALSE)</f>
        <v>#N/A</v>
      </c>
      <c r="Q359" s="37" t="s">
        <v>38</v>
      </c>
      <c r="R359" s="68"/>
      <c r="S359" s="35" t="str">
        <f>(RIGHT(O359,7))</f>
        <v/>
      </c>
      <c r="T359" s="68"/>
      <c r="U359" s="37" t="s">
        <v>39</v>
      </c>
      <c r="V359" s="37" t="s">
        <v>40</v>
      </c>
      <c r="W359" s="35">
        <f>+AI359</f>
        <v>0</v>
      </c>
      <c r="X359" s="35">
        <f>+AJ359</f>
        <v>0</v>
      </c>
      <c r="Y359" s="33" t="s">
        <v>41</v>
      </c>
      <c r="Z359" s="39">
        <f>+F359</f>
        <v>0</v>
      </c>
      <c r="AA359" s="40"/>
      <c r="AB359" s="65"/>
      <c r="AC359" s="35">
        <v>0</v>
      </c>
      <c r="AD359" s="35">
        <f t="shared" ref="AD359" si="356">+AB359+AC359</f>
        <v>0</v>
      </c>
      <c r="AE359" s="67"/>
      <c r="AF359" s="35">
        <f>+AB359*AE359</f>
        <v>0</v>
      </c>
      <c r="AG359" s="35">
        <f>+AC359*AE359</f>
        <v>0</v>
      </c>
      <c r="AH359" s="35">
        <f>+AD359*AE359</f>
        <v>0</v>
      </c>
      <c r="AI359" s="35">
        <f t="shared" ref="AI359" si="357">+ROUND(AF359,2)</f>
        <v>0</v>
      </c>
      <c r="AJ359" s="35">
        <f t="shared" ref="AJ359" si="358">+ROUND(AG359,2)</f>
        <v>0</v>
      </c>
      <c r="AK359" s="35">
        <f t="shared" ref="AK359" si="359">+ROUND(AH359,2)</f>
        <v>0</v>
      </c>
      <c r="AL359" s="35">
        <f>+AI359+AJ359-AK359</f>
        <v>0</v>
      </c>
      <c r="AM359" s="62"/>
      <c r="AN359" s="35" t="str">
        <f>+LEFT(AM359,2)</f>
        <v/>
      </c>
      <c r="AO359" s="35" t="str">
        <f>+MID(AM359,4,2)</f>
        <v/>
      </c>
      <c r="AP359" s="35" t="str">
        <f>+RIGHT(AM359,2)</f>
        <v/>
      </c>
      <c r="AQ359" s="35" t="str">
        <f>+CONCATENATE(AN359,AO359,AP359)</f>
        <v/>
      </c>
      <c r="AR359" s="41">
        <f>AM359+_xlfn.XLOOKUP(C359,Hoja1!A:A,Hoja1!B:B)</f>
        <v>0</v>
      </c>
      <c r="AS359" s="42">
        <f>+DAY(AR359)</f>
        <v>0</v>
      </c>
      <c r="AT359" s="35">
        <f>+MONTH(AR359)</f>
        <v>1</v>
      </c>
      <c r="AU359" s="35">
        <f>+YEAR(AR359)</f>
        <v>1900</v>
      </c>
      <c r="AV359" s="35" t="str">
        <f>+CONCATENATE(TEXT(AS359,"00"),TEXT(AT359,"00"),RIGHT(AU359,2))</f>
        <v>000100</v>
      </c>
    </row>
    <row r="360" spans="1:48" s="31" customFormat="1" ht="10.15" hidden="1" customHeight="1" x14ac:dyDescent="0.25">
      <c r="A360" s="27"/>
      <c r="B360" s="27"/>
      <c r="C360" s="1"/>
      <c r="D360" s="1"/>
      <c r="E360" s="1"/>
      <c r="F360" s="1"/>
      <c r="G360" s="1"/>
      <c r="H360" s="28"/>
      <c r="I360" s="28"/>
      <c r="J360" s="1"/>
      <c r="K360" s="29"/>
      <c r="L360" s="28"/>
      <c r="M360" s="1"/>
      <c r="N360" s="1"/>
      <c r="O360" s="1"/>
      <c r="P360" s="1"/>
      <c r="Q360" s="1"/>
      <c r="R360" s="1"/>
      <c r="S360" s="28"/>
      <c r="T360" s="1"/>
      <c r="U360" s="1"/>
      <c r="V360" s="1"/>
      <c r="W360" s="28"/>
      <c r="X360" s="28"/>
      <c r="Y360" s="1"/>
      <c r="Z360" s="30"/>
      <c r="AA360" s="6"/>
      <c r="AB360" s="28"/>
      <c r="AC360" s="28"/>
      <c r="AD360" s="28"/>
      <c r="AE360" s="7"/>
      <c r="AF360" s="28"/>
      <c r="AG360" s="28"/>
      <c r="AH360" s="28"/>
      <c r="AI360" s="28"/>
      <c r="AJ360" s="28"/>
      <c r="AK360" s="28"/>
      <c r="AL360" s="28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s="31" customFormat="1" ht="10.15" hidden="1" customHeight="1" x14ac:dyDescent="0.25">
      <c r="A361" s="27"/>
      <c r="B361" s="27"/>
      <c r="C361" s="1"/>
      <c r="D361" s="1"/>
      <c r="E361" s="1"/>
      <c r="F361" s="1"/>
      <c r="G361" s="1"/>
      <c r="H361" s="28"/>
      <c r="I361" s="28"/>
      <c r="J361" s="1"/>
      <c r="K361" s="29"/>
      <c r="L361" s="28"/>
      <c r="M361" s="1"/>
      <c r="N361" s="1"/>
      <c r="O361" s="1"/>
      <c r="P361" s="1"/>
      <c r="Q361" s="1"/>
      <c r="R361" s="1"/>
      <c r="S361" s="28"/>
      <c r="T361" s="1"/>
      <c r="U361" s="1"/>
      <c r="V361" s="1"/>
      <c r="W361" s="28"/>
      <c r="X361" s="28"/>
      <c r="Y361" s="1"/>
      <c r="Z361" s="30"/>
      <c r="AA361" s="6"/>
      <c r="AB361" s="28"/>
      <c r="AC361" s="28"/>
      <c r="AD361" s="28"/>
      <c r="AE361" s="7"/>
      <c r="AF361" s="28"/>
      <c r="AG361" s="28"/>
      <c r="AH361" s="28"/>
      <c r="AI361" s="28"/>
      <c r="AJ361" s="28"/>
      <c r="AK361" s="28"/>
      <c r="AL361" s="28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s="31" customFormat="1" ht="10.15" hidden="1" customHeight="1" x14ac:dyDescent="0.25">
      <c r="A362" s="27"/>
      <c r="B362" s="27"/>
      <c r="C362" s="1"/>
      <c r="D362" s="1"/>
      <c r="E362" s="1"/>
      <c r="F362" s="1"/>
      <c r="G362" s="1"/>
      <c r="H362" s="28"/>
      <c r="I362" s="28"/>
      <c r="J362" s="1"/>
      <c r="K362" s="29"/>
      <c r="L362" s="28"/>
      <c r="M362" s="1"/>
      <c r="N362" s="1"/>
      <c r="O362" s="1"/>
      <c r="P362" s="1"/>
      <c r="Q362" s="1"/>
      <c r="R362" s="1"/>
      <c r="S362" s="28"/>
      <c r="T362" s="1"/>
      <c r="U362" s="1"/>
      <c r="V362" s="1"/>
      <c r="W362" s="28"/>
      <c r="X362" s="28"/>
      <c r="Y362" s="1"/>
      <c r="Z362" s="30"/>
      <c r="AA362" s="6"/>
      <c r="AB362" s="28"/>
      <c r="AC362" s="28"/>
      <c r="AD362" s="28"/>
      <c r="AE362" s="7"/>
      <c r="AF362" s="28"/>
      <c r="AG362" s="28"/>
      <c r="AH362" s="28"/>
      <c r="AI362" s="28"/>
      <c r="AJ362" s="28"/>
      <c r="AK362" s="28"/>
      <c r="AL362" s="28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ht="10.15" customHeight="1" x14ac:dyDescent="0.25">
      <c r="A363" s="44">
        <f>1+A359</f>
        <v>91</v>
      </c>
      <c r="B363" s="38"/>
      <c r="C363" s="57"/>
      <c r="D363" s="57"/>
      <c r="E363" s="34" t="str">
        <f>+AQ363</f>
        <v/>
      </c>
      <c r="F363" s="60"/>
      <c r="G363" s="34" t="str">
        <f>+AV363</f>
        <v>000100</v>
      </c>
      <c r="H363" s="35">
        <f>+AK363</f>
        <v>0</v>
      </c>
      <c r="I363" s="35">
        <f>+ROUND(AD363,2)</f>
        <v>0</v>
      </c>
      <c r="J363" s="57"/>
      <c r="K363" s="36">
        <f>+AE363</f>
        <v>0</v>
      </c>
      <c r="L363" s="35">
        <f>+AJ363</f>
        <v>0</v>
      </c>
      <c r="M363" s="37" t="s">
        <v>37</v>
      </c>
      <c r="N363" s="68"/>
      <c r="O363" s="57"/>
      <c r="P363" s="38" t="e">
        <f>+VLOOKUP(C363,Hoja1!$A$4:$C$57,3,FALSE)</f>
        <v>#N/A</v>
      </c>
      <c r="Q363" s="37" t="s">
        <v>38</v>
      </c>
      <c r="R363" s="68"/>
      <c r="S363" s="35" t="str">
        <f>(RIGHT(O363,7))</f>
        <v/>
      </c>
      <c r="T363" s="68"/>
      <c r="U363" s="37" t="s">
        <v>39</v>
      </c>
      <c r="V363" s="37" t="s">
        <v>40</v>
      </c>
      <c r="W363" s="35">
        <f>+AI363</f>
        <v>0</v>
      </c>
      <c r="X363" s="35">
        <f>+AJ363</f>
        <v>0</v>
      </c>
      <c r="Y363" s="33" t="s">
        <v>41</v>
      </c>
      <c r="Z363" s="39">
        <f>+F363</f>
        <v>0</v>
      </c>
      <c r="AA363" s="40"/>
      <c r="AB363" s="65"/>
      <c r="AC363" s="35">
        <v>0</v>
      </c>
      <c r="AD363" s="35">
        <f t="shared" ref="AD363" si="360">+AB363+AC363</f>
        <v>0</v>
      </c>
      <c r="AE363" s="67"/>
      <c r="AF363" s="35">
        <f>+AB363*AE363</f>
        <v>0</v>
      </c>
      <c r="AG363" s="35">
        <f>+AC363*AE363</f>
        <v>0</v>
      </c>
      <c r="AH363" s="35">
        <f>+AD363*AE363</f>
        <v>0</v>
      </c>
      <c r="AI363" s="35">
        <f t="shared" ref="AI363" si="361">+ROUND(AF363,2)</f>
        <v>0</v>
      </c>
      <c r="AJ363" s="35">
        <f t="shared" ref="AJ363" si="362">+ROUND(AG363,2)</f>
        <v>0</v>
      </c>
      <c r="AK363" s="35">
        <f t="shared" ref="AK363" si="363">+ROUND(AH363,2)</f>
        <v>0</v>
      </c>
      <c r="AL363" s="35">
        <f>+AI363+AJ363-AK363</f>
        <v>0</v>
      </c>
      <c r="AM363" s="63"/>
      <c r="AN363" s="35" t="str">
        <f>+LEFT(AM363,2)</f>
        <v/>
      </c>
      <c r="AO363" s="35" t="str">
        <f>+MID(AM363,4,2)</f>
        <v/>
      </c>
      <c r="AP363" s="35" t="str">
        <f>+RIGHT(AM363,2)</f>
        <v/>
      </c>
      <c r="AQ363" s="35" t="str">
        <f>+CONCATENATE(AN363,AO363,AP363)</f>
        <v/>
      </c>
      <c r="AR363" s="41">
        <f>AM363+_xlfn.XLOOKUP(C363,Hoja1!A:A,Hoja1!B:B)</f>
        <v>0</v>
      </c>
      <c r="AS363" s="42">
        <f>+DAY(AR363)</f>
        <v>0</v>
      </c>
      <c r="AT363" s="35">
        <f>+MONTH(AR363)</f>
        <v>1</v>
      </c>
      <c r="AU363" s="35">
        <f>+YEAR(AR363)</f>
        <v>1900</v>
      </c>
      <c r="AV363" s="35" t="str">
        <f>+CONCATENATE(TEXT(AS363,"00"),TEXT(AT363,"00"),RIGHT(AU363,2))</f>
        <v>000100</v>
      </c>
    </row>
    <row r="364" spans="1:48" s="31" customFormat="1" ht="10.15" hidden="1" customHeight="1" x14ac:dyDescent="0.25">
      <c r="A364" s="27"/>
      <c r="B364" s="27"/>
      <c r="C364" s="1"/>
      <c r="D364" s="1"/>
      <c r="E364" s="1"/>
      <c r="F364" s="1"/>
      <c r="G364" s="1"/>
      <c r="H364" s="28"/>
      <c r="I364" s="28"/>
      <c r="J364" s="1"/>
      <c r="K364" s="29"/>
      <c r="L364" s="28"/>
      <c r="M364" s="1"/>
      <c r="N364" s="1"/>
      <c r="O364" s="1"/>
      <c r="P364" s="1"/>
      <c r="Q364" s="1"/>
      <c r="R364" s="1"/>
      <c r="S364" s="28"/>
      <c r="T364" s="1"/>
      <c r="U364" s="1"/>
      <c r="V364" s="1"/>
      <c r="W364" s="28"/>
      <c r="X364" s="28"/>
      <c r="Y364" s="1"/>
      <c r="Z364" s="30"/>
      <c r="AA364" s="6"/>
      <c r="AB364" s="28"/>
      <c r="AC364" s="28"/>
      <c r="AD364" s="28"/>
      <c r="AE364" s="7"/>
      <c r="AF364" s="28"/>
      <c r="AG364" s="28"/>
      <c r="AH364" s="28"/>
      <c r="AI364" s="28"/>
      <c r="AJ364" s="28"/>
      <c r="AK364" s="28"/>
      <c r="AL364" s="28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s="31" customFormat="1" ht="10.15" hidden="1" customHeight="1" x14ac:dyDescent="0.25">
      <c r="A365" s="27"/>
      <c r="B365" s="27"/>
      <c r="C365" s="1"/>
      <c r="D365" s="1"/>
      <c r="E365" s="1"/>
      <c r="F365" s="1"/>
      <c r="G365" s="1"/>
      <c r="H365" s="28"/>
      <c r="I365" s="28"/>
      <c r="J365" s="1"/>
      <c r="K365" s="29"/>
      <c r="L365" s="28"/>
      <c r="M365" s="1"/>
      <c r="N365" s="1"/>
      <c r="O365" s="1"/>
      <c r="P365" s="1"/>
      <c r="Q365" s="1"/>
      <c r="R365" s="1"/>
      <c r="S365" s="28"/>
      <c r="T365" s="1"/>
      <c r="U365" s="1"/>
      <c r="V365" s="1"/>
      <c r="W365" s="28"/>
      <c r="X365" s="28"/>
      <c r="Y365" s="1"/>
      <c r="Z365" s="30"/>
      <c r="AA365" s="6"/>
      <c r="AB365" s="28"/>
      <c r="AC365" s="28"/>
      <c r="AD365" s="28"/>
      <c r="AE365" s="7"/>
      <c r="AF365" s="28"/>
      <c r="AG365" s="28"/>
      <c r="AH365" s="28"/>
      <c r="AI365" s="28"/>
      <c r="AJ365" s="28"/>
      <c r="AK365" s="28"/>
      <c r="AL365" s="28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s="31" customFormat="1" ht="10.15" hidden="1" customHeight="1" x14ac:dyDescent="0.25">
      <c r="A366" s="27"/>
      <c r="B366" s="27"/>
      <c r="C366" s="1"/>
      <c r="D366" s="1"/>
      <c r="E366" s="1"/>
      <c r="F366" s="1"/>
      <c r="G366" s="1"/>
      <c r="H366" s="28"/>
      <c r="I366" s="28"/>
      <c r="J366" s="1"/>
      <c r="K366" s="29"/>
      <c r="L366" s="28"/>
      <c r="M366" s="1"/>
      <c r="N366" s="1"/>
      <c r="O366" s="1"/>
      <c r="P366" s="1"/>
      <c r="Q366" s="1"/>
      <c r="R366" s="1"/>
      <c r="S366" s="28"/>
      <c r="T366" s="1"/>
      <c r="U366" s="1"/>
      <c r="V366" s="1"/>
      <c r="W366" s="28"/>
      <c r="X366" s="28"/>
      <c r="Y366" s="1"/>
      <c r="Z366" s="30"/>
      <c r="AA366" s="6"/>
      <c r="AB366" s="28"/>
      <c r="AC366" s="28"/>
      <c r="AD366" s="28"/>
      <c r="AE366" s="7"/>
      <c r="AF366" s="28"/>
      <c r="AG366" s="28"/>
      <c r="AH366" s="28"/>
      <c r="AI366" s="28"/>
      <c r="AJ366" s="28"/>
      <c r="AK366" s="28"/>
      <c r="AL366" s="28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ht="10.15" customHeight="1" x14ac:dyDescent="0.25">
      <c r="A367" s="44">
        <f>1+A363</f>
        <v>92</v>
      </c>
      <c r="B367" s="50"/>
      <c r="C367" s="57"/>
      <c r="D367" s="57"/>
      <c r="E367" s="34" t="str">
        <f>+AQ367</f>
        <v/>
      </c>
      <c r="F367" s="60"/>
      <c r="G367" s="34" t="str">
        <f>+AV367</f>
        <v>000100</v>
      </c>
      <c r="H367" s="35">
        <f>+AK367</f>
        <v>0</v>
      </c>
      <c r="I367" s="35">
        <f>+ROUND(AD367,2)</f>
        <v>0</v>
      </c>
      <c r="J367" s="57"/>
      <c r="K367" s="36">
        <f>+AE367</f>
        <v>0</v>
      </c>
      <c r="L367" s="35">
        <f>+AJ367</f>
        <v>0</v>
      </c>
      <c r="M367" s="37" t="s">
        <v>37</v>
      </c>
      <c r="N367" s="68"/>
      <c r="O367" s="57"/>
      <c r="P367" s="38" t="e">
        <f>+VLOOKUP(C367,Hoja1!$A$4:$C$57,3,FALSE)</f>
        <v>#N/A</v>
      </c>
      <c r="Q367" s="37" t="s">
        <v>38</v>
      </c>
      <c r="R367" s="68"/>
      <c r="S367" s="35" t="str">
        <f>(RIGHT(O367,7))</f>
        <v/>
      </c>
      <c r="T367" s="68"/>
      <c r="U367" s="37" t="s">
        <v>39</v>
      </c>
      <c r="V367" s="37" t="s">
        <v>40</v>
      </c>
      <c r="W367" s="35">
        <f>+AI367</f>
        <v>0</v>
      </c>
      <c r="X367" s="35">
        <f>+AJ367</f>
        <v>0</v>
      </c>
      <c r="Y367" s="33" t="s">
        <v>41</v>
      </c>
      <c r="Z367" s="39">
        <f>+F367</f>
        <v>0</v>
      </c>
      <c r="AA367" s="40"/>
      <c r="AB367" s="65"/>
      <c r="AC367" s="35">
        <v>0</v>
      </c>
      <c r="AD367" s="35">
        <f t="shared" ref="AD367" si="364">+AB367+AC367</f>
        <v>0</v>
      </c>
      <c r="AE367" s="67"/>
      <c r="AF367" s="35">
        <f>+AB367*AE367</f>
        <v>0</v>
      </c>
      <c r="AG367" s="35">
        <f>+AC367*AE367</f>
        <v>0</v>
      </c>
      <c r="AH367" s="35">
        <f>+AD367*AE367</f>
        <v>0</v>
      </c>
      <c r="AI367" s="35">
        <f t="shared" ref="AI367" si="365">+ROUND(AF367,2)</f>
        <v>0</v>
      </c>
      <c r="AJ367" s="35">
        <f t="shared" ref="AJ367" si="366">+ROUND(AG367,2)</f>
        <v>0</v>
      </c>
      <c r="AK367" s="35">
        <f t="shared" ref="AK367" si="367">+ROUND(AH367,2)</f>
        <v>0</v>
      </c>
      <c r="AL367" s="35">
        <f>+AI367+AJ367-AK367</f>
        <v>0</v>
      </c>
      <c r="AM367" s="63"/>
      <c r="AN367" s="35" t="str">
        <f>+LEFT(AM367,2)</f>
        <v/>
      </c>
      <c r="AO367" s="35" t="str">
        <f>+MID(AM367,4,2)</f>
        <v/>
      </c>
      <c r="AP367" s="35" t="str">
        <f>+RIGHT(AM367,2)</f>
        <v/>
      </c>
      <c r="AQ367" s="35" t="str">
        <f>+CONCATENATE(AN367,AO367,AP367)</f>
        <v/>
      </c>
      <c r="AR367" s="41">
        <f>AM367+_xlfn.XLOOKUP(C367,Hoja1!A:A,Hoja1!B:B)</f>
        <v>0</v>
      </c>
      <c r="AS367" s="42">
        <f>+DAY(AR367)</f>
        <v>0</v>
      </c>
      <c r="AT367" s="35">
        <f>+MONTH(AR367)</f>
        <v>1</v>
      </c>
      <c r="AU367" s="35">
        <f>+YEAR(AR367)</f>
        <v>1900</v>
      </c>
      <c r="AV367" s="35" t="str">
        <f>+CONCATENATE(TEXT(AS367,"00"),TEXT(AT367,"00"),RIGHT(AU367,2))</f>
        <v>000100</v>
      </c>
    </row>
    <row r="368" spans="1:48" s="31" customFormat="1" ht="10.15" hidden="1" customHeight="1" x14ac:dyDescent="0.25">
      <c r="A368" s="27"/>
      <c r="B368" s="27"/>
      <c r="C368" s="1"/>
      <c r="D368" s="1"/>
      <c r="E368" s="1"/>
      <c r="F368" s="1"/>
      <c r="G368" s="1"/>
      <c r="H368" s="28"/>
      <c r="I368" s="28"/>
      <c r="J368" s="1"/>
      <c r="K368" s="29"/>
      <c r="L368" s="28"/>
      <c r="M368" s="1"/>
      <c r="N368" s="1"/>
      <c r="O368" s="1"/>
      <c r="P368" s="1"/>
      <c r="Q368" s="1"/>
      <c r="R368" s="1"/>
      <c r="S368" s="28"/>
      <c r="T368" s="1"/>
      <c r="U368" s="1"/>
      <c r="V368" s="1"/>
      <c r="W368" s="28"/>
      <c r="X368" s="28"/>
      <c r="Y368" s="1"/>
      <c r="Z368" s="30"/>
      <c r="AA368" s="6"/>
      <c r="AB368" s="28"/>
      <c r="AC368" s="28"/>
      <c r="AD368" s="28"/>
      <c r="AE368" s="7"/>
      <c r="AF368" s="28"/>
      <c r="AG368" s="28"/>
      <c r="AH368" s="28"/>
      <c r="AI368" s="28"/>
      <c r="AJ368" s="28"/>
      <c r="AK368" s="28"/>
      <c r="AL368" s="28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s="31" customFormat="1" ht="10.15" hidden="1" customHeight="1" x14ac:dyDescent="0.25">
      <c r="A369" s="27"/>
      <c r="B369" s="27"/>
      <c r="C369" s="1"/>
      <c r="D369" s="1"/>
      <c r="E369" s="1"/>
      <c r="F369" s="1"/>
      <c r="G369" s="1"/>
      <c r="H369" s="28"/>
      <c r="I369" s="28"/>
      <c r="J369" s="1"/>
      <c r="K369" s="29"/>
      <c r="L369" s="28"/>
      <c r="M369" s="1"/>
      <c r="N369" s="1"/>
      <c r="O369" s="1"/>
      <c r="P369" s="1"/>
      <c r="Q369" s="1"/>
      <c r="R369" s="1"/>
      <c r="S369" s="28"/>
      <c r="T369" s="1"/>
      <c r="U369" s="1"/>
      <c r="V369" s="1"/>
      <c r="W369" s="28"/>
      <c r="X369" s="28"/>
      <c r="Y369" s="1"/>
      <c r="Z369" s="30"/>
      <c r="AA369" s="6"/>
      <c r="AB369" s="28"/>
      <c r="AC369" s="28"/>
      <c r="AD369" s="28"/>
      <c r="AE369" s="7"/>
      <c r="AF369" s="28"/>
      <c r="AG369" s="28"/>
      <c r="AH369" s="28"/>
      <c r="AI369" s="28"/>
      <c r="AJ369" s="28"/>
      <c r="AK369" s="28"/>
      <c r="AL369" s="28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s="31" customFormat="1" ht="10.15" hidden="1" customHeight="1" x14ac:dyDescent="0.25">
      <c r="A370" s="27"/>
      <c r="B370" s="27"/>
      <c r="C370" s="1"/>
      <c r="D370" s="1"/>
      <c r="E370" s="1"/>
      <c r="F370" s="1"/>
      <c r="G370" s="1"/>
      <c r="H370" s="28"/>
      <c r="I370" s="28"/>
      <c r="J370" s="1"/>
      <c r="K370" s="29"/>
      <c r="L370" s="28"/>
      <c r="M370" s="1"/>
      <c r="N370" s="1"/>
      <c r="O370" s="1"/>
      <c r="P370" s="1"/>
      <c r="Q370" s="1"/>
      <c r="R370" s="1"/>
      <c r="S370" s="28"/>
      <c r="T370" s="1"/>
      <c r="U370" s="1"/>
      <c r="V370" s="1"/>
      <c r="W370" s="28"/>
      <c r="X370" s="28"/>
      <c r="Y370" s="1"/>
      <c r="Z370" s="30"/>
      <c r="AA370" s="6"/>
      <c r="AB370" s="28"/>
      <c r="AC370" s="28"/>
      <c r="AD370" s="28"/>
      <c r="AE370" s="7"/>
      <c r="AF370" s="28"/>
      <c r="AG370" s="28"/>
      <c r="AH370" s="28"/>
      <c r="AI370" s="28"/>
      <c r="AJ370" s="28"/>
      <c r="AK370" s="28"/>
      <c r="AL370" s="28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ht="10.15" customHeight="1" x14ac:dyDescent="0.25">
      <c r="A371" s="44">
        <f>1+A367</f>
        <v>93</v>
      </c>
      <c r="B371" s="50"/>
      <c r="C371" s="57"/>
      <c r="D371" s="57"/>
      <c r="E371" s="34" t="str">
        <f>+AQ371</f>
        <v/>
      </c>
      <c r="F371" s="60"/>
      <c r="G371" s="34" t="str">
        <f>+AV371</f>
        <v>000100</v>
      </c>
      <c r="H371" s="35">
        <f>+AK371</f>
        <v>0</v>
      </c>
      <c r="I371" s="35">
        <f>+ROUND(AD371,2)</f>
        <v>0</v>
      </c>
      <c r="J371" s="57"/>
      <c r="K371" s="36">
        <f>+AE371</f>
        <v>0</v>
      </c>
      <c r="L371" s="35">
        <f>+AJ371</f>
        <v>0</v>
      </c>
      <c r="M371" s="37" t="s">
        <v>37</v>
      </c>
      <c r="N371" s="68"/>
      <c r="O371" s="57"/>
      <c r="P371" s="38" t="e">
        <f>+VLOOKUP(C371,Hoja1!$A$4:$C$57,3,FALSE)</f>
        <v>#N/A</v>
      </c>
      <c r="Q371" s="37" t="s">
        <v>38</v>
      </c>
      <c r="R371" s="68"/>
      <c r="S371" s="35" t="str">
        <f>(RIGHT(O371,7))</f>
        <v/>
      </c>
      <c r="T371" s="68"/>
      <c r="U371" s="37" t="s">
        <v>39</v>
      </c>
      <c r="V371" s="37" t="s">
        <v>40</v>
      </c>
      <c r="W371" s="35">
        <f>+AI371</f>
        <v>0</v>
      </c>
      <c r="X371" s="35">
        <f>+AJ371</f>
        <v>0</v>
      </c>
      <c r="Y371" s="33" t="s">
        <v>41</v>
      </c>
      <c r="Z371" s="39">
        <f>+F371</f>
        <v>0</v>
      </c>
      <c r="AA371" s="40"/>
      <c r="AB371" s="65"/>
      <c r="AC371" s="35">
        <v>0</v>
      </c>
      <c r="AD371" s="35">
        <f t="shared" ref="AD371" si="368">+AB371+AC371</f>
        <v>0</v>
      </c>
      <c r="AE371" s="67"/>
      <c r="AF371" s="35">
        <f>+AB371*AE371</f>
        <v>0</v>
      </c>
      <c r="AG371" s="35">
        <f>+AC371*AE371</f>
        <v>0</v>
      </c>
      <c r="AH371" s="35">
        <f>+AD371*AE371</f>
        <v>0</v>
      </c>
      <c r="AI371" s="35">
        <f t="shared" ref="AI371" si="369">+ROUND(AF371,2)</f>
        <v>0</v>
      </c>
      <c r="AJ371" s="35">
        <f t="shared" ref="AJ371" si="370">+ROUND(AG371,2)</f>
        <v>0</v>
      </c>
      <c r="AK371" s="35">
        <f t="shared" ref="AK371" si="371">+ROUND(AH371,2)</f>
        <v>0</v>
      </c>
      <c r="AL371" s="35">
        <f>+AI371+AJ371-AK371</f>
        <v>0</v>
      </c>
      <c r="AM371" s="63"/>
      <c r="AN371" s="35" t="str">
        <f>+LEFT(AM371,2)</f>
        <v/>
      </c>
      <c r="AO371" s="35" t="str">
        <f>+MID(AM371,4,2)</f>
        <v/>
      </c>
      <c r="AP371" s="35" t="str">
        <f>+RIGHT(AM371,2)</f>
        <v/>
      </c>
      <c r="AQ371" s="35" t="str">
        <f>+CONCATENATE(AN371,AO371,AP371)</f>
        <v/>
      </c>
      <c r="AR371" s="41">
        <f>AM371+_xlfn.XLOOKUP(C371,Hoja1!A:A,Hoja1!B:B)</f>
        <v>0</v>
      </c>
      <c r="AS371" s="42">
        <f>+DAY(AR371)</f>
        <v>0</v>
      </c>
      <c r="AT371" s="35">
        <f>+MONTH(AR371)</f>
        <v>1</v>
      </c>
      <c r="AU371" s="35">
        <f>+YEAR(AR371)</f>
        <v>1900</v>
      </c>
      <c r="AV371" s="35" t="str">
        <f>+CONCATENATE(TEXT(AS371,"00"),TEXT(AT371,"00"),RIGHT(AU371,2))</f>
        <v>000100</v>
      </c>
    </row>
    <row r="372" spans="1:48" s="31" customFormat="1" ht="10.15" hidden="1" customHeight="1" x14ac:dyDescent="0.25">
      <c r="A372" s="27"/>
      <c r="B372" s="27"/>
      <c r="C372" s="1"/>
      <c r="D372" s="1"/>
      <c r="E372" s="1"/>
      <c r="F372" s="1"/>
      <c r="G372" s="1"/>
      <c r="H372" s="28"/>
      <c r="I372" s="28"/>
      <c r="J372" s="1"/>
      <c r="K372" s="29"/>
      <c r="L372" s="28"/>
      <c r="M372" s="1"/>
      <c r="N372" s="1"/>
      <c r="O372" s="1"/>
      <c r="P372" s="1"/>
      <c r="Q372" s="1"/>
      <c r="R372" s="1"/>
      <c r="S372" s="28"/>
      <c r="T372" s="1"/>
      <c r="U372" s="1"/>
      <c r="V372" s="1"/>
      <c r="W372" s="28"/>
      <c r="X372" s="28"/>
      <c r="Y372" s="1"/>
      <c r="Z372" s="30"/>
      <c r="AA372" s="6"/>
      <c r="AB372" s="28"/>
      <c r="AC372" s="28"/>
      <c r="AD372" s="28"/>
      <c r="AE372" s="7"/>
      <c r="AF372" s="28"/>
      <c r="AG372" s="28"/>
      <c r="AH372" s="28"/>
      <c r="AI372" s="28"/>
      <c r="AJ372" s="28"/>
      <c r="AK372" s="28"/>
      <c r="AL372" s="28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s="31" customFormat="1" ht="10.15" hidden="1" customHeight="1" x14ac:dyDescent="0.25">
      <c r="A373" s="27"/>
      <c r="B373" s="27"/>
      <c r="C373" s="1"/>
      <c r="D373" s="1"/>
      <c r="E373" s="1"/>
      <c r="F373" s="1"/>
      <c r="G373" s="1"/>
      <c r="H373" s="28"/>
      <c r="I373" s="28"/>
      <c r="J373" s="1"/>
      <c r="K373" s="29"/>
      <c r="L373" s="28"/>
      <c r="M373" s="1"/>
      <c r="N373" s="1"/>
      <c r="O373" s="1"/>
      <c r="P373" s="1"/>
      <c r="Q373" s="1"/>
      <c r="R373" s="1"/>
      <c r="S373" s="28"/>
      <c r="T373" s="1"/>
      <c r="U373" s="1"/>
      <c r="V373" s="1"/>
      <c r="W373" s="28"/>
      <c r="X373" s="28"/>
      <c r="Y373" s="1"/>
      <c r="Z373" s="30"/>
      <c r="AA373" s="6"/>
      <c r="AB373" s="28"/>
      <c r="AC373" s="28"/>
      <c r="AD373" s="28"/>
      <c r="AE373" s="7"/>
      <c r="AF373" s="28"/>
      <c r="AG373" s="28"/>
      <c r="AH373" s="28"/>
      <c r="AI373" s="28"/>
      <c r="AJ373" s="28"/>
      <c r="AK373" s="28"/>
      <c r="AL373" s="28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s="31" customFormat="1" ht="10.15" hidden="1" customHeight="1" x14ac:dyDescent="0.25">
      <c r="A374" s="27"/>
      <c r="B374" s="27"/>
      <c r="C374" s="1"/>
      <c r="D374" s="1"/>
      <c r="E374" s="1"/>
      <c r="F374" s="1"/>
      <c r="G374" s="1"/>
      <c r="H374" s="28"/>
      <c r="I374" s="28"/>
      <c r="J374" s="1"/>
      <c r="K374" s="29"/>
      <c r="L374" s="28"/>
      <c r="M374" s="1"/>
      <c r="N374" s="1"/>
      <c r="O374" s="1"/>
      <c r="P374" s="1"/>
      <c r="Q374" s="1"/>
      <c r="R374" s="1"/>
      <c r="S374" s="28"/>
      <c r="T374" s="1"/>
      <c r="U374" s="1"/>
      <c r="V374" s="1"/>
      <c r="W374" s="28"/>
      <c r="X374" s="28"/>
      <c r="Y374" s="1"/>
      <c r="Z374" s="30"/>
      <c r="AA374" s="6"/>
      <c r="AB374" s="28"/>
      <c r="AC374" s="28"/>
      <c r="AD374" s="28"/>
      <c r="AE374" s="7"/>
      <c r="AF374" s="28"/>
      <c r="AG374" s="28"/>
      <c r="AH374" s="28"/>
      <c r="AI374" s="28"/>
      <c r="AJ374" s="28"/>
      <c r="AK374" s="28"/>
      <c r="AL374" s="28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ht="10.15" customHeight="1" x14ac:dyDescent="0.25">
      <c r="A375" s="44">
        <f>1+A371</f>
        <v>94</v>
      </c>
      <c r="B375" s="38"/>
      <c r="C375" s="57"/>
      <c r="D375" s="57"/>
      <c r="E375" s="34" t="str">
        <f>+AQ375</f>
        <v/>
      </c>
      <c r="F375" s="60"/>
      <c r="G375" s="34" t="str">
        <f>+AV375</f>
        <v>000100</v>
      </c>
      <c r="H375" s="35">
        <f>+AK375</f>
        <v>0</v>
      </c>
      <c r="I375" s="35">
        <f>+ROUND(AD375,2)</f>
        <v>0</v>
      </c>
      <c r="J375" s="57"/>
      <c r="K375" s="36">
        <f>+AE375</f>
        <v>0</v>
      </c>
      <c r="L375" s="35">
        <f>+AJ375</f>
        <v>0</v>
      </c>
      <c r="M375" s="37" t="s">
        <v>37</v>
      </c>
      <c r="N375" s="68"/>
      <c r="O375" s="57"/>
      <c r="P375" s="38" t="e">
        <f>+VLOOKUP(C375,Hoja1!$A$4:$C$57,3,FALSE)</f>
        <v>#N/A</v>
      </c>
      <c r="Q375" s="37" t="s">
        <v>38</v>
      </c>
      <c r="R375" s="68"/>
      <c r="S375" s="35" t="str">
        <f>(RIGHT(O375,7))</f>
        <v/>
      </c>
      <c r="T375" s="68"/>
      <c r="U375" s="37" t="s">
        <v>39</v>
      </c>
      <c r="V375" s="37" t="s">
        <v>40</v>
      </c>
      <c r="W375" s="35">
        <f>+AI375</f>
        <v>0</v>
      </c>
      <c r="X375" s="35">
        <f>+AJ375</f>
        <v>0</v>
      </c>
      <c r="Y375" s="33" t="s">
        <v>41</v>
      </c>
      <c r="Z375" s="39">
        <f>+F375</f>
        <v>0</v>
      </c>
      <c r="AA375" s="40"/>
      <c r="AB375" s="65"/>
      <c r="AC375" s="35">
        <v>0</v>
      </c>
      <c r="AD375" s="35">
        <f t="shared" ref="AD375" si="372">+AB375+AC375</f>
        <v>0</v>
      </c>
      <c r="AE375" s="67"/>
      <c r="AF375" s="35">
        <f>+AB375*AE375</f>
        <v>0</v>
      </c>
      <c r="AG375" s="35">
        <f>+AC375*AE375</f>
        <v>0</v>
      </c>
      <c r="AH375" s="35">
        <f>+AD375*AE375</f>
        <v>0</v>
      </c>
      <c r="AI375" s="35">
        <f t="shared" ref="AI375" si="373">+ROUND(AF375,2)</f>
        <v>0</v>
      </c>
      <c r="AJ375" s="35">
        <f t="shared" ref="AJ375" si="374">+ROUND(AG375,2)</f>
        <v>0</v>
      </c>
      <c r="AK375" s="35">
        <f t="shared" ref="AK375" si="375">+ROUND(AH375,2)</f>
        <v>0</v>
      </c>
      <c r="AL375" s="35">
        <f>+AI375+AJ375-AK375</f>
        <v>0</v>
      </c>
      <c r="AM375" s="62"/>
      <c r="AN375" s="35" t="str">
        <f>+LEFT(AM375,2)</f>
        <v/>
      </c>
      <c r="AO375" s="35" t="str">
        <f>+MID(AM375,4,2)</f>
        <v/>
      </c>
      <c r="AP375" s="35" t="str">
        <f>+RIGHT(AM375,2)</f>
        <v/>
      </c>
      <c r="AQ375" s="35" t="str">
        <f>+CONCATENATE(AN375,AO375,AP375)</f>
        <v/>
      </c>
      <c r="AR375" s="41">
        <f>AM375+_xlfn.XLOOKUP(C375,Hoja1!A:A,Hoja1!B:B)</f>
        <v>0</v>
      </c>
      <c r="AS375" s="42">
        <f>+DAY(AR375)</f>
        <v>0</v>
      </c>
      <c r="AT375" s="35">
        <f>+MONTH(AR375)</f>
        <v>1</v>
      </c>
      <c r="AU375" s="35">
        <f>+YEAR(AR375)</f>
        <v>1900</v>
      </c>
      <c r="AV375" s="35" t="str">
        <f>+CONCATENATE(TEXT(AS375,"00"),TEXT(AT375,"00"),RIGHT(AU375,2))</f>
        <v>000100</v>
      </c>
    </row>
    <row r="376" spans="1:48" s="31" customFormat="1" ht="10.15" hidden="1" customHeight="1" x14ac:dyDescent="0.25">
      <c r="A376" s="27"/>
      <c r="B376" s="27"/>
      <c r="C376" s="1"/>
      <c r="D376" s="1"/>
      <c r="E376" s="1"/>
      <c r="F376" s="1"/>
      <c r="G376" s="1"/>
      <c r="H376" s="28"/>
      <c r="I376" s="28"/>
      <c r="J376" s="1"/>
      <c r="K376" s="29"/>
      <c r="L376" s="28"/>
      <c r="M376" s="1"/>
      <c r="N376" s="1"/>
      <c r="O376" s="1"/>
      <c r="P376" s="1"/>
      <c r="Q376" s="1"/>
      <c r="R376" s="1"/>
      <c r="S376" s="28"/>
      <c r="T376" s="1"/>
      <c r="U376" s="1"/>
      <c r="V376" s="1"/>
      <c r="W376" s="28"/>
      <c r="X376" s="28"/>
      <c r="Y376" s="1"/>
      <c r="Z376" s="30"/>
      <c r="AA376" s="6"/>
      <c r="AB376" s="28"/>
      <c r="AC376" s="28"/>
      <c r="AD376" s="28"/>
      <c r="AE376" s="7"/>
      <c r="AF376" s="28"/>
      <c r="AG376" s="28"/>
      <c r="AH376" s="28"/>
      <c r="AI376" s="28"/>
      <c r="AJ376" s="28"/>
      <c r="AK376" s="28"/>
      <c r="AL376" s="28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s="31" customFormat="1" ht="10.15" hidden="1" customHeight="1" x14ac:dyDescent="0.25">
      <c r="A377" s="27"/>
      <c r="B377" s="27"/>
      <c r="C377" s="1"/>
      <c r="D377" s="1"/>
      <c r="E377" s="1"/>
      <c r="F377" s="1"/>
      <c r="G377" s="1"/>
      <c r="H377" s="28"/>
      <c r="I377" s="28"/>
      <c r="J377" s="1"/>
      <c r="K377" s="29"/>
      <c r="L377" s="28"/>
      <c r="M377" s="1"/>
      <c r="N377" s="1"/>
      <c r="O377" s="1"/>
      <c r="P377" s="1"/>
      <c r="Q377" s="1"/>
      <c r="R377" s="1"/>
      <c r="S377" s="28"/>
      <c r="T377" s="1"/>
      <c r="U377" s="1"/>
      <c r="V377" s="1"/>
      <c r="W377" s="28"/>
      <c r="X377" s="28"/>
      <c r="Y377" s="1"/>
      <c r="Z377" s="30"/>
      <c r="AA377" s="6"/>
      <c r="AB377" s="28"/>
      <c r="AC377" s="28"/>
      <c r="AD377" s="28"/>
      <c r="AE377" s="7"/>
      <c r="AF377" s="28"/>
      <c r="AG377" s="28"/>
      <c r="AH377" s="28"/>
      <c r="AI377" s="28"/>
      <c r="AJ377" s="28"/>
      <c r="AK377" s="28"/>
      <c r="AL377" s="28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s="31" customFormat="1" ht="10.15" hidden="1" customHeight="1" x14ac:dyDescent="0.25">
      <c r="A378" s="27"/>
      <c r="B378" s="27"/>
      <c r="C378" s="1"/>
      <c r="D378" s="1"/>
      <c r="E378" s="1"/>
      <c r="F378" s="1"/>
      <c r="G378" s="1"/>
      <c r="H378" s="28"/>
      <c r="I378" s="28"/>
      <c r="J378" s="1"/>
      <c r="K378" s="29"/>
      <c r="L378" s="28"/>
      <c r="M378" s="1"/>
      <c r="N378" s="1"/>
      <c r="O378" s="1"/>
      <c r="P378" s="1"/>
      <c r="Q378" s="1"/>
      <c r="R378" s="1"/>
      <c r="S378" s="28"/>
      <c r="T378" s="1"/>
      <c r="U378" s="1"/>
      <c r="V378" s="1"/>
      <c r="W378" s="28"/>
      <c r="X378" s="28"/>
      <c r="Y378" s="1"/>
      <c r="Z378" s="30"/>
      <c r="AA378" s="6"/>
      <c r="AB378" s="28"/>
      <c r="AC378" s="28"/>
      <c r="AD378" s="28"/>
      <c r="AE378" s="7"/>
      <c r="AF378" s="28"/>
      <c r="AG378" s="28"/>
      <c r="AH378" s="28"/>
      <c r="AI378" s="28"/>
      <c r="AJ378" s="28"/>
      <c r="AK378" s="28"/>
      <c r="AL378" s="28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ht="10.15" customHeight="1" x14ac:dyDescent="0.25">
      <c r="A379" s="44">
        <f>1+A375</f>
        <v>95</v>
      </c>
      <c r="B379" s="38"/>
      <c r="C379" s="57"/>
      <c r="D379" s="57"/>
      <c r="E379" s="34" t="str">
        <f>+AQ379</f>
        <v/>
      </c>
      <c r="F379" s="60"/>
      <c r="G379" s="34" t="str">
        <f>+AV379</f>
        <v>000100</v>
      </c>
      <c r="H379" s="35">
        <f>+AK379</f>
        <v>0</v>
      </c>
      <c r="I379" s="35">
        <f>+ROUND(AD379,2)</f>
        <v>0</v>
      </c>
      <c r="J379" s="57"/>
      <c r="K379" s="36">
        <f>+AE379</f>
        <v>0</v>
      </c>
      <c r="L379" s="35">
        <f>+AJ379</f>
        <v>0</v>
      </c>
      <c r="M379" s="37" t="s">
        <v>37</v>
      </c>
      <c r="N379" s="68"/>
      <c r="O379" s="57"/>
      <c r="P379" s="38" t="e">
        <f>+VLOOKUP(C379,Hoja1!$A$4:$C$57,3,FALSE)</f>
        <v>#N/A</v>
      </c>
      <c r="Q379" s="37" t="s">
        <v>38</v>
      </c>
      <c r="R379" s="68"/>
      <c r="S379" s="35" t="str">
        <f>(RIGHT(O379,7))</f>
        <v/>
      </c>
      <c r="T379" s="68"/>
      <c r="U379" s="37" t="s">
        <v>39</v>
      </c>
      <c r="V379" s="37" t="s">
        <v>40</v>
      </c>
      <c r="W379" s="35">
        <f>+AI379</f>
        <v>0</v>
      </c>
      <c r="X379" s="35">
        <f>+AJ379</f>
        <v>0</v>
      </c>
      <c r="Y379" s="33" t="s">
        <v>41</v>
      </c>
      <c r="Z379" s="39">
        <f>+F379</f>
        <v>0</v>
      </c>
      <c r="AA379" s="40"/>
      <c r="AB379" s="65"/>
      <c r="AC379" s="35">
        <v>0</v>
      </c>
      <c r="AD379" s="35">
        <f t="shared" ref="AD379" si="376">+AB379+AC379</f>
        <v>0</v>
      </c>
      <c r="AE379" s="67"/>
      <c r="AF379" s="35">
        <f>+AB379*AE379</f>
        <v>0</v>
      </c>
      <c r="AG379" s="35">
        <f>+AC379*AE379</f>
        <v>0</v>
      </c>
      <c r="AH379" s="35">
        <f>+AD379*AE379</f>
        <v>0</v>
      </c>
      <c r="AI379" s="35">
        <f t="shared" ref="AI379" si="377">+ROUND(AF379,2)</f>
        <v>0</v>
      </c>
      <c r="AJ379" s="35">
        <f t="shared" ref="AJ379" si="378">+ROUND(AG379,2)</f>
        <v>0</v>
      </c>
      <c r="AK379" s="35">
        <f t="shared" ref="AK379" si="379">+ROUND(AH379,2)</f>
        <v>0</v>
      </c>
      <c r="AL379" s="35">
        <f>+AI379+AJ379-AK379</f>
        <v>0</v>
      </c>
      <c r="AM379" s="63"/>
      <c r="AN379" s="35" t="str">
        <f>+LEFT(AM379,2)</f>
        <v/>
      </c>
      <c r="AO379" s="35" t="str">
        <f>+MID(AM379,4,2)</f>
        <v/>
      </c>
      <c r="AP379" s="35" t="str">
        <f>+RIGHT(AM379,2)</f>
        <v/>
      </c>
      <c r="AQ379" s="35" t="str">
        <f>+CONCATENATE(AN379,AO379,AP379)</f>
        <v/>
      </c>
      <c r="AR379" s="41">
        <f>AM379+_xlfn.XLOOKUP(C379,Hoja1!A:A,Hoja1!B:B)</f>
        <v>0</v>
      </c>
      <c r="AS379" s="42">
        <f>+DAY(AR379)</f>
        <v>0</v>
      </c>
      <c r="AT379" s="35">
        <f>+MONTH(AR379)</f>
        <v>1</v>
      </c>
      <c r="AU379" s="35">
        <f>+YEAR(AR379)</f>
        <v>1900</v>
      </c>
      <c r="AV379" s="35" t="str">
        <f>+CONCATENATE(TEXT(AS379,"00"),TEXT(AT379,"00"),RIGHT(AU379,2))</f>
        <v>000100</v>
      </c>
    </row>
    <row r="380" spans="1:48" s="31" customFormat="1" ht="10.15" hidden="1" customHeight="1" x14ac:dyDescent="0.25">
      <c r="A380" s="27"/>
      <c r="B380" s="27"/>
      <c r="C380" s="1"/>
      <c r="D380" s="1"/>
      <c r="E380" s="1"/>
      <c r="F380" s="1"/>
      <c r="G380" s="1"/>
      <c r="H380" s="28"/>
      <c r="I380" s="28"/>
      <c r="J380" s="1"/>
      <c r="K380" s="29"/>
      <c r="L380" s="28"/>
      <c r="M380" s="1"/>
      <c r="N380" s="1"/>
      <c r="O380" s="1"/>
      <c r="P380" s="1"/>
      <c r="Q380" s="1"/>
      <c r="R380" s="1"/>
      <c r="S380" s="28"/>
      <c r="T380" s="1"/>
      <c r="U380" s="1"/>
      <c r="V380" s="1"/>
      <c r="W380" s="28"/>
      <c r="X380" s="28"/>
      <c r="Y380" s="1"/>
      <c r="Z380" s="30"/>
      <c r="AA380" s="6"/>
      <c r="AB380" s="28"/>
      <c r="AC380" s="28"/>
      <c r="AD380" s="28"/>
      <c r="AE380" s="7"/>
      <c r="AF380" s="28"/>
      <c r="AG380" s="28"/>
      <c r="AH380" s="28"/>
      <c r="AI380" s="28"/>
      <c r="AJ380" s="28"/>
      <c r="AK380" s="28"/>
      <c r="AL380" s="28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s="31" customFormat="1" ht="10.15" hidden="1" customHeight="1" x14ac:dyDescent="0.25">
      <c r="A381" s="27"/>
      <c r="B381" s="27"/>
      <c r="C381" s="1"/>
      <c r="D381" s="1"/>
      <c r="E381" s="1"/>
      <c r="F381" s="1"/>
      <c r="G381" s="1"/>
      <c r="H381" s="28"/>
      <c r="I381" s="28"/>
      <c r="J381" s="1"/>
      <c r="K381" s="29"/>
      <c r="L381" s="28"/>
      <c r="M381" s="1"/>
      <c r="N381" s="1"/>
      <c r="O381" s="1"/>
      <c r="P381" s="1"/>
      <c r="Q381" s="1"/>
      <c r="R381" s="1"/>
      <c r="S381" s="28"/>
      <c r="T381" s="1"/>
      <c r="U381" s="1"/>
      <c r="V381" s="1"/>
      <c r="W381" s="28"/>
      <c r="X381" s="28"/>
      <c r="Y381" s="1"/>
      <c r="Z381" s="30"/>
      <c r="AA381" s="6"/>
      <c r="AB381" s="28"/>
      <c r="AC381" s="28"/>
      <c r="AD381" s="28"/>
      <c r="AE381" s="7"/>
      <c r="AF381" s="28"/>
      <c r="AG381" s="28"/>
      <c r="AH381" s="28"/>
      <c r="AI381" s="28"/>
      <c r="AJ381" s="28"/>
      <c r="AK381" s="28"/>
      <c r="AL381" s="28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s="31" customFormat="1" ht="10.15" hidden="1" customHeight="1" x14ac:dyDescent="0.25">
      <c r="A382" s="27"/>
      <c r="B382" s="27"/>
      <c r="C382" s="1"/>
      <c r="D382" s="1"/>
      <c r="E382" s="1"/>
      <c r="F382" s="1"/>
      <c r="G382" s="1"/>
      <c r="H382" s="28"/>
      <c r="I382" s="28"/>
      <c r="J382" s="1"/>
      <c r="K382" s="29"/>
      <c r="L382" s="28"/>
      <c r="M382" s="1"/>
      <c r="N382" s="1"/>
      <c r="O382" s="1"/>
      <c r="P382" s="1"/>
      <c r="Q382" s="1"/>
      <c r="R382" s="1"/>
      <c r="S382" s="28"/>
      <c r="T382" s="1"/>
      <c r="U382" s="1"/>
      <c r="V382" s="1"/>
      <c r="W382" s="28"/>
      <c r="X382" s="28"/>
      <c r="Y382" s="1"/>
      <c r="Z382" s="30"/>
      <c r="AA382" s="6"/>
      <c r="AB382" s="28"/>
      <c r="AC382" s="28"/>
      <c r="AD382" s="28"/>
      <c r="AE382" s="7"/>
      <c r="AF382" s="28"/>
      <c r="AG382" s="28"/>
      <c r="AH382" s="28"/>
      <c r="AI382" s="28"/>
      <c r="AJ382" s="28"/>
      <c r="AK382" s="28"/>
      <c r="AL382" s="28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ht="10.15" customHeight="1" x14ac:dyDescent="0.25">
      <c r="A383" s="44">
        <f>1+A379</f>
        <v>96</v>
      </c>
      <c r="B383" s="50"/>
      <c r="C383" s="57"/>
      <c r="D383" s="57"/>
      <c r="E383" s="34" t="str">
        <f>+AQ383</f>
        <v/>
      </c>
      <c r="F383" s="60"/>
      <c r="G383" s="34" t="str">
        <f>+AV383</f>
        <v>000100</v>
      </c>
      <c r="H383" s="35">
        <f>+AK383</f>
        <v>0</v>
      </c>
      <c r="I383" s="35">
        <f>+ROUND(AD383,2)</f>
        <v>0</v>
      </c>
      <c r="J383" s="57"/>
      <c r="K383" s="36">
        <f>+AE383</f>
        <v>0</v>
      </c>
      <c r="L383" s="35">
        <f>+AJ383</f>
        <v>0</v>
      </c>
      <c r="M383" s="37" t="s">
        <v>37</v>
      </c>
      <c r="N383" s="68"/>
      <c r="O383" s="57"/>
      <c r="P383" s="38" t="e">
        <f>+VLOOKUP(C383,Hoja1!$A$4:$C$57,3,FALSE)</f>
        <v>#N/A</v>
      </c>
      <c r="Q383" s="37" t="s">
        <v>38</v>
      </c>
      <c r="R383" s="68"/>
      <c r="S383" s="35" t="str">
        <f>(RIGHT(O383,7))</f>
        <v/>
      </c>
      <c r="T383" s="68"/>
      <c r="U383" s="37" t="s">
        <v>39</v>
      </c>
      <c r="V383" s="37" t="s">
        <v>40</v>
      </c>
      <c r="W383" s="35">
        <f>+AI383</f>
        <v>0</v>
      </c>
      <c r="X383" s="35">
        <f>+AJ383</f>
        <v>0</v>
      </c>
      <c r="Y383" s="33" t="s">
        <v>41</v>
      </c>
      <c r="Z383" s="39">
        <f>+F383</f>
        <v>0</v>
      </c>
      <c r="AA383" s="40"/>
      <c r="AB383" s="65"/>
      <c r="AC383" s="35">
        <v>0</v>
      </c>
      <c r="AD383" s="35">
        <f t="shared" ref="AD383" si="380">+AB383+AC383</f>
        <v>0</v>
      </c>
      <c r="AE383" s="67"/>
      <c r="AF383" s="35">
        <f>+AB383*AE383</f>
        <v>0</v>
      </c>
      <c r="AG383" s="35">
        <f>+AC383*AE383</f>
        <v>0</v>
      </c>
      <c r="AH383" s="35">
        <f>+AD383*AE383</f>
        <v>0</v>
      </c>
      <c r="AI383" s="35">
        <f t="shared" ref="AI383" si="381">+ROUND(AF383,2)</f>
        <v>0</v>
      </c>
      <c r="AJ383" s="35">
        <f t="shared" ref="AJ383" si="382">+ROUND(AG383,2)</f>
        <v>0</v>
      </c>
      <c r="AK383" s="35">
        <f t="shared" ref="AK383" si="383">+ROUND(AH383,2)</f>
        <v>0</v>
      </c>
      <c r="AL383" s="35">
        <f>+AI383+AJ383-AK383</f>
        <v>0</v>
      </c>
      <c r="AM383" s="63"/>
      <c r="AN383" s="35" t="str">
        <f>+LEFT(AM383,2)</f>
        <v/>
      </c>
      <c r="AO383" s="35" t="str">
        <f>+MID(AM383,4,2)</f>
        <v/>
      </c>
      <c r="AP383" s="35" t="str">
        <f>+RIGHT(AM383,2)</f>
        <v/>
      </c>
      <c r="AQ383" s="35" t="str">
        <f>+CONCATENATE(AN383,AO383,AP383)</f>
        <v/>
      </c>
      <c r="AR383" s="41">
        <f>AM383+_xlfn.XLOOKUP(C383,Hoja1!A:A,Hoja1!B:B)</f>
        <v>0</v>
      </c>
      <c r="AS383" s="42">
        <f>+DAY(AR383)</f>
        <v>0</v>
      </c>
      <c r="AT383" s="35">
        <f>+MONTH(AR383)</f>
        <v>1</v>
      </c>
      <c r="AU383" s="35">
        <f>+YEAR(AR383)</f>
        <v>1900</v>
      </c>
      <c r="AV383" s="35" t="str">
        <f>+CONCATENATE(TEXT(AS383,"00"),TEXT(AT383,"00"),RIGHT(AU383,2))</f>
        <v>000100</v>
      </c>
    </row>
    <row r="384" spans="1:48" s="31" customFormat="1" ht="10.15" hidden="1" customHeight="1" x14ac:dyDescent="0.25">
      <c r="A384" s="27"/>
      <c r="B384" s="27"/>
      <c r="C384" s="1"/>
      <c r="D384" s="1"/>
      <c r="E384" s="1"/>
      <c r="F384" s="1"/>
      <c r="G384" s="1"/>
      <c r="H384" s="28"/>
      <c r="I384" s="28"/>
      <c r="J384" s="1"/>
      <c r="K384" s="29"/>
      <c r="L384" s="28"/>
      <c r="M384" s="1"/>
      <c r="N384" s="1"/>
      <c r="O384" s="1"/>
      <c r="P384" s="1"/>
      <c r="Q384" s="1"/>
      <c r="R384" s="1"/>
      <c r="S384" s="28"/>
      <c r="T384" s="1"/>
      <c r="U384" s="1"/>
      <c r="V384" s="1"/>
      <c r="W384" s="28"/>
      <c r="X384" s="28"/>
      <c r="Y384" s="1"/>
      <c r="Z384" s="30"/>
      <c r="AA384" s="6"/>
      <c r="AB384" s="28"/>
      <c r="AC384" s="28"/>
      <c r="AD384" s="28"/>
      <c r="AE384" s="7"/>
      <c r="AF384" s="28"/>
      <c r="AG384" s="28"/>
      <c r="AH384" s="28"/>
      <c r="AI384" s="28"/>
      <c r="AJ384" s="28"/>
      <c r="AK384" s="28"/>
      <c r="AL384" s="28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s="31" customFormat="1" ht="10.15" hidden="1" customHeight="1" x14ac:dyDescent="0.25">
      <c r="A385" s="27"/>
      <c r="B385" s="27"/>
      <c r="C385" s="1"/>
      <c r="D385" s="1"/>
      <c r="E385" s="1"/>
      <c r="F385" s="1"/>
      <c r="G385" s="1"/>
      <c r="H385" s="28"/>
      <c r="I385" s="28"/>
      <c r="J385" s="1"/>
      <c r="K385" s="29"/>
      <c r="L385" s="28"/>
      <c r="M385" s="1"/>
      <c r="N385" s="1"/>
      <c r="O385" s="1"/>
      <c r="P385" s="1"/>
      <c r="Q385" s="1"/>
      <c r="R385" s="1"/>
      <c r="S385" s="28"/>
      <c r="T385" s="1"/>
      <c r="U385" s="1"/>
      <c r="V385" s="1"/>
      <c r="W385" s="28"/>
      <c r="X385" s="28"/>
      <c r="Y385" s="1"/>
      <c r="Z385" s="30"/>
      <c r="AA385" s="6"/>
      <c r="AB385" s="28"/>
      <c r="AC385" s="28"/>
      <c r="AD385" s="28"/>
      <c r="AE385" s="7"/>
      <c r="AF385" s="28"/>
      <c r="AG385" s="28"/>
      <c r="AH385" s="28"/>
      <c r="AI385" s="28"/>
      <c r="AJ385" s="28"/>
      <c r="AK385" s="28"/>
      <c r="AL385" s="28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s="31" customFormat="1" ht="10.15" hidden="1" customHeight="1" x14ac:dyDescent="0.25">
      <c r="A386" s="27"/>
      <c r="B386" s="27"/>
      <c r="C386" s="1"/>
      <c r="D386" s="1"/>
      <c r="E386" s="1"/>
      <c r="F386" s="1"/>
      <c r="G386" s="1"/>
      <c r="H386" s="28"/>
      <c r="I386" s="28"/>
      <c r="J386" s="1"/>
      <c r="K386" s="29"/>
      <c r="L386" s="28"/>
      <c r="M386" s="1"/>
      <c r="N386" s="1"/>
      <c r="O386" s="1"/>
      <c r="P386" s="1"/>
      <c r="Q386" s="1"/>
      <c r="R386" s="1"/>
      <c r="S386" s="28"/>
      <c r="T386" s="1"/>
      <c r="U386" s="1"/>
      <c r="V386" s="1"/>
      <c r="W386" s="28"/>
      <c r="X386" s="28"/>
      <c r="Y386" s="1"/>
      <c r="Z386" s="30"/>
      <c r="AA386" s="6"/>
      <c r="AB386" s="28"/>
      <c r="AC386" s="28"/>
      <c r="AD386" s="28"/>
      <c r="AE386" s="7"/>
      <c r="AF386" s="28"/>
      <c r="AG386" s="28"/>
      <c r="AH386" s="28"/>
      <c r="AI386" s="28"/>
      <c r="AJ386" s="28"/>
      <c r="AK386" s="28"/>
      <c r="AL386" s="28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ht="10.15" customHeight="1" x14ac:dyDescent="0.25">
      <c r="A387" s="44">
        <f>1+A383</f>
        <v>97</v>
      </c>
      <c r="B387" s="50"/>
      <c r="C387" s="57"/>
      <c r="D387" s="57"/>
      <c r="E387" s="34" t="str">
        <f>+AQ387</f>
        <v/>
      </c>
      <c r="F387" s="60"/>
      <c r="G387" s="34" t="str">
        <f>+AV387</f>
        <v>000100</v>
      </c>
      <c r="H387" s="35">
        <f>+AK387</f>
        <v>0</v>
      </c>
      <c r="I387" s="35">
        <f>+ROUND(AD387,2)</f>
        <v>0</v>
      </c>
      <c r="J387" s="57"/>
      <c r="K387" s="36">
        <f>+AE387</f>
        <v>0</v>
      </c>
      <c r="L387" s="35">
        <f>+AJ387</f>
        <v>0</v>
      </c>
      <c r="M387" s="37" t="s">
        <v>37</v>
      </c>
      <c r="N387" s="68"/>
      <c r="O387" s="57"/>
      <c r="P387" s="38" t="e">
        <f>+VLOOKUP(C387,Hoja1!$A$4:$C$57,3,FALSE)</f>
        <v>#N/A</v>
      </c>
      <c r="Q387" s="37" t="s">
        <v>38</v>
      </c>
      <c r="R387" s="68"/>
      <c r="S387" s="35" t="str">
        <f>(RIGHT(O387,7))</f>
        <v/>
      </c>
      <c r="T387" s="68"/>
      <c r="U387" s="37" t="s">
        <v>39</v>
      </c>
      <c r="V387" s="37" t="s">
        <v>40</v>
      </c>
      <c r="W387" s="35">
        <f>+AI387</f>
        <v>0</v>
      </c>
      <c r="X387" s="35">
        <f>+AJ387</f>
        <v>0</v>
      </c>
      <c r="Y387" s="33" t="s">
        <v>41</v>
      </c>
      <c r="Z387" s="39">
        <f>+F387</f>
        <v>0</v>
      </c>
      <c r="AA387" s="40"/>
      <c r="AB387" s="65"/>
      <c r="AC387" s="35">
        <v>0</v>
      </c>
      <c r="AD387" s="35">
        <f t="shared" ref="AD387" si="384">+AB387+AC387</f>
        <v>0</v>
      </c>
      <c r="AE387" s="67"/>
      <c r="AF387" s="35">
        <f>+AB387*AE387</f>
        <v>0</v>
      </c>
      <c r="AG387" s="35">
        <f>+AC387*AE387</f>
        <v>0</v>
      </c>
      <c r="AH387" s="35">
        <f>+AD387*AE387</f>
        <v>0</v>
      </c>
      <c r="AI387" s="35">
        <f t="shared" ref="AI387" si="385">+ROUND(AF387,2)</f>
        <v>0</v>
      </c>
      <c r="AJ387" s="35">
        <f t="shared" ref="AJ387" si="386">+ROUND(AG387,2)</f>
        <v>0</v>
      </c>
      <c r="AK387" s="35">
        <f t="shared" ref="AK387" si="387">+ROUND(AH387,2)</f>
        <v>0</v>
      </c>
      <c r="AL387" s="35">
        <f>+AI387+AJ387-AK387</f>
        <v>0</v>
      </c>
      <c r="AM387" s="63"/>
      <c r="AN387" s="35" t="str">
        <f>+LEFT(AM387,2)</f>
        <v/>
      </c>
      <c r="AO387" s="35" t="str">
        <f>+MID(AM387,4,2)</f>
        <v/>
      </c>
      <c r="AP387" s="35" t="str">
        <f>+RIGHT(AM387,2)</f>
        <v/>
      </c>
      <c r="AQ387" s="35" t="str">
        <f>+CONCATENATE(AN387,AO387,AP387)</f>
        <v/>
      </c>
      <c r="AR387" s="41">
        <f>AM387+_xlfn.XLOOKUP(C387,Hoja1!A:A,Hoja1!B:B)</f>
        <v>0</v>
      </c>
      <c r="AS387" s="42">
        <f>+DAY(AR387)</f>
        <v>0</v>
      </c>
      <c r="AT387" s="35">
        <f>+MONTH(AR387)</f>
        <v>1</v>
      </c>
      <c r="AU387" s="35">
        <f>+YEAR(AR387)</f>
        <v>1900</v>
      </c>
      <c r="AV387" s="35" t="str">
        <f>+CONCATENATE(TEXT(AS387,"00"),TEXT(AT387,"00"),RIGHT(AU387,2))</f>
        <v>000100</v>
      </c>
    </row>
    <row r="388" spans="1:48" s="31" customFormat="1" ht="10.15" hidden="1" customHeight="1" x14ac:dyDescent="0.25">
      <c r="A388" s="27"/>
      <c r="B388" s="27"/>
      <c r="C388" s="1"/>
      <c r="D388" s="1"/>
      <c r="E388" s="1"/>
      <c r="F388" s="1"/>
      <c r="G388" s="1"/>
      <c r="H388" s="28"/>
      <c r="I388" s="28"/>
      <c r="J388" s="1"/>
      <c r="K388" s="29"/>
      <c r="L388" s="28"/>
      <c r="M388" s="1"/>
      <c r="N388" s="1"/>
      <c r="O388" s="1"/>
      <c r="P388" s="1"/>
      <c r="Q388" s="1"/>
      <c r="R388" s="1"/>
      <c r="S388" s="28"/>
      <c r="T388" s="1"/>
      <c r="U388" s="1"/>
      <c r="V388" s="1"/>
      <c r="W388" s="28"/>
      <c r="X388" s="28"/>
      <c r="Y388" s="1"/>
      <c r="Z388" s="30"/>
      <c r="AA388" s="6"/>
      <c r="AB388" s="28"/>
      <c r="AC388" s="28"/>
      <c r="AD388" s="28"/>
      <c r="AE388" s="7"/>
      <c r="AF388" s="28"/>
      <c r="AG388" s="28"/>
      <c r="AH388" s="28"/>
      <c r="AI388" s="28"/>
      <c r="AJ388" s="28"/>
      <c r="AK388" s="28"/>
      <c r="AL388" s="28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s="31" customFormat="1" ht="10.15" hidden="1" customHeight="1" x14ac:dyDescent="0.25">
      <c r="A389" s="27"/>
      <c r="B389" s="27"/>
      <c r="C389" s="1"/>
      <c r="D389" s="1"/>
      <c r="E389" s="1"/>
      <c r="F389" s="1"/>
      <c r="G389" s="1"/>
      <c r="H389" s="28"/>
      <c r="I389" s="28"/>
      <c r="J389" s="1"/>
      <c r="K389" s="29"/>
      <c r="L389" s="28"/>
      <c r="M389" s="1"/>
      <c r="N389" s="1"/>
      <c r="O389" s="1"/>
      <c r="P389" s="1"/>
      <c r="Q389" s="1"/>
      <c r="R389" s="1"/>
      <c r="S389" s="28"/>
      <c r="T389" s="1"/>
      <c r="U389" s="1"/>
      <c r="V389" s="1"/>
      <c r="W389" s="28"/>
      <c r="X389" s="28"/>
      <c r="Y389" s="1"/>
      <c r="Z389" s="30"/>
      <c r="AA389" s="6"/>
      <c r="AB389" s="28"/>
      <c r="AC389" s="28"/>
      <c r="AD389" s="28"/>
      <c r="AE389" s="7"/>
      <c r="AF389" s="28"/>
      <c r="AG389" s="28"/>
      <c r="AH389" s="28"/>
      <c r="AI389" s="28"/>
      <c r="AJ389" s="28"/>
      <c r="AK389" s="28"/>
      <c r="AL389" s="28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s="31" customFormat="1" ht="10.15" hidden="1" customHeight="1" x14ac:dyDescent="0.25">
      <c r="A390" s="27"/>
      <c r="B390" s="27"/>
      <c r="C390" s="1"/>
      <c r="D390" s="1"/>
      <c r="E390" s="1"/>
      <c r="F390" s="1"/>
      <c r="G390" s="1"/>
      <c r="H390" s="28"/>
      <c r="I390" s="28"/>
      <c r="J390" s="1"/>
      <c r="K390" s="29"/>
      <c r="L390" s="28"/>
      <c r="M390" s="1"/>
      <c r="N390" s="1"/>
      <c r="O390" s="1"/>
      <c r="P390" s="1"/>
      <c r="Q390" s="1"/>
      <c r="R390" s="1"/>
      <c r="S390" s="28"/>
      <c r="T390" s="1"/>
      <c r="U390" s="1"/>
      <c r="V390" s="1"/>
      <c r="W390" s="28"/>
      <c r="X390" s="28"/>
      <c r="Y390" s="1"/>
      <c r="Z390" s="30"/>
      <c r="AA390" s="6"/>
      <c r="AB390" s="28"/>
      <c r="AC390" s="28"/>
      <c r="AD390" s="28"/>
      <c r="AE390" s="7"/>
      <c r="AF390" s="28"/>
      <c r="AG390" s="28"/>
      <c r="AH390" s="28"/>
      <c r="AI390" s="28"/>
      <c r="AJ390" s="28"/>
      <c r="AK390" s="28"/>
      <c r="AL390" s="28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ht="10.15" customHeight="1" x14ac:dyDescent="0.25">
      <c r="A391" s="44">
        <f>1+A387</f>
        <v>98</v>
      </c>
      <c r="B391" s="38"/>
      <c r="C391" s="57"/>
      <c r="D391" s="57"/>
      <c r="E391" s="34" t="str">
        <f>+AQ391</f>
        <v/>
      </c>
      <c r="F391" s="60"/>
      <c r="G391" s="34" t="str">
        <f>+AV391</f>
        <v>000100</v>
      </c>
      <c r="H391" s="35">
        <f>+AK391</f>
        <v>0</v>
      </c>
      <c r="I391" s="35">
        <f>+ROUND(AD391,2)</f>
        <v>0</v>
      </c>
      <c r="J391" s="57"/>
      <c r="K391" s="36">
        <f>+AE391</f>
        <v>0</v>
      </c>
      <c r="L391" s="35">
        <f>+AJ391</f>
        <v>0</v>
      </c>
      <c r="M391" s="37" t="s">
        <v>37</v>
      </c>
      <c r="N391" s="68"/>
      <c r="O391" s="57"/>
      <c r="P391" s="38" t="e">
        <f>+VLOOKUP(C391,Hoja1!$A$4:$C$57,3,FALSE)</f>
        <v>#N/A</v>
      </c>
      <c r="Q391" s="37" t="s">
        <v>38</v>
      </c>
      <c r="R391" s="68"/>
      <c r="S391" s="35" t="str">
        <f>(RIGHT(O391,7))</f>
        <v/>
      </c>
      <c r="T391" s="68"/>
      <c r="U391" s="37" t="s">
        <v>39</v>
      </c>
      <c r="V391" s="37" t="s">
        <v>40</v>
      </c>
      <c r="W391" s="35">
        <f>+AI391</f>
        <v>0</v>
      </c>
      <c r="X391" s="35">
        <f>+AJ391</f>
        <v>0</v>
      </c>
      <c r="Y391" s="33" t="s">
        <v>41</v>
      </c>
      <c r="Z391" s="39">
        <f>+F391</f>
        <v>0</v>
      </c>
      <c r="AA391" s="40"/>
      <c r="AB391" s="65"/>
      <c r="AC391" s="35">
        <v>0</v>
      </c>
      <c r="AD391" s="35">
        <f t="shared" ref="AD391" si="388">+AB391+AC391</f>
        <v>0</v>
      </c>
      <c r="AE391" s="67"/>
      <c r="AF391" s="35">
        <f>+AB391*AE391</f>
        <v>0</v>
      </c>
      <c r="AG391" s="35">
        <f>+AC391*AE391</f>
        <v>0</v>
      </c>
      <c r="AH391" s="35">
        <f>+AD391*AE391</f>
        <v>0</v>
      </c>
      <c r="AI391" s="35">
        <f t="shared" ref="AI391" si="389">+ROUND(AF391,2)</f>
        <v>0</v>
      </c>
      <c r="AJ391" s="35">
        <f t="shared" ref="AJ391" si="390">+ROUND(AG391,2)</f>
        <v>0</v>
      </c>
      <c r="AK391" s="35">
        <f t="shared" ref="AK391" si="391">+ROUND(AH391,2)</f>
        <v>0</v>
      </c>
      <c r="AL391" s="35">
        <f>+AI391+AJ391-AK391</f>
        <v>0</v>
      </c>
      <c r="AM391" s="62"/>
      <c r="AN391" s="35" t="str">
        <f>+LEFT(AM391,2)</f>
        <v/>
      </c>
      <c r="AO391" s="35" t="str">
        <f>+MID(AM391,4,2)</f>
        <v/>
      </c>
      <c r="AP391" s="35" t="str">
        <f>+RIGHT(AM391,2)</f>
        <v/>
      </c>
      <c r="AQ391" s="35" t="str">
        <f>+CONCATENATE(AN391,AO391,AP391)</f>
        <v/>
      </c>
      <c r="AR391" s="41">
        <f>AM391+_xlfn.XLOOKUP(C391,Hoja1!A:A,Hoja1!B:B)</f>
        <v>0</v>
      </c>
      <c r="AS391" s="42">
        <f>+DAY(AR391)</f>
        <v>0</v>
      </c>
      <c r="AT391" s="35">
        <f>+MONTH(AR391)</f>
        <v>1</v>
      </c>
      <c r="AU391" s="35">
        <f>+YEAR(AR391)</f>
        <v>1900</v>
      </c>
      <c r="AV391" s="35" t="str">
        <f>+CONCATENATE(TEXT(AS391,"00"),TEXT(AT391,"00"),RIGHT(AU391,2))</f>
        <v>000100</v>
      </c>
    </row>
    <row r="392" spans="1:48" s="31" customFormat="1" ht="10.15" hidden="1" customHeight="1" x14ac:dyDescent="0.25">
      <c r="A392" s="27"/>
      <c r="B392" s="27"/>
      <c r="C392" s="1"/>
      <c r="D392" s="1"/>
      <c r="E392" s="1"/>
      <c r="F392" s="1"/>
      <c r="G392" s="1"/>
      <c r="H392" s="28"/>
      <c r="I392" s="28"/>
      <c r="J392" s="1"/>
      <c r="K392" s="29"/>
      <c r="L392" s="28"/>
      <c r="M392" s="1"/>
      <c r="N392" s="1"/>
      <c r="O392" s="1"/>
      <c r="P392" s="1"/>
      <c r="Q392" s="1"/>
      <c r="R392" s="1"/>
      <c r="S392" s="28"/>
      <c r="T392" s="1"/>
      <c r="U392" s="1"/>
      <c r="V392" s="1"/>
      <c r="W392" s="28"/>
      <c r="X392" s="28"/>
      <c r="Y392" s="1"/>
      <c r="Z392" s="30"/>
      <c r="AA392" s="6"/>
      <c r="AB392" s="28"/>
      <c r="AC392" s="28"/>
      <c r="AD392" s="28"/>
      <c r="AE392" s="7"/>
      <c r="AF392" s="28"/>
      <c r="AG392" s="28"/>
      <c r="AH392" s="28"/>
      <c r="AI392" s="28"/>
      <c r="AJ392" s="28"/>
      <c r="AK392" s="28"/>
      <c r="AL392" s="28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s="31" customFormat="1" ht="10.15" hidden="1" customHeight="1" x14ac:dyDescent="0.25">
      <c r="A393" s="27"/>
      <c r="B393" s="27"/>
      <c r="C393" s="1"/>
      <c r="D393" s="1"/>
      <c r="E393" s="1"/>
      <c r="F393" s="1"/>
      <c r="G393" s="1"/>
      <c r="H393" s="28"/>
      <c r="I393" s="28"/>
      <c r="J393" s="1"/>
      <c r="K393" s="29"/>
      <c r="L393" s="28"/>
      <c r="M393" s="1"/>
      <c r="N393" s="1"/>
      <c r="O393" s="1"/>
      <c r="P393" s="1"/>
      <c r="Q393" s="1"/>
      <c r="R393" s="1"/>
      <c r="S393" s="28"/>
      <c r="T393" s="1"/>
      <c r="U393" s="1"/>
      <c r="V393" s="1"/>
      <c r="W393" s="28"/>
      <c r="X393" s="28"/>
      <c r="Y393" s="1"/>
      <c r="Z393" s="30"/>
      <c r="AA393" s="6"/>
      <c r="AB393" s="28"/>
      <c r="AC393" s="28"/>
      <c r="AD393" s="28"/>
      <c r="AE393" s="7"/>
      <c r="AF393" s="28"/>
      <c r="AG393" s="28"/>
      <c r="AH393" s="28"/>
      <c r="AI393" s="28"/>
      <c r="AJ393" s="28"/>
      <c r="AK393" s="28"/>
      <c r="AL393" s="28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s="31" customFormat="1" ht="10.15" hidden="1" customHeight="1" x14ac:dyDescent="0.25">
      <c r="A394" s="27"/>
      <c r="B394" s="27"/>
      <c r="C394" s="1"/>
      <c r="D394" s="1"/>
      <c r="E394" s="1"/>
      <c r="F394" s="1"/>
      <c r="G394" s="1"/>
      <c r="H394" s="28"/>
      <c r="I394" s="28"/>
      <c r="J394" s="1"/>
      <c r="K394" s="29"/>
      <c r="L394" s="28"/>
      <c r="M394" s="1"/>
      <c r="N394" s="1"/>
      <c r="O394" s="1"/>
      <c r="P394" s="1"/>
      <c r="Q394" s="1"/>
      <c r="R394" s="1"/>
      <c r="S394" s="28"/>
      <c r="T394" s="1"/>
      <c r="U394" s="1"/>
      <c r="V394" s="1"/>
      <c r="W394" s="28"/>
      <c r="X394" s="28"/>
      <c r="Y394" s="1"/>
      <c r="Z394" s="30"/>
      <c r="AA394" s="6"/>
      <c r="AB394" s="28"/>
      <c r="AC394" s="28"/>
      <c r="AD394" s="28"/>
      <c r="AE394" s="7"/>
      <c r="AF394" s="28"/>
      <c r="AG394" s="28"/>
      <c r="AH394" s="28"/>
      <c r="AI394" s="28"/>
      <c r="AJ394" s="28"/>
      <c r="AK394" s="28"/>
      <c r="AL394" s="28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ht="10.15" customHeight="1" x14ac:dyDescent="0.25">
      <c r="A395" s="44">
        <f>1+A391</f>
        <v>99</v>
      </c>
      <c r="B395" s="38"/>
      <c r="C395" s="57"/>
      <c r="D395" s="57"/>
      <c r="E395" s="34" t="str">
        <f>+AQ395</f>
        <v/>
      </c>
      <c r="F395" s="60"/>
      <c r="G395" s="34" t="str">
        <f>+AV395</f>
        <v>000100</v>
      </c>
      <c r="H395" s="35">
        <f>+AK395</f>
        <v>0</v>
      </c>
      <c r="I395" s="35">
        <f>+ROUND(AD395,2)</f>
        <v>0</v>
      </c>
      <c r="J395" s="57"/>
      <c r="K395" s="36">
        <f>+AE395</f>
        <v>0</v>
      </c>
      <c r="L395" s="35">
        <f>+AJ395</f>
        <v>0</v>
      </c>
      <c r="M395" s="37" t="s">
        <v>37</v>
      </c>
      <c r="N395" s="68"/>
      <c r="O395" s="57"/>
      <c r="P395" s="38" t="e">
        <f>+VLOOKUP(C395,Hoja1!$A$4:$C$57,3,FALSE)</f>
        <v>#N/A</v>
      </c>
      <c r="Q395" s="37" t="s">
        <v>38</v>
      </c>
      <c r="R395" s="68"/>
      <c r="S395" s="35" t="str">
        <f>(RIGHT(O395,7))</f>
        <v/>
      </c>
      <c r="T395" s="68"/>
      <c r="U395" s="37" t="s">
        <v>39</v>
      </c>
      <c r="V395" s="37" t="s">
        <v>40</v>
      </c>
      <c r="W395" s="35">
        <f>+AI395</f>
        <v>0</v>
      </c>
      <c r="X395" s="35">
        <f>+AJ395</f>
        <v>0</v>
      </c>
      <c r="Y395" s="33" t="s">
        <v>41</v>
      </c>
      <c r="Z395" s="39">
        <f>+F395</f>
        <v>0</v>
      </c>
      <c r="AA395" s="40"/>
      <c r="AB395" s="65"/>
      <c r="AC395" s="35">
        <v>0</v>
      </c>
      <c r="AD395" s="35">
        <f t="shared" ref="AD395" si="392">+AB395+AC395</f>
        <v>0</v>
      </c>
      <c r="AE395" s="67"/>
      <c r="AF395" s="35">
        <f>+AB395*AE395</f>
        <v>0</v>
      </c>
      <c r="AG395" s="35">
        <f>+AC395*AE395</f>
        <v>0</v>
      </c>
      <c r="AH395" s="35">
        <f>+AD395*AE395</f>
        <v>0</v>
      </c>
      <c r="AI395" s="35">
        <f t="shared" ref="AI395" si="393">+ROUND(AF395,2)</f>
        <v>0</v>
      </c>
      <c r="AJ395" s="35">
        <f t="shared" ref="AJ395" si="394">+ROUND(AG395,2)</f>
        <v>0</v>
      </c>
      <c r="AK395" s="35">
        <f t="shared" ref="AK395" si="395">+ROUND(AH395,2)</f>
        <v>0</v>
      </c>
      <c r="AL395" s="35">
        <f>+AI395+AJ395-AK395</f>
        <v>0</v>
      </c>
      <c r="AM395" s="63"/>
      <c r="AN395" s="35" t="str">
        <f>+LEFT(AM395,2)</f>
        <v/>
      </c>
      <c r="AO395" s="35" t="str">
        <f>+MID(AM395,4,2)</f>
        <v/>
      </c>
      <c r="AP395" s="35" t="str">
        <f>+RIGHT(AM395,2)</f>
        <v/>
      </c>
      <c r="AQ395" s="35" t="str">
        <f>+CONCATENATE(AN395,AO395,AP395)</f>
        <v/>
      </c>
      <c r="AR395" s="41">
        <f>AM395+_xlfn.XLOOKUP(C395,Hoja1!A:A,Hoja1!B:B)</f>
        <v>0</v>
      </c>
      <c r="AS395" s="42">
        <f>+DAY(AR395)</f>
        <v>0</v>
      </c>
      <c r="AT395" s="35">
        <f>+MONTH(AR395)</f>
        <v>1</v>
      </c>
      <c r="AU395" s="35">
        <f>+YEAR(AR395)</f>
        <v>1900</v>
      </c>
      <c r="AV395" s="35" t="str">
        <f>+CONCATENATE(TEXT(AS395,"00"),TEXT(AT395,"00"),RIGHT(AU395,2))</f>
        <v>000100</v>
      </c>
    </row>
    <row r="396" spans="1:48" s="31" customFormat="1" ht="10.15" hidden="1" customHeight="1" x14ac:dyDescent="0.25">
      <c r="A396" s="27"/>
      <c r="B396" s="27"/>
      <c r="C396" s="1"/>
      <c r="D396" s="1"/>
      <c r="E396" s="1"/>
      <c r="F396" s="1"/>
      <c r="G396" s="1"/>
      <c r="H396" s="28"/>
      <c r="I396" s="28"/>
      <c r="J396" s="1"/>
      <c r="K396" s="29"/>
      <c r="L396" s="28"/>
      <c r="M396" s="1"/>
      <c r="N396" s="1"/>
      <c r="O396" s="1"/>
      <c r="P396" s="1"/>
      <c r="Q396" s="1"/>
      <c r="R396" s="1"/>
      <c r="S396" s="28"/>
      <c r="T396" s="1"/>
      <c r="U396" s="1"/>
      <c r="V396" s="1"/>
      <c r="W396" s="28"/>
      <c r="X396" s="28"/>
      <c r="Y396" s="1"/>
      <c r="Z396" s="30"/>
      <c r="AA396" s="6"/>
      <c r="AB396" s="28"/>
      <c r="AC396" s="28"/>
      <c r="AD396" s="28"/>
      <c r="AE396" s="7"/>
      <c r="AF396" s="28"/>
      <c r="AG396" s="28"/>
      <c r="AH396" s="28"/>
      <c r="AI396" s="28"/>
      <c r="AJ396" s="28"/>
      <c r="AK396" s="28"/>
      <c r="AL396" s="28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s="31" customFormat="1" ht="10.15" hidden="1" customHeight="1" x14ac:dyDescent="0.25">
      <c r="A397" s="27"/>
      <c r="B397" s="27"/>
      <c r="C397" s="1"/>
      <c r="D397" s="1"/>
      <c r="E397" s="1"/>
      <c r="F397" s="1"/>
      <c r="G397" s="1"/>
      <c r="H397" s="28"/>
      <c r="I397" s="28"/>
      <c r="J397" s="1"/>
      <c r="K397" s="29"/>
      <c r="L397" s="28"/>
      <c r="M397" s="1"/>
      <c r="N397" s="1"/>
      <c r="O397" s="1"/>
      <c r="P397" s="1"/>
      <c r="Q397" s="1"/>
      <c r="R397" s="1"/>
      <c r="S397" s="28"/>
      <c r="T397" s="1"/>
      <c r="U397" s="1"/>
      <c r="V397" s="1"/>
      <c r="W397" s="28"/>
      <c r="X397" s="28"/>
      <c r="Y397" s="1"/>
      <c r="Z397" s="30"/>
      <c r="AA397" s="6"/>
      <c r="AB397" s="28"/>
      <c r="AC397" s="28"/>
      <c r="AD397" s="28"/>
      <c r="AE397" s="7"/>
      <c r="AF397" s="28"/>
      <c r="AG397" s="28"/>
      <c r="AH397" s="28"/>
      <c r="AI397" s="28"/>
      <c r="AJ397" s="28"/>
      <c r="AK397" s="28"/>
      <c r="AL397" s="28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s="31" customFormat="1" ht="10.15" hidden="1" customHeight="1" x14ac:dyDescent="0.25">
      <c r="A398" s="27"/>
      <c r="B398" s="27"/>
      <c r="C398" s="1"/>
      <c r="D398" s="1"/>
      <c r="E398" s="1"/>
      <c r="F398" s="1"/>
      <c r="G398" s="1"/>
      <c r="H398" s="28"/>
      <c r="I398" s="28"/>
      <c r="J398" s="1"/>
      <c r="K398" s="29"/>
      <c r="L398" s="28"/>
      <c r="M398" s="1"/>
      <c r="N398" s="1"/>
      <c r="O398" s="1"/>
      <c r="P398" s="1"/>
      <c r="Q398" s="1"/>
      <c r="R398" s="1"/>
      <c r="S398" s="28"/>
      <c r="T398" s="1"/>
      <c r="U398" s="1"/>
      <c r="V398" s="1"/>
      <c r="W398" s="28"/>
      <c r="X398" s="28"/>
      <c r="Y398" s="1"/>
      <c r="Z398" s="30"/>
      <c r="AA398" s="6"/>
      <c r="AB398" s="28"/>
      <c r="AC398" s="28"/>
      <c r="AD398" s="28"/>
      <c r="AE398" s="7"/>
      <c r="AF398" s="28"/>
      <c r="AG398" s="28"/>
      <c r="AH398" s="28"/>
      <c r="AI398" s="28"/>
      <c r="AJ398" s="28"/>
      <c r="AK398" s="28"/>
      <c r="AL398" s="28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ht="10.15" customHeight="1" x14ac:dyDescent="0.25">
      <c r="A399" s="44">
        <f>1+A395</f>
        <v>100</v>
      </c>
      <c r="B399" s="50"/>
      <c r="C399" s="57"/>
      <c r="D399" s="57"/>
      <c r="E399" s="34" t="str">
        <f>+AQ399</f>
        <v/>
      </c>
      <c r="F399" s="60"/>
      <c r="G399" s="34" t="str">
        <f>+AV399</f>
        <v>000100</v>
      </c>
      <c r="H399" s="35">
        <f>+AK399</f>
        <v>0</v>
      </c>
      <c r="I399" s="35">
        <f>+ROUND(AD399,2)</f>
        <v>0</v>
      </c>
      <c r="J399" s="57"/>
      <c r="K399" s="36">
        <f>+AE399</f>
        <v>0</v>
      </c>
      <c r="L399" s="35">
        <f>+AJ399</f>
        <v>0</v>
      </c>
      <c r="M399" s="37" t="s">
        <v>37</v>
      </c>
      <c r="N399" s="68"/>
      <c r="O399" s="57"/>
      <c r="P399" s="38" t="e">
        <f>+VLOOKUP(C399,Hoja1!$A$4:$C$57,3,FALSE)</f>
        <v>#N/A</v>
      </c>
      <c r="Q399" s="37" t="s">
        <v>38</v>
      </c>
      <c r="R399" s="68"/>
      <c r="S399" s="35" t="str">
        <f>(RIGHT(O399,7))</f>
        <v/>
      </c>
      <c r="T399" s="68"/>
      <c r="U399" s="37" t="s">
        <v>39</v>
      </c>
      <c r="V399" s="37" t="s">
        <v>40</v>
      </c>
      <c r="W399" s="35">
        <f>+AI399</f>
        <v>0</v>
      </c>
      <c r="X399" s="35">
        <f>+AJ399</f>
        <v>0</v>
      </c>
      <c r="Y399" s="33" t="s">
        <v>41</v>
      </c>
      <c r="Z399" s="39">
        <f>+F399</f>
        <v>0</v>
      </c>
      <c r="AA399" s="40"/>
      <c r="AB399" s="65"/>
      <c r="AC399" s="35">
        <v>0</v>
      </c>
      <c r="AD399" s="35">
        <f t="shared" ref="AD399" si="396">+AB399+AC399</f>
        <v>0</v>
      </c>
      <c r="AE399" s="67"/>
      <c r="AF399" s="35">
        <f>+AB399*AE399</f>
        <v>0</v>
      </c>
      <c r="AG399" s="35">
        <f>+AC399*AE399</f>
        <v>0</v>
      </c>
      <c r="AH399" s="35">
        <f>+AD399*AE399</f>
        <v>0</v>
      </c>
      <c r="AI399" s="35">
        <f t="shared" ref="AI399" si="397">+ROUND(AF399,2)</f>
        <v>0</v>
      </c>
      <c r="AJ399" s="35">
        <f t="shared" ref="AJ399" si="398">+ROUND(AG399,2)</f>
        <v>0</v>
      </c>
      <c r="AK399" s="35">
        <f t="shared" ref="AK399" si="399">+ROUND(AH399,2)</f>
        <v>0</v>
      </c>
      <c r="AL399" s="35">
        <f>+AI399+AJ399-AK399</f>
        <v>0</v>
      </c>
      <c r="AM399" s="63"/>
      <c r="AN399" s="35" t="str">
        <f>+LEFT(AM399,2)</f>
        <v/>
      </c>
      <c r="AO399" s="35" t="str">
        <f>+MID(AM399,4,2)</f>
        <v/>
      </c>
      <c r="AP399" s="35" t="str">
        <f>+RIGHT(AM399,2)</f>
        <v/>
      </c>
      <c r="AQ399" s="35" t="str">
        <f>+CONCATENATE(AN399,AO399,AP399)</f>
        <v/>
      </c>
      <c r="AR399" s="41">
        <f>AM399+_xlfn.XLOOKUP(C399,Hoja1!A:A,Hoja1!B:B)</f>
        <v>0</v>
      </c>
      <c r="AS399" s="42">
        <f>+DAY(AR399)</f>
        <v>0</v>
      </c>
      <c r="AT399" s="35">
        <f>+MONTH(AR399)</f>
        <v>1</v>
      </c>
      <c r="AU399" s="35">
        <f>+YEAR(AR399)</f>
        <v>1900</v>
      </c>
      <c r="AV399" s="35" t="str">
        <f>+CONCATENATE(TEXT(AS399,"00"),TEXT(AT399,"00"),RIGHT(AU399,2))</f>
        <v>000100</v>
      </c>
    </row>
    <row r="400" spans="1:48" s="31" customFormat="1" ht="10.15" hidden="1" customHeight="1" x14ac:dyDescent="0.25">
      <c r="A400" s="27"/>
      <c r="B400" s="27"/>
      <c r="C400" s="1"/>
      <c r="D400" s="1"/>
      <c r="E400" s="1"/>
      <c r="F400" s="1"/>
      <c r="G400" s="1"/>
      <c r="H400" s="28"/>
      <c r="I400" s="28"/>
      <c r="J400" s="1"/>
      <c r="K400" s="29"/>
      <c r="L400" s="28"/>
      <c r="M400" s="1"/>
      <c r="N400" s="1"/>
      <c r="O400" s="1"/>
      <c r="P400" s="1"/>
      <c r="Q400" s="1"/>
      <c r="R400" s="1"/>
      <c r="S400" s="28"/>
      <c r="T400" s="1"/>
      <c r="U400" s="1"/>
      <c r="V400" s="1"/>
      <c r="W400" s="28"/>
      <c r="X400" s="28"/>
      <c r="Y400" s="1"/>
      <c r="Z400" s="30"/>
      <c r="AA400" s="6"/>
      <c r="AB400" s="28"/>
      <c r="AC400" s="28"/>
      <c r="AD400" s="28"/>
      <c r="AE400" s="7"/>
      <c r="AF400" s="28"/>
      <c r="AG400" s="28"/>
      <c r="AH400" s="28"/>
      <c r="AI400" s="28"/>
      <c r="AJ400" s="28"/>
      <c r="AK400" s="28"/>
      <c r="AL400" s="28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s="31" customFormat="1" ht="10.15" hidden="1" customHeight="1" x14ac:dyDescent="0.25">
      <c r="A401" s="27"/>
      <c r="B401" s="27"/>
      <c r="C401" s="1"/>
      <c r="D401" s="1"/>
      <c r="E401" s="1"/>
      <c r="F401" s="1"/>
      <c r="G401" s="1"/>
      <c r="H401" s="28"/>
      <c r="I401" s="28"/>
      <c r="J401" s="1"/>
      <c r="K401" s="29"/>
      <c r="L401" s="28"/>
      <c r="M401" s="1"/>
      <c r="N401" s="1"/>
      <c r="O401" s="1"/>
      <c r="P401" s="1"/>
      <c r="Q401" s="1"/>
      <c r="R401" s="1"/>
      <c r="S401" s="28"/>
      <c r="T401" s="1"/>
      <c r="U401" s="1"/>
      <c r="V401" s="1"/>
      <c r="W401" s="28"/>
      <c r="X401" s="28"/>
      <c r="Y401" s="1"/>
      <c r="Z401" s="30"/>
      <c r="AA401" s="6"/>
      <c r="AB401" s="28"/>
      <c r="AC401" s="28"/>
      <c r="AD401" s="28"/>
      <c r="AE401" s="7"/>
      <c r="AF401" s="28"/>
      <c r="AG401" s="28"/>
      <c r="AH401" s="28"/>
      <c r="AI401" s="28"/>
      <c r="AJ401" s="28"/>
      <c r="AK401" s="28"/>
      <c r="AL401" s="28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s="31" customFormat="1" ht="10.15" hidden="1" customHeight="1" x14ac:dyDescent="0.25">
      <c r="A402" s="27"/>
      <c r="B402" s="27"/>
      <c r="C402" s="1"/>
      <c r="D402" s="1"/>
      <c r="E402" s="1"/>
      <c r="F402" s="1"/>
      <c r="G402" s="1"/>
      <c r="H402" s="28"/>
      <c r="I402" s="28"/>
      <c r="J402" s="1"/>
      <c r="K402" s="29"/>
      <c r="L402" s="28"/>
      <c r="M402" s="1"/>
      <c r="N402" s="1"/>
      <c r="O402" s="1"/>
      <c r="P402" s="1"/>
      <c r="Q402" s="1"/>
      <c r="R402" s="1"/>
      <c r="S402" s="28"/>
      <c r="T402" s="1"/>
      <c r="U402" s="1"/>
      <c r="V402" s="1"/>
      <c r="W402" s="28"/>
      <c r="X402" s="28"/>
      <c r="Y402" s="1"/>
      <c r="Z402" s="30"/>
      <c r="AA402" s="6"/>
      <c r="AB402" s="28"/>
      <c r="AC402" s="28"/>
      <c r="AD402" s="28"/>
      <c r="AE402" s="7"/>
      <c r="AF402" s="28"/>
      <c r="AG402" s="28"/>
      <c r="AH402" s="28"/>
      <c r="AI402" s="28"/>
      <c r="AJ402" s="28"/>
      <c r="AK402" s="28"/>
      <c r="AL402" s="28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ht="10.15" customHeight="1" x14ac:dyDescent="0.25">
      <c r="A403" s="44">
        <f>1+A399</f>
        <v>101</v>
      </c>
      <c r="B403" s="50"/>
      <c r="C403" s="57"/>
      <c r="D403" s="57"/>
      <c r="E403" s="34" t="str">
        <f>+AQ403</f>
        <v/>
      </c>
      <c r="F403" s="60"/>
      <c r="G403" s="34" t="str">
        <f>+AV403</f>
        <v>000100</v>
      </c>
      <c r="H403" s="35">
        <f>+AK403</f>
        <v>0</v>
      </c>
      <c r="I403" s="35">
        <f>+ROUND(AD403,2)</f>
        <v>0</v>
      </c>
      <c r="J403" s="57"/>
      <c r="K403" s="36">
        <f>+AE403</f>
        <v>0</v>
      </c>
      <c r="L403" s="35">
        <f>+AJ403</f>
        <v>0</v>
      </c>
      <c r="M403" s="37" t="s">
        <v>37</v>
      </c>
      <c r="N403" s="68"/>
      <c r="O403" s="57"/>
      <c r="P403" s="38" t="e">
        <f>+VLOOKUP(C403,Hoja1!$A$4:$C$57,3,FALSE)</f>
        <v>#N/A</v>
      </c>
      <c r="Q403" s="37" t="s">
        <v>38</v>
      </c>
      <c r="R403" s="68"/>
      <c r="S403" s="35" t="str">
        <f>(RIGHT(O403,7))</f>
        <v/>
      </c>
      <c r="T403" s="68"/>
      <c r="U403" s="37" t="s">
        <v>39</v>
      </c>
      <c r="V403" s="37" t="s">
        <v>40</v>
      </c>
      <c r="W403" s="35">
        <f>+AI403</f>
        <v>0</v>
      </c>
      <c r="X403" s="35">
        <f>+AJ403</f>
        <v>0</v>
      </c>
      <c r="Y403" s="33" t="s">
        <v>41</v>
      </c>
      <c r="Z403" s="39">
        <f>+F403</f>
        <v>0</v>
      </c>
      <c r="AA403" s="40"/>
      <c r="AB403" s="65"/>
      <c r="AC403" s="35">
        <v>0</v>
      </c>
      <c r="AD403" s="35">
        <f t="shared" ref="AD403" si="400">+AB403+AC403</f>
        <v>0</v>
      </c>
      <c r="AE403" s="67"/>
      <c r="AF403" s="35">
        <f>+AB403*AE403</f>
        <v>0</v>
      </c>
      <c r="AG403" s="35">
        <f>+AC403*AE403</f>
        <v>0</v>
      </c>
      <c r="AH403" s="35">
        <f>+AD403*AE403</f>
        <v>0</v>
      </c>
      <c r="AI403" s="35">
        <f t="shared" ref="AI403" si="401">+ROUND(AF403,2)</f>
        <v>0</v>
      </c>
      <c r="AJ403" s="35">
        <f t="shared" ref="AJ403" si="402">+ROUND(AG403,2)</f>
        <v>0</v>
      </c>
      <c r="AK403" s="35">
        <f t="shared" ref="AK403" si="403">+ROUND(AH403,2)</f>
        <v>0</v>
      </c>
      <c r="AL403" s="35">
        <f>+AI403+AJ403-AK403</f>
        <v>0</v>
      </c>
      <c r="AM403" s="63"/>
      <c r="AN403" s="35" t="str">
        <f>+LEFT(AM403,2)</f>
        <v/>
      </c>
      <c r="AO403" s="35" t="str">
        <f>+MID(AM403,4,2)</f>
        <v/>
      </c>
      <c r="AP403" s="35" t="str">
        <f>+RIGHT(AM403,2)</f>
        <v/>
      </c>
      <c r="AQ403" s="35" t="str">
        <f>+CONCATENATE(AN403,AO403,AP403)</f>
        <v/>
      </c>
      <c r="AR403" s="41">
        <f>AM403+_xlfn.XLOOKUP(C403,Hoja1!A:A,Hoja1!B:B)</f>
        <v>0</v>
      </c>
      <c r="AS403" s="42">
        <f>+DAY(AR403)</f>
        <v>0</v>
      </c>
      <c r="AT403" s="35">
        <f>+MONTH(AR403)</f>
        <v>1</v>
      </c>
      <c r="AU403" s="35">
        <f>+YEAR(AR403)</f>
        <v>1900</v>
      </c>
      <c r="AV403" s="35" t="str">
        <f>+CONCATENATE(TEXT(AS403,"00"),TEXT(AT403,"00"),RIGHT(AU403,2))</f>
        <v>000100</v>
      </c>
    </row>
    <row r="404" spans="1:48" s="31" customFormat="1" ht="10.15" hidden="1" customHeight="1" x14ac:dyDescent="0.25">
      <c r="A404" s="27"/>
      <c r="B404" s="27"/>
      <c r="C404" s="1"/>
      <c r="D404" s="1"/>
      <c r="E404" s="1"/>
      <c r="F404" s="1"/>
      <c r="G404" s="1"/>
      <c r="H404" s="28"/>
      <c r="I404" s="28"/>
      <c r="J404" s="1"/>
      <c r="K404" s="29"/>
      <c r="L404" s="28"/>
      <c r="M404" s="1"/>
      <c r="N404" s="1"/>
      <c r="O404" s="1"/>
      <c r="P404" s="1"/>
      <c r="Q404" s="1"/>
      <c r="R404" s="1"/>
      <c r="S404" s="28"/>
      <c r="T404" s="1"/>
      <c r="U404" s="1"/>
      <c r="V404" s="1"/>
      <c r="W404" s="28"/>
      <c r="X404" s="28"/>
      <c r="Y404" s="1"/>
      <c r="Z404" s="30"/>
      <c r="AA404" s="6"/>
      <c r="AB404" s="28"/>
      <c r="AC404" s="28"/>
      <c r="AD404" s="28"/>
      <c r="AE404" s="7"/>
      <c r="AF404" s="28"/>
      <c r="AG404" s="28"/>
      <c r="AH404" s="28"/>
      <c r="AI404" s="28"/>
      <c r="AJ404" s="28"/>
      <c r="AK404" s="28"/>
      <c r="AL404" s="28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s="31" customFormat="1" ht="10.15" hidden="1" customHeight="1" x14ac:dyDescent="0.25">
      <c r="A405" s="27"/>
      <c r="B405" s="27"/>
      <c r="C405" s="1"/>
      <c r="D405" s="1"/>
      <c r="E405" s="1"/>
      <c r="F405" s="1"/>
      <c r="G405" s="1"/>
      <c r="H405" s="28"/>
      <c r="I405" s="28"/>
      <c r="J405" s="1"/>
      <c r="K405" s="29"/>
      <c r="L405" s="28"/>
      <c r="M405" s="1"/>
      <c r="N405" s="1"/>
      <c r="O405" s="1"/>
      <c r="P405" s="1"/>
      <c r="Q405" s="1"/>
      <c r="R405" s="1"/>
      <c r="S405" s="28"/>
      <c r="T405" s="1"/>
      <c r="U405" s="1"/>
      <c r="V405" s="1"/>
      <c r="W405" s="28"/>
      <c r="X405" s="28"/>
      <c r="Y405" s="1"/>
      <c r="Z405" s="30"/>
      <c r="AA405" s="6"/>
      <c r="AB405" s="28"/>
      <c r="AC405" s="28"/>
      <c r="AD405" s="28"/>
      <c r="AE405" s="7"/>
      <c r="AF405" s="28"/>
      <c r="AG405" s="28"/>
      <c r="AH405" s="28"/>
      <c r="AI405" s="28"/>
      <c r="AJ405" s="28"/>
      <c r="AK405" s="28"/>
      <c r="AL405" s="28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s="31" customFormat="1" ht="10.15" hidden="1" customHeight="1" x14ac:dyDescent="0.25">
      <c r="A406" s="27"/>
      <c r="B406" s="27"/>
      <c r="C406" s="1"/>
      <c r="D406" s="1"/>
      <c r="E406" s="1"/>
      <c r="F406" s="1"/>
      <c r="G406" s="1"/>
      <c r="H406" s="28"/>
      <c r="I406" s="28"/>
      <c r="J406" s="1"/>
      <c r="K406" s="29"/>
      <c r="L406" s="28"/>
      <c r="M406" s="1"/>
      <c r="N406" s="1"/>
      <c r="O406" s="1"/>
      <c r="P406" s="1"/>
      <c r="Q406" s="1"/>
      <c r="R406" s="1"/>
      <c r="S406" s="28"/>
      <c r="T406" s="1"/>
      <c r="U406" s="1"/>
      <c r="V406" s="1"/>
      <c r="W406" s="28"/>
      <c r="X406" s="28"/>
      <c r="Y406" s="1"/>
      <c r="Z406" s="30"/>
      <c r="AA406" s="6"/>
      <c r="AB406" s="28"/>
      <c r="AC406" s="28"/>
      <c r="AD406" s="28"/>
      <c r="AE406" s="7"/>
      <c r="AF406" s="28"/>
      <c r="AG406" s="28"/>
      <c r="AH406" s="28"/>
      <c r="AI406" s="28"/>
      <c r="AJ406" s="28"/>
      <c r="AK406" s="28"/>
      <c r="AL406" s="28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ht="10.15" customHeight="1" x14ac:dyDescent="0.25">
      <c r="A407" s="44">
        <f>1+A403</f>
        <v>102</v>
      </c>
      <c r="B407" s="38"/>
      <c r="C407" s="57"/>
      <c r="D407" s="57"/>
      <c r="E407" s="34" t="str">
        <f>+AQ407</f>
        <v/>
      </c>
      <c r="F407" s="60"/>
      <c r="G407" s="34" t="str">
        <f>+AV407</f>
        <v>000100</v>
      </c>
      <c r="H407" s="35">
        <f>+AK407</f>
        <v>0</v>
      </c>
      <c r="I407" s="35">
        <f>+ROUND(AD407,2)</f>
        <v>0</v>
      </c>
      <c r="J407" s="57"/>
      <c r="K407" s="36">
        <f>+AE407</f>
        <v>0</v>
      </c>
      <c r="L407" s="35">
        <f>+AJ407</f>
        <v>0</v>
      </c>
      <c r="M407" s="37" t="s">
        <v>37</v>
      </c>
      <c r="N407" s="68"/>
      <c r="O407" s="57"/>
      <c r="P407" s="38" t="e">
        <f>+VLOOKUP(C407,Hoja1!$A$4:$C$57,3,FALSE)</f>
        <v>#N/A</v>
      </c>
      <c r="Q407" s="37" t="s">
        <v>38</v>
      </c>
      <c r="R407" s="68"/>
      <c r="S407" s="35" t="str">
        <f>(RIGHT(O407,7))</f>
        <v/>
      </c>
      <c r="T407" s="68"/>
      <c r="U407" s="37" t="s">
        <v>39</v>
      </c>
      <c r="V407" s="37" t="s">
        <v>40</v>
      </c>
      <c r="W407" s="35">
        <f>+AI407</f>
        <v>0</v>
      </c>
      <c r="X407" s="35">
        <f>+AJ407</f>
        <v>0</v>
      </c>
      <c r="Y407" s="33" t="s">
        <v>41</v>
      </c>
      <c r="Z407" s="39">
        <f>+F407</f>
        <v>0</v>
      </c>
      <c r="AA407" s="40"/>
      <c r="AB407" s="65"/>
      <c r="AC407" s="35">
        <v>0</v>
      </c>
      <c r="AD407" s="35">
        <f t="shared" ref="AD407" si="404">+AB407+AC407</f>
        <v>0</v>
      </c>
      <c r="AE407" s="67"/>
      <c r="AF407" s="35">
        <f>+AB407*AE407</f>
        <v>0</v>
      </c>
      <c r="AG407" s="35">
        <f>+AC407*AE407</f>
        <v>0</v>
      </c>
      <c r="AH407" s="35">
        <f>+AD407*AE407</f>
        <v>0</v>
      </c>
      <c r="AI407" s="35">
        <f t="shared" ref="AI407" si="405">+ROUND(AF407,2)</f>
        <v>0</v>
      </c>
      <c r="AJ407" s="35">
        <f t="shared" ref="AJ407" si="406">+ROUND(AG407,2)</f>
        <v>0</v>
      </c>
      <c r="AK407" s="35">
        <f t="shared" ref="AK407" si="407">+ROUND(AH407,2)</f>
        <v>0</v>
      </c>
      <c r="AL407" s="35">
        <f>+AI407+AJ407-AK407</f>
        <v>0</v>
      </c>
      <c r="AM407" s="62"/>
      <c r="AN407" s="35" t="str">
        <f>+LEFT(AM407,2)</f>
        <v/>
      </c>
      <c r="AO407" s="35" t="str">
        <f>+MID(AM407,4,2)</f>
        <v/>
      </c>
      <c r="AP407" s="35" t="str">
        <f>+RIGHT(AM407,2)</f>
        <v/>
      </c>
      <c r="AQ407" s="35" t="str">
        <f>+CONCATENATE(AN407,AO407,AP407)</f>
        <v/>
      </c>
      <c r="AR407" s="41">
        <f>AM407+_xlfn.XLOOKUP(C407,Hoja1!A:A,Hoja1!B:B)</f>
        <v>0</v>
      </c>
      <c r="AS407" s="42">
        <f>+DAY(AR407)</f>
        <v>0</v>
      </c>
      <c r="AT407" s="35">
        <f>+MONTH(AR407)</f>
        <v>1</v>
      </c>
      <c r="AU407" s="35">
        <f>+YEAR(AR407)</f>
        <v>1900</v>
      </c>
      <c r="AV407" s="35" t="str">
        <f>+CONCATENATE(TEXT(AS407,"00"),TEXT(AT407,"00"),RIGHT(AU407,2))</f>
        <v>000100</v>
      </c>
    </row>
    <row r="408" spans="1:48" s="31" customFormat="1" ht="10.15" hidden="1" customHeight="1" x14ac:dyDescent="0.25">
      <c r="A408" s="27"/>
      <c r="B408" s="27"/>
      <c r="C408" s="1"/>
      <c r="D408" s="1"/>
      <c r="E408" s="1"/>
      <c r="F408" s="1"/>
      <c r="G408" s="1"/>
      <c r="H408" s="28"/>
      <c r="I408" s="28"/>
      <c r="J408" s="1"/>
      <c r="K408" s="29"/>
      <c r="L408" s="28"/>
      <c r="M408" s="1"/>
      <c r="N408" s="1"/>
      <c r="O408" s="1"/>
      <c r="P408" s="1"/>
      <c r="Q408" s="1"/>
      <c r="R408" s="1"/>
      <c r="S408" s="28"/>
      <c r="T408" s="1"/>
      <c r="U408" s="1"/>
      <c r="V408" s="1"/>
      <c r="W408" s="28"/>
      <c r="X408" s="28"/>
      <c r="Y408" s="1"/>
      <c r="Z408" s="30"/>
      <c r="AA408" s="6"/>
      <c r="AB408" s="28"/>
      <c r="AC408" s="28"/>
      <c r="AD408" s="28"/>
      <c r="AE408" s="7"/>
      <c r="AF408" s="28"/>
      <c r="AG408" s="28"/>
      <c r="AH408" s="28"/>
      <c r="AI408" s="28"/>
      <c r="AJ408" s="28"/>
      <c r="AK408" s="28"/>
      <c r="AL408" s="28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s="31" customFormat="1" ht="10.15" hidden="1" customHeight="1" x14ac:dyDescent="0.25">
      <c r="A409" s="27"/>
      <c r="B409" s="27"/>
      <c r="C409" s="1"/>
      <c r="D409" s="1"/>
      <c r="E409" s="1"/>
      <c r="F409" s="1"/>
      <c r="G409" s="1"/>
      <c r="H409" s="28"/>
      <c r="I409" s="28"/>
      <c r="J409" s="1"/>
      <c r="K409" s="29"/>
      <c r="L409" s="28"/>
      <c r="M409" s="1"/>
      <c r="N409" s="1"/>
      <c r="O409" s="1"/>
      <c r="P409" s="1"/>
      <c r="Q409" s="1"/>
      <c r="R409" s="1"/>
      <c r="S409" s="28"/>
      <c r="T409" s="1"/>
      <c r="U409" s="1"/>
      <c r="V409" s="1"/>
      <c r="W409" s="28"/>
      <c r="X409" s="28"/>
      <c r="Y409" s="1"/>
      <c r="Z409" s="30"/>
      <c r="AA409" s="6"/>
      <c r="AB409" s="28"/>
      <c r="AC409" s="28"/>
      <c r="AD409" s="28"/>
      <c r="AE409" s="7"/>
      <c r="AF409" s="28"/>
      <c r="AG409" s="28"/>
      <c r="AH409" s="28"/>
      <c r="AI409" s="28"/>
      <c r="AJ409" s="28"/>
      <c r="AK409" s="28"/>
      <c r="AL409" s="28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s="31" customFormat="1" ht="10.15" hidden="1" customHeight="1" x14ac:dyDescent="0.25">
      <c r="A410" s="27"/>
      <c r="B410" s="27"/>
      <c r="C410" s="1"/>
      <c r="D410" s="1"/>
      <c r="E410" s="1"/>
      <c r="F410" s="1"/>
      <c r="G410" s="1"/>
      <c r="H410" s="28"/>
      <c r="I410" s="28"/>
      <c r="J410" s="1"/>
      <c r="K410" s="29"/>
      <c r="L410" s="28"/>
      <c r="M410" s="1"/>
      <c r="N410" s="1"/>
      <c r="O410" s="1"/>
      <c r="P410" s="1"/>
      <c r="Q410" s="1"/>
      <c r="R410" s="1"/>
      <c r="S410" s="28"/>
      <c r="T410" s="1"/>
      <c r="U410" s="1"/>
      <c r="V410" s="1"/>
      <c r="W410" s="28"/>
      <c r="X410" s="28"/>
      <c r="Y410" s="1"/>
      <c r="Z410" s="30"/>
      <c r="AA410" s="6"/>
      <c r="AB410" s="28"/>
      <c r="AC410" s="28"/>
      <c r="AD410" s="28"/>
      <c r="AE410" s="7"/>
      <c r="AF410" s="28"/>
      <c r="AG410" s="28"/>
      <c r="AH410" s="28"/>
      <c r="AI410" s="28"/>
      <c r="AJ410" s="28"/>
      <c r="AK410" s="28"/>
      <c r="AL410" s="28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ht="10.15" customHeight="1" x14ac:dyDescent="0.25">
      <c r="A411" s="44">
        <f>1+A407</f>
        <v>103</v>
      </c>
      <c r="B411" s="38"/>
      <c r="C411" s="57"/>
      <c r="D411" s="57"/>
      <c r="E411" s="34" t="str">
        <f>+AQ411</f>
        <v/>
      </c>
      <c r="F411" s="60"/>
      <c r="G411" s="34" t="str">
        <f>+AV411</f>
        <v>000100</v>
      </c>
      <c r="H411" s="35">
        <f>+AK411</f>
        <v>0</v>
      </c>
      <c r="I411" s="35">
        <f>+ROUND(AD411,2)</f>
        <v>0</v>
      </c>
      <c r="J411" s="57"/>
      <c r="K411" s="36">
        <f>+AE411</f>
        <v>0</v>
      </c>
      <c r="L411" s="35">
        <f>+AJ411</f>
        <v>0</v>
      </c>
      <c r="M411" s="37" t="s">
        <v>37</v>
      </c>
      <c r="N411" s="68"/>
      <c r="O411" s="57"/>
      <c r="P411" s="38" t="e">
        <f>+VLOOKUP(C411,Hoja1!$A$4:$C$57,3,FALSE)</f>
        <v>#N/A</v>
      </c>
      <c r="Q411" s="37" t="s">
        <v>38</v>
      </c>
      <c r="R411" s="68"/>
      <c r="S411" s="35" t="str">
        <f>(RIGHT(O411,7))</f>
        <v/>
      </c>
      <c r="T411" s="68"/>
      <c r="U411" s="37" t="s">
        <v>39</v>
      </c>
      <c r="V411" s="37" t="s">
        <v>40</v>
      </c>
      <c r="W411" s="35">
        <f>+AI411</f>
        <v>0</v>
      </c>
      <c r="X411" s="35">
        <f>+AJ411</f>
        <v>0</v>
      </c>
      <c r="Y411" s="33" t="s">
        <v>41</v>
      </c>
      <c r="Z411" s="39">
        <f>+F411</f>
        <v>0</v>
      </c>
      <c r="AA411" s="40"/>
      <c r="AB411" s="65"/>
      <c r="AC411" s="35">
        <v>0</v>
      </c>
      <c r="AD411" s="35">
        <f t="shared" ref="AD411" si="408">+AB411+AC411</f>
        <v>0</v>
      </c>
      <c r="AE411" s="67"/>
      <c r="AF411" s="35">
        <f>+AB411*AE411</f>
        <v>0</v>
      </c>
      <c r="AG411" s="35">
        <f>+AC411*AE411</f>
        <v>0</v>
      </c>
      <c r="AH411" s="35">
        <f>+AD411*AE411</f>
        <v>0</v>
      </c>
      <c r="AI411" s="35">
        <f t="shared" ref="AI411" si="409">+ROUND(AF411,2)</f>
        <v>0</v>
      </c>
      <c r="AJ411" s="35">
        <f t="shared" ref="AJ411" si="410">+ROUND(AG411,2)</f>
        <v>0</v>
      </c>
      <c r="AK411" s="35">
        <f t="shared" ref="AK411" si="411">+ROUND(AH411,2)</f>
        <v>0</v>
      </c>
      <c r="AL411" s="35">
        <f>+AI411+AJ411-AK411</f>
        <v>0</v>
      </c>
      <c r="AM411" s="63"/>
      <c r="AN411" s="35" t="str">
        <f>+LEFT(AM411,2)</f>
        <v/>
      </c>
      <c r="AO411" s="35" t="str">
        <f>+MID(AM411,4,2)</f>
        <v/>
      </c>
      <c r="AP411" s="35" t="str">
        <f>+RIGHT(AM411,2)</f>
        <v/>
      </c>
      <c r="AQ411" s="35" t="str">
        <f>+CONCATENATE(AN411,AO411,AP411)</f>
        <v/>
      </c>
      <c r="AR411" s="41">
        <f>AM411+_xlfn.XLOOKUP(C411,Hoja1!A:A,Hoja1!B:B)</f>
        <v>0</v>
      </c>
      <c r="AS411" s="42">
        <f>+DAY(AR411)</f>
        <v>0</v>
      </c>
      <c r="AT411" s="35">
        <f>+MONTH(AR411)</f>
        <v>1</v>
      </c>
      <c r="AU411" s="35">
        <f>+YEAR(AR411)</f>
        <v>1900</v>
      </c>
      <c r="AV411" s="35" t="str">
        <f>+CONCATENATE(TEXT(AS411,"00"),TEXT(AT411,"00"),RIGHT(AU411,2))</f>
        <v>000100</v>
      </c>
    </row>
    <row r="412" spans="1:48" s="31" customFormat="1" ht="10.15" hidden="1" customHeight="1" x14ac:dyDescent="0.25">
      <c r="A412" s="27"/>
      <c r="B412" s="27"/>
      <c r="C412" s="1"/>
      <c r="D412" s="1"/>
      <c r="E412" s="1"/>
      <c r="F412" s="1"/>
      <c r="G412" s="1"/>
      <c r="H412" s="28"/>
      <c r="I412" s="28"/>
      <c r="J412" s="1"/>
      <c r="K412" s="29"/>
      <c r="L412" s="28"/>
      <c r="M412" s="1"/>
      <c r="N412" s="1"/>
      <c r="O412" s="1"/>
      <c r="P412" s="1"/>
      <c r="Q412" s="1"/>
      <c r="R412" s="1"/>
      <c r="S412" s="28"/>
      <c r="T412" s="1"/>
      <c r="U412" s="1"/>
      <c r="V412" s="1"/>
      <c r="W412" s="28"/>
      <c r="X412" s="28"/>
      <c r="Y412" s="1"/>
      <c r="Z412" s="30"/>
      <c r="AA412" s="6"/>
      <c r="AB412" s="28"/>
      <c r="AC412" s="28"/>
      <c r="AD412" s="28"/>
      <c r="AE412" s="7"/>
      <c r="AF412" s="28"/>
      <c r="AG412" s="28"/>
      <c r="AH412" s="28"/>
      <c r="AI412" s="28"/>
      <c r="AJ412" s="28"/>
      <c r="AK412" s="28"/>
      <c r="AL412" s="28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s="31" customFormat="1" ht="10.15" hidden="1" customHeight="1" x14ac:dyDescent="0.25">
      <c r="A413" s="27"/>
      <c r="B413" s="27"/>
      <c r="C413" s="1"/>
      <c r="D413" s="1"/>
      <c r="E413" s="1"/>
      <c r="F413" s="1"/>
      <c r="G413" s="1"/>
      <c r="H413" s="28"/>
      <c r="I413" s="28"/>
      <c r="J413" s="1"/>
      <c r="K413" s="29"/>
      <c r="L413" s="28"/>
      <c r="M413" s="1"/>
      <c r="N413" s="1"/>
      <c r="O413" s="1"/>
      <c r="P413" s="1"/>
      <c r="Q413" s="1"/>
      <c r="R413" s="1"/>
      <c r="S413" s="28"/>
      <c r="T413" s="1"/>
      <c r="U413" s="1"/>
      <c r="V413" s="1"/>
      <c r="W413" s="28"/>
      <c r="X413" s="28"/>
      <c r="Y413" s="1"/>
      <c r="Z413" s="30"/>
      <c r="AA413" s="6"/>
      <c r="AB413" s="28"/>
      <c r="AC413" s="28"/>
      <c r="AD413" s="28"/>
      <c r="AE413" s="7"/>
      <c r="AF413" s="28"/>
      <c r="AG413" s="28"/>
      <c r="AH413" s="28"/>
      <c r="AI413" s="28"/>
      <c r="AJ413" s="28"/>
      <c r="AK413" s="28"/>
      <c r="AL413" s="28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s="31" customFormat="1" ht="10.15" hidden="1" customHeight="1" x14ac:dyDescent="0.25">
      <c r="A414" s="27"/>
      <c r="B414" s="27"/>
      <c r="C414" s="1"/>
      <c r="D414" s="1"/>
      <c r="E414" s="1"/>
      <c r="F414" s="1"/>
      <c r="G414" s="1"/>
      <c r="H414" s="28"/>
      <c r="I414" s="28"/>
      <c r="J414" s="1"/>
      <c r="K414" s="29"/>
      <c r="L414" s="28"/>
      <c r="M414" s="1"/>
      <c r="N414" s="1"/>
      <c r="O414" s="1"/>
      <c r="P414" s="1"/>
      <c r="Q414" s="1"/>
      <c r="R414" s="1"/>
      <c r="S414" s="28"/>
      <c r="T414" s="1"/>
      <c r="U414" s="1"/>
      <c r="V414" s="1"/>
      <c r="W414" s="28"/>
      <c r="X414" s="28"/>
      <c r="Y414" s="1"/>
      <c r="Z414" s="30"/>
      <c r="AA414" s="6"/>
      <c r="AB414" s="28"/>
      <c r="AC414" s="28"/>
      <c r="AD414" s="28"/>
      <c r="AE414" s="7"/>
      <c r="AF414" s="28"/>
      <c r="AG414" s="28"/>
      <c r="AH414" s="28"/>
      <c r="AI414" s="28"/>
      <c r="AJ414" s="28"/>
      <c r="AK414" s="28"/>
      <c r="AL414" s="28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ht="10.15" customHeight="1" x14ac:dyDescent="0.25">
      <c r="A415" s="44">
        <f>1+A411</f>
        <v>104</v>
      </c>
      <c r="B415" s="50"/>
      <c r="C415" s="57"/>
      <c r="D415" s="57"/>
      <c r="E415" s="34" t="str">
        <f>+AQ415</f>
        <v/>
      </c>
      <c r="F415" s="60"/>
      <c r="G415" s="34" t="str">
        <f>+AV415</f>
        <v>000100</v>
      </c>
      <c r="H415" s="35">
        <f>+AK415</f>
        <v>0</v>
      </c>
      <c r="I415" s="35">
        <f>+ROUND(AD415,2)</f>
        <v>0</v>
      </c>
      <c r="J415" s="57"/>
      <c r="K415" s="36">
        <f>+AE415</f>
        <v>0</v>
      </c>
      <c r="L415" s="35">
        <f>+AJ415</f>
        <v>0</v>
      </c>
      <c r="M415" s="37" t="s">
        <v>37</v>
      </c>
      <c r="N415" s="68"/>
      <c r="O415" s="57"/>
      <c r="P415" s="38" t="e">
        <f>+VLOOKUP(C415,Hoja1!$A$4:$C$57,3,FALSE)</f>
        <v>#N/A</v>
      </c>
      <c r="Q415" s="37" t="s">
        <v>38</v>
      </c>
      <c r="R415" s="68"/>
      <c r="S415" s="35" t="str">
        <f>(RIGHT(O415,7))</f>
        <v/>
      </c>
      <c r="T415" s="68"/>
      <c r="U415" s="37" t="s">
        <v>39</v>
      </c>
      <c r="V415" s="37" t="s">
        <v>40</v>
      </c>
      <c r="W415" s="35">
        <f>+AI415</f>
        <v>0</v>
      </c>
      <c r="X415" s="35">
        <f>+AJ415</f>
        <v>0</v>
      </c>
      <c r="Y415" s="33" t="s">
        <v>41</v>
      </c>
      <c r="Z415" s="39">
        <f>+F415</f>
        <v>0</v>
      </c>
      <c r="AA415" s="40"/>
      <c r="AB415" s="65"/>
      <c r="AC415" s="35">
        <v>0</v>
      </c>
      <c r="AD415" s="35">
        <f t="shared" ref="AD415" si="412">+AB415+AC415</f>
        <v>0</v>
      </c>
      <c r="AE415" s="67"/>
      <c r="AF415" s="35">
        <f>+AB415*AE415</f>
        <v>0</v>
      </c>
      <c r="AG415" s="35">
        <f>+AC415*AE415</f>
        <v>0</v>
      </c>
      <c r="AH415" s="35">
        <f>+AD415*AE415</f>
        <v>0</v>
      </c>
      <c r="AI415" s="35">
        <f t="shared" ref="AI415" si="413">+ROUND(AF415,2)</f>
        <v>0</v>
      </c>
      <c r="AJ415" s="35">
        <f t="shared" ref="AJ415" si="414">+ROUND(AG415,2)</f>
        <v>0</v>
      </c>
      <c r="AK415" s="35">
        <f t="shared" ref="AK415" si="415">+ROUND(AH415,2)</f>
        <v>0</v>
      </c>
      <c r="AL415" s="35">
        <f>+AI415+AJ415-AK415</f>
        <v>0</v>
      </c>
      <c r="AM415" s="63"/>
      <c r="AN415" s="35" t="str">
        <f>+LEFT(AM415,2)</f>
        <v/>
      </c>
      <c r="AO415" s="35" t="str">
        <f>+MID(AM415,4,2)</f>
        <v/>
      </c>
      <c r="AP415" s="35" t="str">
        <f>+RIGHT(AM415,2)</f>
        <v/>
      </c>
      <c r="AQ415" s="35" t="str">
        <f>+CONCATENATE(AN415,AO415,AP415)</f>
        <v/>
      </c>
      <c r="AR415" s="41">
        <f>AM415+_xlfn.XLOOKUP(C415,Hoja1!A:A,Hoja1!B:B)</f>
        <v>0</v>
      </c>
      <c r="AS415" s="42">
        <f>+DAY(AR415)</f>
        <v>0</v>
      </c>
      <c r="AT415" s="35">
        <f>+MONTH(AR415)</f>
        <v>1</v>
      </c>
      <c r="AU415" s="35">
        <f>+YEAR(AR415)</f>
        <v>1900</v>
      </c>
      <c r="AV415" s="35" t="str">
        <f>+CONCATENATE(TEXT(AS415,"00"),TEXT(AT415,"00"),RIGHT(AU415,2))</f>
        <v>000100</v>
      </c>
    </row>
    <row r="416" spans="1:48" s="31" customFormat="1" ht="10.15" hidden="1" customHeight="1" x14ac:dyDescent="0.25">
      <c r="A416" s="27"/>
      <c r="B416" s="27"/>
      <c r="C416" s="1"/>
      <c r="D416" s="1"/>
      <c r="E416" s="1"/>
      <c r="F416" s="1"/>
      <c r="G416" s="1"/>
      <c r="H416" s="28"/>
      <c r="I416" s="28"/>
      <c r="J416" s="1"/>
      <c r="K416" s="29"/>
      <c r="L416" s="28"/>
      <c r="M416" s="1"/>
      <c r="N416" s="1"/>
      <c r="O416" s="1"/>
      <c r="P416" s="1"/>
      <c r="Q416" s="1"/>
      <c r="R416" s="1"/>
      <c r="S416" s="28"/>
      <c r="T416" s="1"/>
      <c r="U416" s="1"/>
      <c r="V416" s="1"/>
      <c r="W416" s="28"/>
      <c r="X416" s="28"/>
      <c r="Y416" s="1"/>
      <c r="Z416" s="30"/>
      <c r="AA416" s="6"/>
      <c r="AB416" s="28"/>
      <c r="AC416" s="28"/>
      <c r="AD416" s="28"/>
      <c r="AE416" s="7"/>
      <c r="AF416" s="28"/>
      <c r="AG416" s="28"/>
      <c r="AH416" s="28"/>
      <c r="AI416" s="28"/>
      <c r="AJ416" s="28"/>
      <c r="AK416" s="28"/>
      <c r="AL416" s="28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s="31" customFormat="1" ht="10.15" hidden="1" customHeight="1" x14ac:dyDescent="0.25">
      <c r="A417" s="27"/>
      <c r="B417" s="27"/>
      <c r="C417" s="1"/>
      <c r="D417" s="1"/>
      <c r="E417" s="1"/>
      <c r="F417" s="1"/>
      <c r="G417" s="1"/>
      <c r="H417" s="28"/>
      <c r="I417" s="28"/>
      <c r="J417" s="1"/>
      <c r="K417" s="29"/>
      <c r="L417" s="28"/>
      <c r="M417" s="1"/>
      <c r="N417" s="1"/>
      <c r="O417" s="1"/>
      <c r="P417" s="1"/>
      <c r="Q417" s="1"/>
      <c r="R417" s="1"/>
      <c r="S417" s="28"/>
      <c r="T417" s="1"/>
      <c r="U417" s="1"/>
      <c r="V417" s="1"/>
      <c r="W417" s="28"/>
      <c r="X417" s="28"/>
      <c r="Y417" s="1"/>
      <c r="Z417" s="30"/>
      <c r="AA417" s="6"/>
      <c r="AB417" s="28"/>
      <c r="AC417" s="28"/>
      <c r="AD417" s="28"/>
      <c r="AE417" s="7"/>
      <c r="AF417" s="28"/>
      <c r="AG417" s="28"/>
      <c r="AH417" s="28"/>
      <c r="AI417" s="28"/>
      <c r="AJ417" s="28"/>
      <c r="AK417" s="28"/>
      <c r="AL417" s="28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s="31" customFormat="1" ht="10.15" hidden="1" customHeight="1" x14ac:dyDescent="0.25">
      <c r="A418" s="27"/>
      <c r="B418" s="27"/>
      <c r="C418" s="1"/>
      <c r="D418" s="1"/>
      <c r="E418" s="1"/>
      <c r="F418" s="1"/>
      <c r="G418" s="1"/>
      <c r="H418" s="28"/>
      <c r="I418" s="28"/>
      <c r="J418" s="1"/>
      <c r="K418" s="29"/>
      <c r="L418" s="28"/>
      <c r="M418" s="1"/>
      <c r="N418" s="1"/>
      <c r="O418" s="1"/>
      <c r="P418" s="1"/>
      <c r="Q418" s="1"/>
      <c r="R418" s="1"/>
      <c r="S418" s="28"/>
      <c r="T418" s="1"/>
      <c r="U418" s="1"/>
      <c r="V418" s="1"/>
      <c r="W418" s="28"/>
      <c r="X418" s="28"/>
      <c r="Y418" s="1"/>
      <c r="Z418" s="30"/>
      <c r="AA418" s="6"/>
      <c r="AB418" s="28"/>
      <c r="AC418" s="28"/>
      <c r="AD418" s="28"/>
      <c r="AE418" s="7"/>
      <c r="AF418" s="28"/>
      <c r="AG418" s="28"/>
      <c r="AH418" s="28"/>
      <c r="AI418" s="28"/>
      <c r="AJ418" s="28"/>
      <c r="AK418" s="28"/>
      <c r="AL418" s="28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ht="10.15" customHeight="1" x14ac:dyDescent="0.25">
      <c r="A419" s="44">
        <f>1+A415</f>
        <v>105</v>
      </c>
      <c r="B419" s="50"/>
      <c r="C419" s="57"/>
      <c r="D419" s="57"/>
      <c r="E419" s="34" t="str">
        <f>+AQ419</f>
        <v/>
      </c>
      <c r="F419" s="60"/>
      <c r="G419" s="34" t="str">
        <f>+AV419</f>
        <v>000100</v>
      </c>
      <c r="H419" s="35">
        <f>+AK419</f>
        <v>0</v>
      </c>
      <c r="I419" s="35">
        <f>+ROUND(AD419,2)</f>
        <v>0</v>
      </c>
      <c r="J419" s="57"/>
      <c r="K419" s="36">
        <f>+AE419</f>
        <v>0</v>
      </c>
      <c r="L419" s="35">
        <f>+AJ419</f>
        <v>0</v>
      </c>
      <c r="M419" s="37" t="s">
        <v>37</v>
      </c>
      <c r="N419" s="68"/>
      <c r="O419" s="57"/>
      <c r="P419" s="38" t="e">
        <f>+VLOOKUP(C419,Hoja1!$A$4:$C$57,3,FALSE)</f>
        <v>#N/A</v>
      </c>
      <c r="Q419" s="37" t="s">
        <v>38</v>
      </c>
      <c r="R419" s="68"/>
      <c r="S419" s="35" t="str">
        <f>(RIGHT(O419,7))</f>
        <v/>
      </c>
      <c r="T419" s="68"/>
      <c r="U419" s="37" t="s">
        <v>39</v>
      </c>
      <c r="V419" s="37" t="s">
        <v>40</v>
      </c>
      <c r="W419" s="35">
        <f>+AI419</f>
        <v>0</v>
      </c>
      <c r="X419" s="35">
        <f>+AJ419</f>
        <v>0</v>
      </c>
      <c r="Y419" s="33" t="s">
        <v>41</v>
      </c>
      <c r="Z419" s="39">
        <f>+F419</f>
        <v>0</v>
      </c>
      <c r="AA419" s="40"/>
      <c r="AB419" s="65"/>
      <c r="AC419" s="35">
        <v>0</v>
      </c>
      <c r="AD419" s="35">
        <f t="shared" ref="AD419" si="416">+AB419+AC419</f>
        <v>0</v>
      </c>
      <c r="AE419" s="67"/>
      <c r="AF419" s="35">
        <f>+AB419*AE419</f>
        <v>0</v>
      </c>
      <c r="AG419" s="35">
        <f>+AC419*AE419</f>
        <v>0</v>
      </c>
      <c r="AH419" s="35">
        <f>+AD419*AE419</f>
        <v>0</v>
      </c>
      <c r="AI419" s="35">
        <f t="shared" ref="AI419" si="417">+ROUND(AF419,2)</f>
        <v>0</v>
      </c>
      <c r="AJ419" s="35">
        <f t="shared" ref="AJ419" si="418">+ROUND(AG419,2)</f>
        <v>0</v>
      </c>
      <c r="AK419" s="35">
        <f t="shared" ref="AK419" si="419">+ROUND(AH419,2)</f>
        <v>0</v>
      </c>
      <c r="AL419" s="35">
        <f>+AI419+AJ419-AK419</f>
        <v>0</v>
      </c>
      <c r="AM419" s="63"/>
      <c r="AN419" s="35" t="str">
        <f>+LEFT(AM419,2)</f>
        <v/>
      </c>
      <c r="AO419" s="35" t="str">
        <f>+MID(AM419,4,2)</f>
        <v/>
      </c>
      <c r="AP419" s="35" t="str">
        <f>+RIGHT(AM419,2)</f>
        <v/>
      </c>
      <c r="AQ419" s="35" t="str">
        <f>+CONCATENATE(AN419,AO419,AP419)</f>
        <v/>
      </c>
      <c r="AR419" s="41">
        <f>AM419+_xlfn.XLOOKUP(C419,Hoja1!A:A,Hoja1!B:B)</f>
        <v>0</v>
      </c>
      <c r="AS419" s="42">
        <f>+DAY(AR419)</f>
        <v>0</v>
      </c>
      <c r="AT419" s="35">
        <f>+MONTH(AR419)</f>
        <v>1</v>
      </c>
      <c r="AU419" s="35">
        <f>+YEAR(AR419)</f>
        <v>1900</v>
      </c>
      <c r="AV419" s="35" t="str">
        <f>+CONCATENATE(TEXT(AS419,"00"),TEXT(AT419,"00"),RIGHT(AU419,2))</f>
        <v>000100</v>
      </c>
    </row>
    <row r="420" spans="1:48" s="31" customFormat="1" ht="10.15" hidden="1" customHeight="1" x14ac:dyDescent="0.25">
      <c r="A420" s="27"/>
      <c r="B420" s="27"/>
      <c r="C420" s="1"/>
      <c r="D420" s="1"/>
      <c r="E420" s="1"/>
      <c r="F420" s="1"/>
      <c r="G420" s="1"/>
      <c r="H420" s="28"/>
      <c r="I420" s="28"/>
      <c r="J420" s="1"/>
      <c r="K420" s="29"/>
      <c r="L420" s="28"/>
      <c r="M420" s="1"/>
      <c r="N420" s="1"/>
      <c r="O420" s="1"/>
      <c r="P420" s="1"/>
      <c r="Q420" s="1"/>
      <c r="R420" s="1"/>
      <c r="S420" s="28"/>
      <c r="T420" s="1"/>
      <c r="U420" s="1"/>
      <c r="V420" s="1"/>
      <c r="W420" s="28"/>
      <c r="X420" s="28"/>
      <c r="Y420" s="1"/>
      <c r="Z420" s="30"/>
      <c r="AA420" s="6"/>
      <c r="AB420" s="28"/>
      <c r="AC420" s="28"/>
      <c r="AD420" s="28"/>
      <c r="AE420" s="7"/>
      <c r="AF420" s="28"/>
      <c r="AG420" s="28"/>
      <c r="AH420" s="28"/>
      <c r="AI420" s="28"/>
      <c r="AJ420" s="28"/>
      <c r="AK420" s="28"/>
      <c r="AL420" s="28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s="31" customFormat="1" ht="10.15" hidden="1" customHeight="1" x14ac:dyDescent="0.25">
      <c r="A421" s="27"/>
      <c r="B421" s="27"/>
      <c r="C421" s="1"/>
      <c r="D421" s="1"/>
      <c r="E421" s="1"/>
      <c r="F421" s="1"/>
      <c r="G421" s="1"/>
      <c r="H421" s="28"/>
      <c r="I421" s="28"/>
      <c r="J421" s="1"/>
      <c r="K421" s="29"/>
      <c r="L421" s="28"/>
      <c r="M421" s="1"/>
      <c r="N421" s="1"/>
      <c r="O421" s="1"/>
      <c r="P421" s="1"/>
      <c r="Q421" s="1"/>
      <c r="R421" s="1"/>
      <c r="S421" s="28"/>
      <c r="T421" s="1"/>
      <c r="U421" s="1"/>
      <c r="V421" s="1"/>
      <c r="W421" s="28"/>
      <c r="X421" s="28"/>
      <c r="Y421" s="1"/>
      <c r="Z421" s="30"/>
      <c r="AA421" s="6"/>
      <c r="AB421" s="28"/>
      <c r="AC421" s="28"/>
      <c r="AD421" s="28"/>
      <c r="AE421" s="7"/>
      <c r="AF421" s="28"/>
      <c r="AG421" s="28"/>
      <c r="AH421" s="28"/>
      <c r="AI421" s="28"/>
      <c r="AJ421" s="28"/>
      <c r="AK421" s="28"/>
      <c r="AL421" s="28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s="31" customFormat="1" ht="10.15" hidden="1" customHeight="1" x14ac:dyDescent="0.25">
      <c r="A422" s="27"/>
      <c r="B422" s="27"/>
      <c r="C422" s="1"/>
      <c r="D422" s="1"/>
      <c r="E422" s="1"/>
      <c r="F422" s="1"/>
      <c r="G422" s="1"/>
      <c r="H422" s="28"/>
      <c r="I422" s="28"/>
      <c r="J422" s="1"/>
      <c r="K422" s="29"/>
      <c r="L422" s="28"/>
      <c r="M422" s="1"/>
      <c r="N422" s="1"/>
      <c r="O422" s="1"/>
      <c r="P422" s="1"/>
      <c r="Q422" s="1"/>
      <c r="R422" s="1"/>
      <c r="S422" s="28"/>
      <c r="T422" s="1"/>
      <c r="U422" s="1"/>
      <c r="V422" s="1"/>
      <c r="W422" s="28"/>
      <c r="X422" s="28"/>
      <c r="Y422" s="1"/>
      <c r="Z422" s="30"/>
      <c r="AA422" s="6"/>
      <c r="AB422" s="28"/>
      <c r="AC422" s="28"/>
      <c r="AD422" s="28"/>
      <c r="AE422" s="7"/>
      <c r="AF422" s="28"/>
      <c r="AG422" s="28"/>
      <c r="AH422" s="28"/>
      <c r="AI422" s="28"/>
      <c r="AJ422" s="28"/>
      <c r="AK422" s="28"/>
      <c r="AL422" s="28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ht="10.15" customHeight="1" x14ac:dyDescent="0.25">
      <c r="A423" s="44">
        <f>1+A419</f>
        <v>106</v>
      </c>
      <c r="B423" s="38"/>
      <c r="C423" s="57"/>
      <c r="D423" s="57"/>
      <c r="E423" s="34" t="str">
        <f>+AQ423</f>
        <v/>
      </c>
      <c r="F423" s="60"/>
      <c r="G423" s="34" t="str">
        <f>+AV423</f>
        <v>000100</v>
      </c>
      <c r="H423" s="35">
        <f>+AK423</f>
        <v>0</v>
      </c>
      <c r="I423" s="35">
        <f>+ROUND(AD423,2)</f>
        <v>0</v>
      </c>
      <c r="J423" s="57"/>
      <c r="K423" s="36">
        <f>+AE423</f>
        <v>0</v>
      </c>
      <c r="L423" s="35">
        <f>+AJ423</f>
        <v>0</v>
      </c>
      <c r="M423" s="37" t="s">
        <v>37</v>
      </c>
      <c r="N423" s="68"/>
      <c r="O423" s="57"/>
      <c r="P423" s="38" t="e">
        <f>+VLOOKUP(C423,Hoja1!$A$4:$C$57,3,FALSE)</f>
        <v>#N/A</v>
      </c>
      <c r="Q423" s="37" t="s">
        <v>38</v>
      </c>
      <c r="R423" s="68"/>
      <c r="S423" s="35" t="str">
        <f>(RIGHT(O423,7))</f>
        <v/>
      </c>
      <c r="T423" s="68"/>
      <c r="U423" s="37" t="s">
        <v>39</v>
      </c>
      <c r="V423" s="37" t="s">
        <v>40</v>
      </c>
      <c r="W423" s="35">
        <f>+AI423</f>
        <v>0</v>
      </c>
      <c r="X423" s="35">
        <f>+AJ423</f>
        <v>0</v>
      </c>
      <c r="Y423" s="33" t="s">
        <v>41</v>
      </c>
      <c r="Z423" s="39">
        <f>+F423</f>
        <v>0</v>
      </c>
      <c r="AA423" s="40"/>
      <c r="AB423" s="65"/>
      <c r="AC423" s="35">
        <v>0</v>
      </c>
      <c r="AD423" s="35">
        <f t="shared" ref="AD423" si="420">+AB423+AC423</f>
        <v>0</v>
      </c>
      <c r="AE423" s="67"/>
      <c r="AF423" s="35">
        <f>+AB423*AE423</f>
        <v>0</v>
      </c>
      <c r="AG423" s="35">
        <f>+AC423*AE423</f>
        <v>0</v>
      </c>
      <c r="AH423" s="35">
        <f>+AD423*AE423</f>
        <v>0</v>
      </c>
      <c r="AI423" s="35">
        <f t="shared" ref="AI423" si="421">+ROUND(AF423,2)</f>
        <v>0</v>
      </c>
      <c r="AJ423" s="35">
        <f t="shared" ref="AJ423" si="422">+ROUND(AG423,2)</f>
        <v>0</v>
      </c>
      <c r="AK423" s="35">
        <f t="shared" ref="AK423" si="423">+ROUND(AH423,2)</f>
        <v>0</v>
      </c>
      <c r="AL423" s="35">
        <f>+AI423+AJ423-AK423</f>
        <v>0</v>
      </c>
      <c r="AM423" s="62"/>
      <c r="AN423" s="35" t="str">
        <f>+LEFT(AM423,2)</f>
        <v/>
      </c>
      <c r="AO423" s="35" t="str">
        <f>+MID(AM423,4,2)</f>
        <v/>
      </c>
      <c r="AP423" s="35" t="str">
        <f>+RIGHT(AM423,2)</f>
        <v/>
      </c>
      <c r="AQ423" s="35" t="str">
        <f>+CONCATENATE(AN423,AO423,AP423)</f>
        <v/>
      </c>
      <c r="AR423" s="41">
        <f>AM423+_xlfn.XLOOKUP(C423,Hoja1!A:A,Hoja1!B:B)</f>
        <v>0</v>
      </c>
      <c r="AS423" s="42">
        <f>+DAY(AR423)</f>
        <v>0</v>
      </c>
      <c r="AT423" s="35">
        <f>+MONTH(AR423)</f>
        <v>1</v>
      </c>
      <c r="AU423" s="35">
        <f>+YEAR(AR423)</f>
        <v>1900</v>
      </c>
      <c r="AV423" s="35" t="str">
        <f>+CONCATENATE(TEXT(AS423,"00"),TEXT(AT423,"00"),RIGHT(AU423,2))</f>
        <v>000100</v>
      </c>
    </row>
    <row r="424" spans="1:48" s="31" customFormat="1" ht="10.15" hidden="1" customHeight="1" x14ac:dyDescent="0.25">
      <c r="A424" s="27"/>
      <c r="B424" s="27"/>
      <c r="C424" s="1"/>
      <c r="D424" s="1"/>
      <c r="E424" s="1"/>
      <c r="F424" s="1"/>
      <c r="G424" s="1"/>
      <c r="H424" s="28"/>
      <c r="I424" s="28"/>
      <c r="J424" s="1"/>
      <c r="K424" s="29"/>
      <c r="L424" s="28"/>
      <c r="M424" s="1"/>
      <c r="N424" s="1"/>
      <c r="O424" s="1"/>
      <c r="P424" s="1"/>
      <c r="Q424" s="1"/>
      <c r="R424" s="1"/>
      <c r="S424" s="28"/>
      <c r="T424" s="1"/>
      <c r="U424" s="1"/>
      <c r="V424" s="1"/>
      <c r="W424" s="28"/>
      <c r="X424" s="28"/>
      <c r="Y424" s="1"/>
      <c r="Z424" s="30"/>
      <c r="AA424" s="6"/>
      <c r="AB424" s="28"/>
      <c r="AC424" s="28"/>
      <c r="AD424" s="28"/>
      <c r="AE424" s="7"/>
      <c r="AF424" s="28"/>
      <c r="AG424" s="28"/>
      <c r="AH424" s="28"/>
      <c r="AI424" s="28"/>
      <c r="AJ424" s="28"/>
      <c r="AK424" s="28"/>
      <c r="AL424" s="28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s="31" customFormat="1" ht="10.15" hidden="1" customHeight="1" x14ac:dyDescent="0.25">
      <c r="A425" s="27"/>
      <c r="B425" s="27"/>
      <c r="C425" s="1"/>
      <c r="D425" s="1"/>
      <c r="E425" s="1"/>
      <c r="F425" s="1"/>
      <c r="G425" s="1"/>
      <c r="H425" s="28"/>
      <c r="I425" s="28"/>
      <c r="J425" s="1"/>
      <c r="K425" s="29"/>
      <c r="L425" s="28"/>
      <c r="M425" s="1"/>
      <c r="N425" s="1"/>
      <c r="O425" s="1"/>
      <c r="P425" s="1"/>
      <c r="Q425" s="1"/>
      <c r="R425" s="1"/>
      <c r="S425" s="28"/>
      <c r="T425" s="1"/>
      <c r="U425" s="1"/>
      <c r="V425" s="1"/>
      <c r="W425" s="28"/>
      <c r="X425" s="28"/>
      <c r="Y425" s="1"/>
      <c r="Z425" s="30"/>
      <c r="AA425" s="6"/>
      <c r="AB425" s="28"/>
      <c r="AC425" s="28"/>
      <c r="AD425" s="28"/>
      <c r="AE425" s="7"/>
      <c r="AF425" s="28"/>
      <c r="AG425" s="28"/>
      <c r="AH425" s="28"/>
      <c r="AI425" s="28"/>
      <c r="AJ425" s="28"/>
      <c r="AK425" s="28"/>
      <c r="AL425" s="28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s="31" customFormat="1" ht="10.15" hidden="1" customHeight="1" x14ac:dyDescent="0.25">
      <c r="A426" s="27"/>
      <c r="B426" s="27"/>
      <c r="C426" s="1"/>
      <c r="D426" s="1"/>
      <c r="E426" s="1"/>
      <c r="F426" s="1"/>
      <c r="G426" s="1"/>
      <c r="H426" s="28"/>
      <c r="I426" s="28"/>
      <c r="J426" s="1"/>
      <c r="K426" s="29"/>
      <c r="L426" s="28"/>
      <c r="M426" s="1"/>
      <c r="N426" s="1"/>
      <c r="O426" s="1"/>
      <c r="P426" s="1"/>
      <c r="Q426" s="1"/>
      <c r="R426" s="1"/>
      <c r="S426" s="28"/>
      <c r="T426" s="1"/>
      <c r="U426" s="1"/>
      <c r="V426" s="1"/>
      <c r="W426" s="28"/>
      <c r="X426" s="28"/>
      <c r="Y426" s="1"/>
      <c r="Z426" s="30"/>
      <c r="AA426" s="6"/>
      <c r="AB426" s="28"/>
      <c r="AC426" s="28"/>
      <c r="AD426" s="28"/>
      <c r="AE426" s="7"/>
      <c r="AF426" s="28"/>
      <c r="AG426" s="28"/>
      <c r="AH426" s="28"/>
      <c r="AI426" s="28"/>
      <c r="AJ426" s="28"/>
      <c r="AK426" s="28"/>
      <c r="AL426" s="28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ht="10.15" customHeight="1" x14ac:dyDescent="0.25">
      <c r="A427" s="44">
        <f>1+A423</f>
        <v>107</v>
      </c>
      <c r="B427" s="38"/>
      <c r="C427" s="57"/>
      <c r="D427" s="57"/>
      <c r="E427" s="34" t="str">
        <f>+AQ427</f>
        <v/>
      </c>
      <c r="F427" s="60"/>
      <c r="G427" s="34" t="str">
        <f>+AV427</f>
        <v>000100</v>
      </c>
      <c r="H427" s="35">
        <f>+AK427</f>
        <v>0</v>
      </c>
      <c r="I427" s="35">
        <f>+ROUND(AD427,2)</f>
        <v>0</v>
      </c>
      <c r="J427" s="57"/>
      <c r="K427" s="36">
        <f>+AE427</f>
        <v>0</v>
      </c>
      <c r="L427" s="35">
        <f>+AJ427</f>
        <v>0</v>
      </c>
      <c r="M427" s="37" t="s">
        <v>37</v>
      </c>
      <c r="N427" s="68"/>
      <c r="O427" s="57"/>
      <c r="P427" s="38" t="e">
        <f>+VLOOKUP(C427,Hoja1!$A$4:$C$57,3,FALSE)</f>
        <v>#N/A</v>
      </c>
      <c r="Q427" s="37" t="s">
        <v>38</v>
      </c>
      <c r="R427" s="68"/>
      <c r="S427" s="35" t="str">
        <f>(RIGHT(O427,7))</f>
        <v/>
      </c>
      <c r="T427" s="68"/>
      <c r="U427" s="37" t="s">
        <v>39</v>
      </c>
      <c r="V427" s="37" t="s">
        <v>40</v>
      </c>
      <c r="W427" s="35">
        <f>+AI427</f>
        <v>0</v>
      </c>
      <c r="X427" s="35">
        <f>+AJ427</f>
        <v>0</v>
      </c>
      <c r="Y427" s="33" t="s">
        <v>41</v>
      </c>
      <c r="Z427" s="39">
        <f>+F427</f>
        <v>0</v>
      </c>
      <c r="AA427" s="40"/>
      <c r="AB427" s="65"/>
      <c r="AC427" s="35">
        <v>0</v>
      </c>
      <c r="AD427" s="35">
        <f t="shared" ref="AD427" si="424">+AB427+AC427</f>
        <v>0</v>
      </c>
      <c r="AE427" s="67"/>
      <c r="AF427" s="35">
        <f>+AB427*AE427</f>
        <v>0</v>
      </c>
      <c r="AG427" s="35">
        <f>+AC427*AE427</f>
        <v>0</v>
      </c>
      <c r="AH427" s="35">
        <f>+AD427*AE427</f>
        <v>0</v>
      </c>
      <c r="AI427" s="35">
        <f t="shared" ref="AI427" si="425">+ROUND(AF427,2)</f>
        <v>0</v>
      </c>
      <c r="AJ427" s="35">
        <f t="shared" ref="AJ427" si="426">+ROUND(AG427,2)</f>
        <v>0</v>
      </c>
      <c r="AK427" s="35">
        <f t="shared" ref="AK427" si="427">+ROUND(AH427,2)</f>
        <v>0</v>
      </c>
      <c r="AL427" s="35">
        <f>+AI427+AJ427-AK427</f>
        <v>0</v>
      </c>
      <c r="AM427" s="63"/>
      <c r="AN427" s="35" t="str">
        <f>+LEFT(AM427,2)</f>
        <v/>
      </c>
      <c r="AO427" s="35" t="str">
        <f>+MID(AM427,4,2)</f>
        <v/>
      </c>
      <c r="AP427" s="35" t="str">
        <f>+RIGHT(AM427,2)</f>
        <v/>
      </c>
      <c r="AQ427" s="35" t="str">
        <f>+CONCATENATE(AN427,AO427,AP427)</f>
        <v/>
      </c>
      <c r="AR427" s="41">
        <f>AM427+_xlfn.XLOOKUP(C427,Hoja1!A:A,Hoja1!B:B)</f>
        <v>0</v>
      </c>
      <c r="AS427" s="42">
        <f>+DAY(AR427)</f>
        <v>0</v>
      </c>
      <c r="AT427" s="35">
        <f>+MONTH(AR427)</f>
        <v>1</v>
      </c>
      <c r="AU427" s="35">
        <f>+YEAR(AR427)</f>
        <v>1900</v>
      </c>
      <c r="AV427" s="35" t="str">
        <f>+CONCATENATE(TEXT(AS427,"00"),TEXT(AT427,"00"),RIGHT(AU427,2))</f>
        <v>000100</v>
      </c>
    </row>
    <row r="428" spans="1:48" s="31" customFormat="1" ht="10.15" hidden="1" customHeight="1" x14ac:dyDescent="0.25">
      <c r="A428" s="27"/>
      <c r="B428" s="27"/>
      <c r="C428" s="1"/>
      <c r="D428" s="1"/>
      <c r="E428" s="1"/>
      <c r="F428" s="1"/>
      <c r="G428" s="1"/>
      <c r="H428" s="28"/>
      <c r="I428" s="28"/>
      <c r="J428" s="1"/>
      <c r="K428" s="29"/>
      <c r="L428" s="28"/>
      <c r="M428" s="1"/>
      <c r="N428" s="1"/>
      <c r="O428" s="1"/>
      <c r="P428" s="1"/>
      <c r="Q428" s="1"/>
      <c r="R428" s="1"/>
      <c r="S428" s="28"/>
      <c r="T428" s="1"/>
      <c r="U428" s="1"/>
      <c r="V428" s="1"/>
      <c r="W428" s="28"/>
      <c r="X428" s="28"/>
      <c r="Y428" s="1"/>
      <c r="Z428" s="30"/>
      <c r="AA428" s="6"/>
      <c r="AB428" s="28"/>
      <c r="AC428" s="28"/>
      <c r="AD428" s="28"/>
      <c r="AE428" s="7"/>
      <c r="AF428" s="28"/>
      <c r="AG428" s="28"/>
      <c r="AH428" s="28"/>
      <c r="AI428" s="28"/>
      <c r="AJ428" s="28"/>
      <c r="AK428" s="28"/>
      <c r="AL428" s="28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s="31" customFormat="1" ht="10.15" hidden="1" customHeight="1" x14ac:dyDescent="0.25">
      <c r="A429" s="27"/>
      <c r="B429" s="27"/>
      <c r="C429" s="1"/>
      <c r="D429" s="1"/>
      <c r="E429" s="1"/>
      <c r="F429" s="1"/>
      <c r="G429" s="1"/>
      <c r="H429" s="28"/>
      <c r="I429" s="28"/>
      <c r="J429" s="1"/>
      <c r="K429" s="29"/>
      <c r="L429" s="28"/>
      <c r="M429" s="1"/>
      <c r="N429" s="1"/>
      <c r="O429" s="1"/>
      <c r="P429" s="1"/>
      <c r="Q429" s="1"/>
      <c r="R429" s="1"/>
      <c r="S429" s="28"/>
      <c r="T429" s="1"/>
      <c r="U429" s="1"/>
      <c r="V429" s="1"/>
      <c r="W429" s="28"/>
      <c r="X429" s="28"/>
      <c r="Y429" s="1"/>
      <c r="Z429" s="30"/>
      <c r="AA429" s="6"/>
      <c r="AB429" s="28"/>
      <c r="AC429" s="28"/>
      <c r="AD429" s="28"/>
      <c r="AE429" s="7"/>
      <c r="AF429" s="28"/>
      <c r="AG429" s="28"/>
      <c r="AH429" s="28"/>
      <c r="AI429" s="28"/>
      <c r="AJ429" s="28"/>
      <c r="AK429" s="28"/>
      <c r="AL429" s="28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s="31" customFormat="1" ht="10.15" hidden="1" customHeight="1" x14ac:dyDescent="0.25">
      <c r="A430" s="27"/>
      <c r="B430" s="27"/>
      <c r="C430" s="1"/>
      <c r="D430" s="1"/>
      <c r="E430" s="1"/>
      <c r="F430" s="1"/>
      <c r="G430" s="1"/>
      <c r="H430" s="28"/>
      <c r="I430" s="28"/>
      <c r="J430" s="1"/>
      <c r="K430" s="29"/>
      <c r="L430" s="28"/>
      <c r="M430" s="1"/>
      <c r="N430" s="1"/>
      <c r="O430" s="1"/>
      <c r="P430" s="1"/>
      <c r="Q430" s="1"/>
      <c r="R430" s="1"/>
      <c r="S430" s="28"/>
      <c r="T430" s="1"/>
      <c r="U430" s="1"/>
      <c r="V430" s="1"/>
      <c r="W430" s="28"/>
      <c r="X430" s="28"/>
      <c r="Y430" s="1"/>
      <c r="Z430" s="30"/>
      <c r="AA430" s="6"/>
      <c r="AB430" s="28"/>
      <c r="AC430" s="28"/>
      <c r="AD430" s="28"/>
      <c r="AE430" s="7"/>
      <c r="AF430" s="28"/>
      <c r="AG430" s="28"/>
      <c r="AH430" s="28"/>
      <c r="AI430" s="28"/>
      <c r="AJ430" s="28"/>
      <c r="AK430" s="28"/>
      <c r="AL430" s="28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ht="10.15" customHeight="1" x14ac:dyDescent="0.25">
      <c r="A431" s="44">
        <f>1+A427</f>
        <v>108</v>
      </c>
      <c r="B431" s="50"/>
      <c r="C431" s="57"/>
      <c r="D431" s="57"/>
      <c r="E431" s="34" t="str">
        <f>+AQ431</f>
        <v/>
      </c>
      <c r="F431" s="60"/>
      <c r="G431" s="34" t="str">
        <f>+AV431</f>
        <v>000100</v>
      </c>
      <c r="H431" s="35">
        <f>+AK431</f>
        <v>0</v>
      </c>
      <c r="I431" s="35">
        <f>+ROUND(AD431,2)</f>
        <v>0</v>
      </c>
      <c r="J431" s="57"/>
      <c r="K431" s="36">
        <f>+AE431</f>
        <v>0</v>
      </c>
      <c r="L431" s="35">
        <f>+AJ431</f>
        <v>0</v>
      </c>
      <c r="M431" s="37" t="s">
        <v>37</v>
      </c>
      <c r="N431" s="68"/>
      <c r="O431" s="57"/>
      <c r="P431" s="38" t="e">
        <f>+VLOOKUP(C431,Hoja1!$A$4:$C$57,3,FALSE)</f>
        <v>#N/A</v>
      </c>
      <c r="Q431" s="37" t="s">
        <v>38</v>
      </c>
      <c r="R431" s="68"/>
      <c r="S431" s="35" t="str">
        <f>(RIGHT(O431,7))</f>
        <v/>
      </c>
      <c r="T431" s="68"/>
      <c r="U431" s="37" t="s">
        <v>39</v>
      </c>
      <c r="V431" s="37" t="s">
        <v>40</v>
      </c>
      <c r="W431" s="35">
        <f>+AI431</f>
        <v>0</v>
      </c>
      <c r="X431" s="35">
        <f>+AJ431</f>
        <v>0</v>
      </c>
      <c r="Y431" s="33" t="s">
        <v>41</v>
      </c>
      <c r="Z431" s="39">
        <f>+F431</f>
        <v>0</v>
      </c>
      <c r="AA431" s="40"/>
      <c r="AB431" s="65"/>
      <c r="AC431" s="35">
        <v>0</v>
      </c>
      <c r="AD431" s="35">
        <f t="shared" ref="AD431" si="428">+AB431+AC431</f>
        <v>0</v>
      </c>
      <c r="AE431" s="67"/>
      <c r="AF431" s="35">
        <f>+AB431*AE431</f>
        <v>0</v>
      </c>
      <c r="AG431" s="35">
        <f>+AC431*AE431</f>
        <v>0</v>
      </c>
      <c r="AH431" s="35">
        <f>+AD431*AE431</f>
        <v>0</v>
      </c>
      <c r="AI431" s="35">
        <f t="shared" ref="AI431" si="429">+ROUND(AF431,2)</f>
        <v>0</v>
      </c>
      <c r="AJ431" s="35">
        <f t="shared" ref="AJ431" si="430">+ROUND(AG431,2)</f>
        <v>0</v>
      </c>
      <c r="AK431" s="35">
        <f t="shared" ref="AK431" si="431">+ROUND(AH431,2)</f>
        <v>0</v>
      </c>
      <c r="AL431" s="35">
        <f>+AI431+AJ431-AK431</f>
        <v>0</v>
      </c>
      <c r="AM431" s="63"/>
      <c r="AN431" s="35" t="str">
        <f>+LEFT(AM431,2)</f>
        <v/>
      </c>
      <c r="AO431" s="35" t="str">
        <f>+MID(AM431,4,2)</f>
        <v/>
      </c>
      <c r="AP431" s="35" t="str">
        <f>+RIGHT(AM431,2)</f>
        <v/>
      </c>
      <c r="AQ431" s="35" t="str">
        <f>+CONCATENATE(AN431,AO431,AP431)</f>
        <v/>
      </c>
      <c r="AR431" s="41">
        <f>AM431+_xlfn.XLOOKUP(C431,Hoja1!A:A,Hoja1!B:B)</f>
        <v>0</v>
      </c>
      <c r="AS431" s="42">
        <f>+DAY(AR431)</f>
        <v>0</v>
      </c>
      <c r="AT431" s="35">
        <f>+MONTH(AR431)</f>
        <v>1</v>
      </c>
      <c r="AU431" s="35">
        <f>+YEAR(AR431)</f>
        <v>1900</v>
      </c>
      <c r="AV431" s="35" t="str">
        <f>+CONCATENATE(TEXT(AS431,"00"),TEXT(AT431,"00"),RIGHT(AU431,2))</f>
        <v>000100</v>
      </c>
    </row>
    <row r="432" spans="1:48" s="31" customFormat="1" ht="10.15" hidden="1" customHeight="1" x14ac:dyDescent="0.25">
      <c r="A432" s="27"/>
      <c r="B432" s="27"/>
      <c r="C432" s="1"/>
      <c r="D432" s="1"/>
      <c r="E432" s="1"/>
      <c r="F432" s="1"/>
      <c r="G432" s="1"/>
      <c r="H432" s="28"/>
      <c r="I432" s="28"/>
      <c r="J432" s="1"/>
      <c r="K432" s="29"/>
      <c r="L432" s="28"/>
      <c r="M432" s="1"/>
      <c r="N432" s="1"/>
      <c r="O432" s="1"/>
      <c r="P432" s="1"/>
      <c r="Q432" s="1"/>
      <c r="R432" s="1"/>
      <c r="S432" s="28"/>
      <c r="T432" s="1"/>
      <c r="U432" s="1"/>
      <c r="V432" s="1"/>
      <c r="W432" s="28"/>
      <c r="X432" s="28"/>
      <c r="Y432" s="1"/>
      <c r="Z432" s="30"/>
      <c r="AA432" s="6"/>
      <c r="AB432" s="28"/>
      <c r="AC432" s="28"/>
      <c r="AD432" s="28"/>
      <c r="AE432" s="7"/>
      <c r="AF432" s="28"/>
      <c r="AG432" s="28"/>
      <c r="AH432" s="28"/>
      <c r="AI432" s="28"/>
      <c r="AJ432" s="28"/>
      <c r="AK432" s="28"/>
      <c r="AL432" s="28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s="31" customFormat="1" ht="10.15" hidden="1" customHeight="1" x14ac:dyDescent="0.25">
      <c r="A433" s="27"/>
      <c r="B433" s="27"/>
      <c r="C433" s="1"/>
      <c r="D433" s="1"/>
      <c r="E433" s="1"/>
      <c r="F433" s="1"/>
      <c r="G433" s="1"/>
      <c r="H433" s="28"/>
      <c r="I433" s="28"/>
      <c r="J433" s="1"/>
      <c r="K433" s="29"/>
      <c r="L433" s="28"/>
      <c r="M433" s="1"/>
      <c r="N433" s="1"/>
      <c r="O433" s="1"/>
      <c r="P433" s="1"/>
      <c r="Q433" s="1"/>
      <c r="R433" s="1"/>
      <c r="S433" s="28"/>
      <c r="T433" s="1"/>
      <c r="U433" s="1"/>
      <c r="V433" s="1"/>
      <c r="W433" s="28"/>
      <c r="X433" s="28"/>
      <c r="Y433" s="1"/>
      <c r="Z433" s="30"/>
      <c r="AA433" s="6"/>
      <c r="AB433" s="28"/>
      <c r="AC433" s="28"/>
      <c r="AD433" s="28"/>
      <c r="AE433" s="7"/>
      <c r="AF433" s="28"/>
      <c r="AG433" s="28"/>
      <c r="AH433" s="28"/>
      <c r="AI433" s="28"/>
      <c r="AJ433" s="28"/>
      <c r="AK433" s="28"/>
      <c r="AL433" s="28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s="31" customFormat="1" ht="10.15" hidden="1" customHeight="1" x14ac:dyDescent="0.25">
      <c r="A434" s="27"/>
      <c r="B434" s="27"/>
      <c r="C434" s="1"/>
      <c r="D434" s="1"/>
      <c r="E434" s="1"/>
      <c r="F434" s="1"/>
      <c r="G434" s="1"/>
      <c r="H434" s="28"/>
      <c r="I434" s="28"/>
      <c r="J434" s="1"/>
      <c r="K434" s="29"/>
      <c r="L434" s="28"/>
      <c r="M434" s="1"/>
      <c r="N434" s="1"/>
      <c r="O434" s="1"/>
      <c r="P434" s="1"/>
      <c r="Q434" s="1"/>
      <c r="R434" s="1"/>
      <c r="S434" s="28"/>
      <c r="T434" s="1"/>
      <c r="U434" s="1"/>
      <c r="V434" s="1"/>
      <c r="W434" s="28"/>
      <c r="X434" s="28"/>
      <c r="Y434" s="1"/>
      <c r="Z434" s="30"/>
      <c r="AA434" s="6"/>
      <c r="AB434" s="28"/>
      <c r="AC434" s="28"/>
      <c r="AD434" s="28"/>
      <c r="AE434" s="7"/>
      <c r="AF434" s="28"/>
      <c r="AG434" s="28"/>
      <c r="AH434" s="28"/>
      <c r="AI434" s="28"/>
      <c r="AJ434" s="28"/>
      <c r="AK434" s="28"/>
      <c r="AL434" s="28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ht="10.15" customHeight="1" x14ac:dyDescent="0.25">
      <c r="A435" s="44">
        <f>1+A431</f>
        <v>109</v>
      </c>
      <c r="B435" s="50"/>
      <c r="C435" s="57"/>
      <c r="D435" s="57"/>
      <c r="E435" s="34" t="str">
        <f>+AQ435</f>
        <v/>
      </c>
      <c r="F435" s="60"/>
      <c r="G435" s="34" t="str">
        <f>+AV435</f>
        <v>000100</v>
      </c>
      <c r="H435" s="35">
        <f>+AK435</f>
        <v>0</v>
      </c>
      <c r="I435" s="35">
        <f>+ROUND(AD435,2)</f>
        <v>0</v>
      </c>
      <c r="J435" s="57"/>
      <c r="K435" s="36">
        <f>+AE435</f>
        <v>0</v>
      </c>
      <c r="L435" s="35">
        <f>+AJ435</f>
        <v>0</v>
      </c>
      <c r="M435" s="37" t="s">
        <v>37</v>
      </c>
      <c r="N435" s="68"/>
      <c r="O435" s="57"/>
      <c r="P435" s="38" t="e">
        <f>+VLOOKUP(C435,Hoja1!$A$4:$C$57,3,FALSE)</f>
        <v>#N/A</v>
      </c>
      <c r="Q435" s="37" t="s">
        <v>38</v>
      </c>
      <c r="R435" s="68"/>
      <c r="S435" s="35" t="str">
        <f>(RIGHT(O435,7))</f>
        <v/>
      </c>
      <c r="T435" s="68"/>
      <c r="U435" s="37" t="s">
        <v>39</v>
      </c>
      <c r="V435" s="37" t="s">
        <v>40</v>
      </c>
      <c r="W435" s="35">
        <f>+AI435</f>
        <v>0</v>
      </c>
      <c r="X435" s="35">
        <f>+AJ435</f>
        <v>0</v>
      </c>
      <c r="Y435" s="33" t="s">
        <v>41</v>
      </c>
      <c r="Z435" s="39">
        <f>+F435</f>
        <v>0</v>
      </c>
      <c r="AA435" s="40"/>
      <c r="AB435" s="65"/>
      <c r="AC435" s="35">
        <v>0</v>
      </c>
      <c r="AD435" s="35">
        <f t="shared" ref="AD435" si="432">+AB435+AC435</f>
        <v>0</v>
      </c>
      <c r="AE435" s="67"/>
      <c r="AF435" s="35">
        <f>+AB435*AE435</f>
        <v>0</v>
      </c>
      <c r="AG435" s="35">
        <f>+AC435*AE435</f>
        <v>0</v>
      </c>
      <c r="AH435" s="35">
        <f>+AD435*AE435</f>
        <v>0</v>
      </c>
      <c r="AI435" s="35">
        <f t="shared" ref="AI435" si="433">+ROUND(AF435,2)</f>
        <v>0</v>
      </c>
      <c r="AJ435" s="35">
        <f t="shared" ref="AJ435" si="434">+ROUND(AG435,2)</f>
        <v>0</v>
      </c>
      <c r="AK435" s="35">
        <f t="shared" ref="AK435" si="435">+ROUND(AH435,2)</f>
        <v>0</v>
      </c>
      <c r="AL435" s="35">
        <f>+AI435+AJ435-AK435</f>
        <v>0</v>
      </c>
      <c r="AM435" s="63"/>
      <c r="AN435" s="35" t="str">
        <f>+LEFT(AM435,2)</f>
        <v/>
      </c>
      <c r="AO435" s="35" t="str">
        <f>+MID(AM435,4,2)</f>
        <v/>
      </c>
      <c r="AP435" s="35" t="str">
        <f>+RIGHT(AM435,2)</f>
        <v/>
      </c>
      <c r="AQ435" s="35" t="str">
        <f>+CONCATENATE(AN435,AO435,AP435)</f>
        <v/>
      </c>
      <c r="AR435" s="41">
        <f>AM435+_xlfn.XLOOKUP(C435,Hoja1!A:A,Hoja1!B:B)</f>
        <v>0</v>
      </c>
      <c r="AS435" s="42">
        <f>+DAY(AR435)</f>
        <v>0</v>
      </c>
      <c r="AT435" s="35">
        <f>+MONTH(AR435)</f>
        <v>1</v>
      </c>
      <c r="AU435" s="35">
        <f>+YEAR(AR435)</f>
        <v>1900</v>
      </c>
      <c r="AV435" s="35" t="str">
        <f>+CONCATENATE(TEXT(AS435,"00"),TEXT(AT435,"00"),RIGHT(AU435,2))</f>
        <v>000100</v>
      </c>
    </row>
    <row r="436" spans="1:48" s="31" customFormat="1" ht="10.15" hidden="1" customHeight="1" x14ac:dyDescent="0.25">
      <c r="A436" s="27"/>
      <c r="B436" s="27"/>
      <c r="C436" s="1"/>
      <c r="D436" s="1"/>
      <c r="E436" s="1"/>
      <c r="F436" s="1"/>
      <c r="G436" s="1"/>
      <c r="H436" s="28"/>
      <c r="I436" s="28"/>
      <c r="J436" s="1"/>
      <c r="K436" s="29"/>
      <c r="L436" s="28"/>
      <c r="M436" s="1"/>
      <c r="N436" s="1"/>
      <c r="O436" s="1"/>
      <c r="P436" s="1"/>
      <c r="Q436" s="1"/>
      <c r="R436" s="1"/>
      <c r="S436" s="28"/>
      <c r="T436" s="1"/>
      <c r="U436" s="1"/>
      <c r="V436" s="1"/>
      <c r="W436" s="28"/>
      <c r="X436" s="28"/>
      <c r="Y436" s="1"/>
      <c r="Z436" s="30"/>
      <c r="AA436" s="6"/>
      <c r="AB436" s="28"/>
      <c r="AC436" s="28"/>
      <c r="AD436" s="28"/>
      <c r="AE436" s="7"/>
      <c r="AF436" s="28"/>
      <c r="AG436" s="28"/>
      <c r="AH436" s="28"/>
      <c r="AI436" s="28"/>
      <c r="AJ436" s="28"/>
      <c r="AK436" s="28"/>
      <c r="AL436" s="28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s="31" customFormat="1" ht="10.15" hidden="1" customHeight="1" x14ac:dyDescent="0.25">
      <c r="A437" s="27"/>
      <c r="B437" s="27"/>
      <c r="C437" s="1"/>
      <c r="D437" s="1"/>
      <c r="E437" s="1"/>
      <c r="F437" s="1"/>
      <c r="G437" s="1"/>
      <c r="H437" s="28"/>
      <c r="I437" s="28"/>
      <c r="J437" s="1"/>
      <c r="K437" s="29"/>
      <c r="L437" s="28"/>
      <c r="M437" s="1"/>
      <c r="N437" s="1"/>
      <c r="O437" s="1"/>
      <c r="P437" s="1"/>
      <c r="Q437" s="1"/>
      <c r="R437" s="1"/>
      <c r="S437" s="28"/>
      <c r="T437" s="1"/>
      <c r="U437" s="1"/>
      <c r="V437" s="1"/>
      <c r="W437" s="28"/>
      <c r="X437" s="28"/>
      <c r="Y437" s="1"/>
      <c r="Z437" s="30"/>
      <c r="AA437" s="6"/>
      <c r="AB437" s="28"/>
      <c r="AC437" s="28"/>
      <c r="AD437" s="28"/>
      <c r="AE437" s="7"/>
      <c r="AF437" s="28"/>
      <c r="AG437" s="28"/>
      <c r="AH437" s="28"/>
      <c r="AI437" s="28"/>
      <c r="AJ437" s="28"/>
      <c r="AK437" s="28"/>
      <c r="AL437" s="28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s="31" customFormat="1" ht="10.15" hidden="1" customHeight="1" x14ac:dyDescent="0.25">
      <c r="A438" s="27"/>
      <c r="B438" s="27"/>
      <c r="C438" s="1"/>
      <c r="D438" s="1"/>
      <c r="E438" s="1"/>
      <c r="F438" s="1"/>
      <c r="G438" s="1"/>
      <c r="H438" s="28"/>
      <c r="I438" s="28"/>
      <c r="J438" s="1"/>
      <c r="K438" s="29"/>
      <c r="L438" s="28"/>
      <c r="M438" s="1"/>
      <c r="N438" s="1"/>
      <c r="O438" s="1"/>
      <c r="P438" s="1"/>
      <c r="Q438" s="1"/>
      <c r="R438" s="1"/>
      <c r="S438" s="28"/>
      <c r="T438" s="1"/>
      <c r="U438" s="1"/>
      <c r="V438" s="1"/>
      <c r="W438" s="28"/>
      <c r="X438" s="28"/>
      <c r="Y438" s="1"/>
      <c r="Z438" s="30"/>
      <c r="AA438" s="6"/>
      <c r="AB438" s="28"/>
      <c r="AC438" s="28"/>
      <c r="AD438" s="28"/>
      <c r="AE438" s="7"/>
      <c r="AF438" s="28"/>
      <c r="AG438" s="28"/>
      <c r="AH438" s="28"/>
      <c r="AI438" s="28"/>
      <c r="AJ438" s="28"/>
      <c r="AK438" s="28"/>
      <c r="AL438" s="28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ht="10.15" customHeight="1" x14ac:dyDescent="0.25">
      <c r="A439" s="44">
        <f>1+A435</f>
        <v>110</v>
      </c>
      <c r="B439" s="38"/>
      <c r="C439" s="57"/>
      <c r="D439" s="57"/>
      <c r="E439" s="34" t="str">
        <f>+AQ439</f>
        <v/>
      </c>
      <c r="F439" s="60"/>
      <c r="G439" s="34" t="str">
        <f>+AV439</f>
        <v>000100</v>
      </c>
      <c r="H439" s="35">
        <f>+AK439</f>
        <v>0</v>
      </c>
      <c r="I439" s="35">
        <f>+ROUND(AD439,2)</f>
        <v>0</v>
      </c>
      <c r="J439" s="57"/>
      <c r="K439" s="36">
        <f>+AE439</f>
        <v>0</v>
      </c>
      <c r="L439" s="35">
        <f>+AJ439</f>
        <v>0</v>
      </c>
      <c r="M439" s="37" t="s">
        <v>37</v>
      </c>
      <c r="N439" s="68"/>
      <c r="O439" s="57"/>
      <c r="P439" s="38" t="e">
        <f>+VLOOKUP(C439,Hoja1!$A$4:$C$57,3,FALSE)</f>
        <v>#N/A</v>
      </c>
      <c r="Q439" s="37" t="s">
        <v>38</v>
      </c>
      <c r="R439" s="68"/>
      <c r="S439" s="35" t="str">
        <f>(RIGHT(O439,7))</f>
        <v/>
      </c>
      <c r="T439" s="68"/>
      <c r="U439" s="37" t="s">
        <v>39</v>
      </c>
      <c r="V439" s="37" t="s">
        <v>40</v>
      </c>
      <c r="W439" s="35">
        <f>+AI439</f>
        <v>0</v>
      </c>
      <c r="X439" s="35">
        <f>+AJ439</f>
        <v>0</v>
      </c>
      <c r="Y439" s="33" t="s">
        <v>41</v>
      </c>
      <c r="Z439" s="39">
        <f>+F439</f>
        <v>0</v>
      </c>
      <c r="AA439" s="40"/>
      <c r="AB439" s="65"/>
      <c r="AC439" s="35">
        <v>0</v>
      </c>
      <c r="AD439" s="35">
        <f t="shared" ref="AD439" si="436">+AB439+AC439</f>
        <v>0</v>
      </c>
      <c r="AE439" s="67"/>
      <c r="AF439" s="35">
        <f>+AB439*AE439</f>
        <v>0</v>
      </c>
      <c r="AG439" s="35">
        <f>+AC439*AE439</f>
        <v>0</v>
      </c>
      <c r="AH439" s="35">
        <f>+AD439*AE439</f>
        <v>0</v>
      </c>
      <c r="AI439" s="35">
        <f t="shared" ref="AI439" si="437">+ROUND(AF439,2)</f>
        <v>0</v>
      </c>
      <c r="AJ439" s="35">
        <f t="shared" ref="AJ439" si="438">+ROUND(AG439,2)</f>
        <v>0</v>
      </c>
      <c r="AK439" s="35">
        <f t="shared" ref="AK439" si="439">+ROUND(AH439,2)</f>
        <v>0</v>
      </c>
      <c r="AL439" s="35">
        <f>+AI439+AJ439-AK439</f>
        <v>0</v>
      </c>
      <c r="AM439" s="62"/>
      <c r="AN439" s="35" t="str">
        <f>+LEFT(AM439,2)</f>
        <v/>
      </c>
      <c r="AO439" s="35" t="str">
        <f>+MID(AM439,4,2)</f>
        <v/>
      </c>
      <c r="AP439" s="35" t="str">
        <f>+RIGHT(AM439,2)</f>
        <v/>
      </c>
      <c r="AQ439" s="35" t="str">
        <f>+CONCATENATE(AN439,AO439,AP439)</f>
        <v/>
      </c>
      <c r="AR439" s="41">
        <f>AM439+_xlfn.XLOOKUP(C439,Hoja1!A:A,Hoja1!B:B)</f>
        <v>0</v>
      </c>
      <c r="AS439" s="42">
        <f>+DAY(AR439)</f>
        <v>0</v>
      </c>
      <c r="AT439" s="35">
        <f>+MONTH(AR439)</f>
        <v>1</v>
      </c>
      <c r="AU439" s="35">
        <f>+YEAR(AR439)</f>
        <v>1900</v>
      </c>
      <c r="AV439" s="35" t="str">
        <f>+CONCATENATE(TEXT(AS439,"00"),TEXT(AT439,"00"),RIGHT(AU439,2))</f>
        <v>000100</v>
      </c>
    </row>
    <row r="440" spans="1:48" s="31" customFormat="1" ht="10.15" hidden="1" customHeight="1" x14ac:dyDescent="0.25">
      <c r="A440" s="27"/>
      <c r="B440" s="27"/>
      <c r="C440" s="1"/>
      <c r="D440" s="1"/>
      <c r="E440" s="1"/>
      <c r="F440" s="1"/>
      <c r="G440" s="1"/>
      <c r="H440" s="28"/>
      <c r="I440" s="28"/>
      <c r="J440" s="1"/>
      <c r="K440" s="29"/>
      <c r="L440" s="28"/>
      <c r="M440" s="1"/>
      <c r="N440" s="1"/>
      <c r="O440" s="1"/>
      <c r="P440" s="1"/>
      <c r="Q440" s="1"/>
      <c r="R440" s="1"/>
      <c r="S440" s="28"/>
      <c r="T440" s="1"/>
      <c r="U440" s="1"/>
      <c r="V440" s="1"/>
      <c r="W440" s="28"/>
      <c r="X440" s="28"/>
      <c r="Y440" s="1"/>
      <c r="Z440" s="30"/>
      <c r="AA440" s="6"/>
      <c r="AB440" s="28"/>
      <c r="AC440" s="28"/>
      <c r="AD440" s="28"/>
      <c r="AE440" s="7"/>
      <c r="AF440" s="28"/>
      <c r="AG440" s="28"/>
      <c r="AH440" s="28"/>
      <c r="AI440" s="28"/>
      <c r="AJ440" s="28"/>
      <c r="AK440" s="28"/>
      <c r="AL440" s="28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s="31" customFormat="1" ht="10.15" hidden="1" customHeight="1" x14ac:dyDescent="0.25">
      <c r="A441" s="27"/>
      <c r="B441" s="27"/>
      <c r="C441" s="1"/>
      <c r="D441" s="1"/>
      <c r="E441" s="1"/>
      <c r="F441" s="1"/>
      <c r="G441" s="1"/>
      <c r="H441" s="28"/>
      <c r="I441" s="28"/>
      <c r="J441" s="1"/>
      <c r="K441" s="29"/>
      <c r="L441" s="28"/>
      <c r="M441" s="1"/>
      <c r="N441" s="1"/>
      <c r="O441" s="1"/>
      <c r="P441" s="1"/>
      <c r="Q441" s="1"/>
      <c r="R441" s="1"/>
      <c r="S441" s="28"/>
      <c r="T441" s="1"/>
      <c r="U441" s="1"/>
      <c r="V441" s="1"/>
      <c r="W441" s="28"/>
      <c r="X441" s="28"/>
      <c r="Y441" s="1"/>
      <c r="Z441" s="30"/>
      <c r="AA441" s="6"/>
      <c r="AB441" s="28"/>
      <c r="AC441" s="28"/>
      <c r="AD441" s="28"/>
      <c r="AE441" s="7"/>
      <c r="AF441" s="28"/>
      <c r="AG441" s="28"/>
      <c r="AH441" s="28"/>
      <c r="AI441" s="28"/>
      <c r="AJ441" s="28"/>
      <c r="AK441" s="28"/>
      <c r="AL441" s="28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s="31" customFormat="1" ht="10.15" hidden="1" customHeight="1" x14ac:dyDescent="0.25">
      <c r="A442" s="27"/>
      <c r="B442" s="27"/>
      <c r="C442" s="1"/>
      <c r="D442" s="1"/>
      <c r="E442" s="1"/>
      <c r="F442" s="1"/>
      <c r="G442" s="1"/>
      <c r="H442" s="28"/>
      <c r="I442" s="28"/>
      <c r="J442" s="1"/>
      <c r="K442" s="29"/>
      <c r="L442" s="28"/>
      <c r="M442" s="1"/>
      <c r="N442" s="1"/>
      <c r="O442" s="1"/>
      <c r="P442" s="1"/>
      <c r="Q442" s="1"/>
      <c r="R442" s="1"/>
      <c r="S442" s="28"/>
      <c r="T442" s="1"/>
      <c r="U442" s="1"/>
      <c r="V442" s="1"/>
      <c r="W442" s="28"/>
      <c r="X442" s="28"/>
      <c r="Y442" s="1"/>
      <c r="Z442" s="30"/>
      <c r="AA442" s="6"/>
      <c r="AB442" s="28"/>
      <c r="AC442" s="28"/>
      <c r="AD442" s="28"/>
      <c r="AE442" s="7"/>
      <c r="AF442" s="28"/>
      <c r="AG442" s="28"/>
      <c r="AH442" s="28"/>
      <c r="AI442" s="28"/>
      <c r="AJ442" s="28"/>
      <c r="AK442" s="28"/>
      <c r="AL442" s="28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ht="10.15" customHeight="1" x14ac:dyDescent="0.25">
      <c r="A443" s="44">
        <f>1+A439</f>
        <v>111</v>
      </c>
      <c r="B443" s="38"/>
      <c r="C443" s="57"/>
      <c r="D443" s="57"/>
      <c r="E443" s="34" t="str">
        <f>+AQ443</f>
        <v/>
      </c>
      <c r="F443" s="60"/>
      <c r="G443" s="34" t="str">
        <f>+AV443</f>
        <v>000100</v>
      </c>
      <c r="H443" s="35">
        <f>+AK443</f>
        <v>0</v>
      </c>
      <c r="I443" s="35">
        <f>+ROUND(AD443,2)</f>
        <v>0</v>
      </c>
      <c r="J443" s="57"/>
      <c r="K443" s="36">
        <f>+AE443</f>
        <v>0</v>
      </c>
      <c r="L443" s="35">
        <f>+AJ443</f>
        <v>0</v>
      </c>
      <c r="M443" s="37" t="s">
        <v>37</v>
      </c>
      <c r="N443" s="68"/>
      <c r="O443" s="57"/>
      <c r="P443" s="38" t="e">
        <f>+VLOOKUP(C443,Hoja1!$A$4:$C$57,3,FALSE)</f>
        <v>#N/A</v>
      </c>
      <c r="Q443" s="37" t="s">
        <v>38</v>
      </c>
      <c r="R443" s="68"/>
      <c r="S443" s="35" t="str">
        <f>(RIGHT(O443,7))</f>
        <v/>
      </c>
      <c r="T443" s="68"/>
      <c r="U443" s="37" t="s">
        <v>39</v>
      </c>
      <c r="V443" s="37" t="s">
        <v>40</v>
      </c>
      <c r="W443" s="35">
        <f>+AI443</f>
        <v>0</v>
      </c>
      <c r="X443" s="35">
        <f>+AJ443</f>
        <v>0</v>
      </c>
      <c r="Y443" s="33" t="s">
        <v>41</v>
      </c>
      <c r="Z443" s="39">
        <f>+F443</f>
        <v>0</v>
      </c>
      <c r="AA443" s="40"/>
      <c r="AB443" s="65"/>
      <c r="AC443" s="35">
        <v>0</v>
      </c>
      <c r="AD443" s="35">
        <f t="shared" ref="AD443" si="440">+AB443+AC443</f>
        <v>0</v>
      </c>
      <c r="AE443" s="67"/>
      <c r="AF443" s="35">
        <f>+AB443*AE443</f>
        <v>0</v>
      </c>
      <c r="AG443" s="35">
        <f>+AC443*AE443</f>
        <v>0</v>
      </c>
      <c r="AH443" s="35">
        <f>+AD443*AE443</f>
        <v>0</v>
      </c>
      <c r="AI443" s="35">
        <f t="shared" ref="AI443" si="441">+ROUND(AF443,2)</f>
        <v>0</v>
      </c>
      <c r="AJ443" s="35">
        <f t="shared" ref="AJ443" si="442">+ROUND(AG443,2)</f>
        <v>0</v>
      </c>
      <c r="AK443" s="35">
        <f t="shared" ref="AK443" si="443">+ROUND(AH443,2)</f>
        <v>0</v>
      </c>
      <c r="AL443" s="35">
        <f>+AI443+AJ443-AK443</f>
        <v>0</v>
      </c>
      <c r="AM443" s="63"/>
      <c r="AN443" s="35" t="str">
        <f>+LEFT(AM443,2)</f>
        <v/>
      </c>
      <c r="AO443" s="35" t="str">
        <f>+MID(AM443,4,2)</f>
        <v/>
      </c>
      <c r="AP443" s="35" t="str">
        <f>+RIGHT(AM443,2)</f>
        <v/>
      </c>
      <c r="AQ443" s="35" t="str">
        <f>+CONCATENATE(AN443,AO443,AP443)</f>
        <v/>
      </c>
      <c r="AR443" s="41">
        <f>AM443+_xlfn.XLOOKUP(C443,Hoja1!A:A,Hoja1!B:B)</f>
        <v>0</v>
      </c>
      <c r="AS443" s="42">
        <f>+DAY(AR443)</f>
        <v>0</v>
      </c>
      <c r="AT443" s="35">
        <f>+MONTH(AR443)</f>
        <v>1</v>
      </c>
      <c r="AU443" s="35">
        <f>+YEAR(AR443)</f>
        <v>1900</v>
      </c>
      <c r="AV443" s="35" t="str">
        <f>+CONCATENATE(TEXT(AS443,"00"),TEXT(AT443,"00"),RIGHT(AU443,2))</f>
        <v>000100</v>
      </c>
    </row>
    <row r="444" spans="1:48" s="31" customFormat="1" ht="10.15" hidden="1" customHeight="1" x14ac:dyDescent="0.25">
      <c r="A444" s="27"/>
      <c r="B444" s="27"/>
      <c r="C444" s="1"/>
      <c r="D444" s="1"/>
      <c r="E444" s="1"/>
      <c r="F444" s="1"/>
      <c r="G444" s="1"/>
      <c r="H444" s="28"/>
      <c r="I444" s="28"/>
      <c r="J444" s="1"/>
      <c r="K444" s="29"/>
      <c r="L444" s="28"/>
      <c r="M444" s="1"/>
      <c r="N444" s="1"/>
      <c r="O444" s="1"/>
      <c r="P444" s="1"/>
      <c r="Q444" s="1"/>
      <c r="R444" s="1"/>
      <c r="S444" s="28"/>
      <c r="T444" s="1"/>
      <c r="U444" s="1"/>
      <c r="V444" s="1"/>
      <c r="W444" s="28"/>
      <c r="X444" s="28"/>
      <c r="Y444" s="1"/>
      <c r="Z444" s="30"/>
      <c r="AA444" s="6"/>
      <c r="AB444" s="28"/>
      <c r="AC444" s="28"/>
      <c r="AD444" s="28"/>
      <c r="AE444" s="7"/>
      <c r="AF444" s="28"/>
      <c r="AG444" s="28"/>
      <c r="AH444" s="28"/>
      <c r="AI444" s="28"/>
      <c r="AJ444" s="28"/>
      <c r="AK444" s="28"/>
      <c r="AL444" s="28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s="31" customFormat="1" ht="10.15" hidden="1" customHeight="1" x14ac:dyDescent="0.25">
      <c r="A445" s="27"/>
      <c r="B445" s="27"/>
      <c r="C445" s="1"/>
      <c r="D445" s="1"/>
      <c r="E445" s="1"/>
      <c r="F445" s="1"/>
      <c r="G445" s="1"/>
      <c r="H445" s="28"/>
      <c r="I445" s="28"/>
      <c r="J445" s="1"/>
      <c r="K445" s="29"/>
      <c r="L445" s="28"/>
      <c r="M445" s="1"/>
      <c r="N445" s="1"/>
      <c r="O445" s="1"/>
      <c r="P445" s="1"/>
      <c r="Q445" s="1"/>
      <c r="R445" s="1"/>
      <c r="S445" s="28"/>
      <c r="T445" s="1"/>
      <c r="U445" s="1"/>
      <c r="V445" s="1"/>
      <c r="W445" s="28"/>
      <c r="X445" s="28"/>
      <c r="Y445" s="1"/>
      <c r="Z445" s="30"/>
      <c r="AA445" s="6"/>
      <c r="AB445" s="28"/>
      <c r="AC445" s="28"/>
      <c r="AD445" s="28"/>
      <c r="AE445" s="7"/>
      <c r="AF445" s="28"/>
      <c r="AG445" s="28"/>
      <c r="AH445" s="28"/>
      <c r="AI445" s="28"/>
      <c r="AJ445" s="28"/>
      <c r="AK445" s="28"/>
      <c r="AL445" s="28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s="31" customFormat="1" ht="10.15" hidden="1" customHeight="1" x14ac:dyDescent="0.25">
      <c r="A446" s="27"/>
      <c r="B446" s="27"/>
      <c r="C446" s="1"/>
      <c r="D446" s="1"/>
      <c r="E446" s="1"/>
      <c r="F446" s="1"/>
      <c r="G446" s="1"/>
      <c r="H446" s="28"/>
      <c r="I446" s="28"/>
      <c r="J446" s="1"/>
      <c r="K446" s="29"/>
      <c r="L446" s="28"/>
      <c r="M446" s="1"/>
      <c r="N446" s="1"/>
      <c r="O446" s="1"/>
      <c r="P446" s="1"/>
      <c r="Q446" s="1"/>
      <c r="R446" s="1"/>
      <c r="S446" s="28"/>
      <c r="T446" s="1"/>
      <c r="U446" s="1"/>
      <c r="V446" s="1"/>
      <c r="W446" s="28"/>
      <c r="X446" s="28"/>
      <c r="Y446" s="1"/>
      <c r="Z446" s="30"/>
      <c r="AA446" s="6"/>
      <c r="AB446" s="28"/>
      <c r="AC446" s="28"/>
      <c r="AD446" s="28"/>
      <c r="AE446" s="7"/>
      <c r="AF446" s="28"/>
      <c r="AG446" s="28"/>
      <c r="AH446" s="28"/>
      <c r="AI446" s="28"/>
      <c r="AJ446" s="28"/>
      <c r="AK446" s="28"/>
      <c r="AL446" s="28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ht="10.15" customHeight="1" x14ac:dyDescent="0.25">
      <c r="A447" s="44">
        <f>1+A443</f>
        <v>112</v>
      </c>
      <c r="B447" s="50"/>
      <c r="C447" s="57"/>
      <c r="D447" s="57"/>
      <c r="E447" s="34" t="str">
        <f>+AQ447</f>
        <v/>
      </c>
      <c r="F447" s="60"/>
      <c r="G447" s="34" t="str">
        <f>+AV447</f>
        <v>000100</v>
      </c>
      <c r="H447" s="35">
        <f>+AK447</f>
        <v>0</v>
      </c>
      <c r="I447" s="35">
        <f>+ROUND(AD447,2)</f>
        <v>0</v>
      </c>
      <c r="J447" s="57"/>
      <c r="K447" s="36">
        <f>+AE447</f>
        <v>0</v>
      </c>
      <c r="L447" s="35">
        <f>+AJ447</f>
        <v>0</v>
      </c>
      <c r="M447" s="37" t="s">
        <v>37</v>
      </c>
      <c r="N447" s="68"/>
      <c r="O447" s="57"/>
      <c r="P447" s="38" t="e">
        <f>+VLOOKUP(C447,Hoja1!$A$4:$C$57,3,FALSE)</f>
        <v>#N/A</v>
      </c>
      <c r="Q447" s="37" t="s">
        <v>38</v>
      </c>
      <c r="R447" s="68"/>
      <c r="S447" s="35" t="str">
        <f>(RIGHT(O447,7))</f>
        <v/>
      </c>
      <c r="T447" s="68"/>
      <c r="U447" s="37" t="s">
        <v>39</v>
      </c>
      <c r="V447" s="37" t="s">
        <v>40</v>
      </c>
      <c r="W447" s="35">
        <f>+AI447</f>
        <v>0</v>
      </c>
      <c r="X447" s="35">
        <f>+AJ447</f>
        <v>0</v>
      </c>
      <c r="Y447" s="33" t="s">
        <v>41</v>
      </c>
      <c r="Z447" s="39">
        <f>+F447</f>
        <v>0</v>
      </c>
      <c r="AA447" s="40"/>
      <c r="AB447" s="65"/>
      <c r="AC447" s="35">
        <v>0</v>
      </c>
      <c r="AD447" s="35">
        <f t="shared" ref="AD447" si="444">+AB447+AC447</f>
        <v>0</v>
      </c>
      <c r="AE447" s="67"/>
      <c r="AF447" s="35">
        <f>+AB447*AE447</f>
        <v>0</v>
      </c>
      <c r="AG447" s="35">
        <f>+AC447*AE447</f>
        <v>0</v>
      </c>
      <c r="AH447" s="35">
        <f>+AD447*AE447</f>
        <v>0</v>
      </c>
      <c r="AI447" s="35">
        <f t="shared" ref="AI447" si="445">+ROUND(AF447,2)</f>
        <v>0</v>
      </c>
      <c r="AJ447" s="35">
        <f t="shared" ref="AJ447" si="446">+ROUND(AG447,2)</f>
        <v>0</v>
      </c>
      <c r="AK447" s="35">
        <f t="shared" ref="AK447" si="447">+ROUND(AH447,2)</f>
        <v>0</v>
      </c>
      <c r="AL447" s="35">
        <f>+AI447+AJ447-AK447</f>
        <v>0</v>
      </c>
      <c r="AM447" s="63"/>
      <c r="AN447" s="35" t="str">
        <f>+LEFT(AM447,2)</f>
        <v/>
      </c>
      <c r="AO447" s="35" t="str">
        <f>+MID(AM447,4,2)</f>
        <v/>
      </c>
      <c r="AP447" s="35" t="str">
        <f>+RIGHT(AM447,2)</f>
        <v/>
      </c>
      <c r="AQ447" s="35" t="str">
        <f>+CONCATENATE(AN447,AO447,AP447)</f>
        <v/>
      </c>
      <c r="AR447" s="41">
        <f>AM447+_xlfn.XLOOKUP(C447,Hoja1!A:A,Hoja1!B:B)</f>
        <v>0</v>
      </c>
      <c r="AS447" s="42">
        <f>+DAY(AR447)</f>
        <v>0</v>
      </c>
      <c r="AT447" s="35">
        <f>+MONTH(AR447)</f>
        <v>1</v>
      </c>
      <c r="AU447" s="35">
        <f>+YEAR(AR447)</f>
        <v>1900</v>
      </c>
      <c r="AV447" s="35" t="str">
        <f>+CONCATENATE(TEXT(AS447,"00"),TEXT(AT447,"00"),RIGHT(AU447,2))</f>
        <v>000100</v>
      </c>
    </row>
    <row r="448" spans="1:48" s="31" customFormat="1" ht="10.15" hidden="1" customHeight="1" x14ac:dyDescent="0.25">
      <c r="A448" s="27"/>
      <c r="B448" s="27"/>
      <c r="C448" s="1"/>
      <c r="D448" s="1"/>
      <c r="E448" s="1"/>
      <c r="F448" s="1"/>
      <c r="G448" s="1"/>
      <c r="H448" s="28"/>
      <c r="I448" s="28"/>
      <c r="J448" s="1"/>
      <c r="K448" s="29"/>
      <c r="L448" s="28"/>
      <c r="M448" s="1"/>
      <c r="N448" s="1"/>
      <c r="O448" s="1"/>
      <c r="P448" s="1"/>
      <c r="Q448" s="1"/>
      <c r="R448" s="1"/>
      <c r="S448" s="28"/>
      <c r="T448" s="1"/>
      <c r="U448" s="1"/>
      <c r="V448" s="1"/>
      <c r="W448" s="28"/>
      <c r="X448" s="28"/>
      <c r="Y448" s="1"/>
      <c r="Z448" s="30"/>
      <c r="AA448" s="6"/>
      <c r="AB448" s="28"/>
      <c r="AC448" s="28"/>
      <c r="AD448" s="28"/>
      <c r="AE448" s="7"/>
      <c r="AF448" s="28"/>
      <c r="AG448" s="28"/>
      <c r="AH448" s="28"/>
      <c r="AI448" s="28"/>
      <c r="AJ448" s="28"/>
      <c r="AK448" s="28"/>
      <c r="AL448" s="28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s="31" customFormat="1" ht="10.15" hidden="1" customHeight="1" x14ac:dyDescent="0.25">
      <c r="A449" s="27"/>
      <c r="B449" s="27"/>
      <c r="C449" s="1"/>
      <c r="D449" s="1"/>
      <c r="E449" s="1"/>
      <c r="F449" s="1"/>
      <c r="G449" s="1"/>
      <c r="H449" s="28"/>
      <c r="I449" s="28"/>
      <c r="J449" s="1"/>
      <c r="K449" s="29"/>
      <c r="L449" s="28"/>
      <c r="M449" s="1"/>
      <c r="N449" s="1"/>
      <c r="O449" s="1"/>
      <c r="P449" s="1"/>
      <c r="Q449" s="1"/>
      <c r="R449" s="1"/>
      <c r="S449" s="28"/>
      <c r="T449" s="1"/>
      <c r="U449" s="1"/>
      <c r="V449" s="1"/>
      <c r="W449" s="28"/>
      <c r="X449" s="28"/>
      <c r="Y449" s="1"/>
      <c r="Z449" s="30"/>
      <c r="AA449" s="6"/>
      <c r="AB449" s="28"/>
      <c r="AC449" s="28"/>
      <c r="AD449" s="28"/>
      <c r="AE449" s="7"/>
      <c r="AF449" s="28"/>
      <c r="AG449" s="28"/>
      <c r="AH449" s="28"/>
      <c r="AI449" s="28"/>
      <c r="AJ449" s="28"/>
      <c r="AK449" s="28"/>
      <c r="AL449" s="28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s="31" customFormat="1" ht="10.15" hidden="1" customHeight="1" x14ac:dyDescent="0.25">
      <c r="A450" s="27"/>
      <c r="B450" s="27"/>
      <c r="C450" s="1"/>
      <c r="D450" s="1"/>
      <c r="E450" s="1"/>
      <c r="F450" s="1"/>
      <c r="G450" s="1"/>
      <c r="H450" s="28"/>
      <c r="I450" s="28"/>
      <c r="J450" s="1"/>
      <c r="K450" s="29"/>
      <c r="L450" s="28"/>
      <c r="M450" s="1"/>
      <c r="N450" s="1"/>
      <c r="O450" s="1"/>
      <c r="P450" s="1"/>
      <c r="Q450" s="1"/>
      <c r="R450" s="1"/>
      <c r="S450" s="28"/>
      <c r="T450" s="1"/>
      <c r="U450" s="1"/>
      <c r="V450" s="1"/>
      <c r="W450" s="28"/>
      <c r="X450" s="28"/>
      <c r="Y450" s="1"/>
      <c r="Z450" s="30"/>
      <c r="AA450" s="6"/>
      <c r="AB450" s="28"/>
      <c r="AC450" s="28"/>
      <c r="AD450" s="28"/>
      <c r="AE450" s="7"/>
      <c r="AF450" s="28"/>
      <c r="AG450" s="28"/>
      <c r="AH450" s="28"/>
      <c r="AI450" s="28"/>
      <c r="AJ450" s="28"/>
      <c r="AK450" s="28"/>
      <c r="AL450" s="28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ht="10.15" customHeight="1" x14ac:dyDescent="0.25">
      <c r="A451" s="44">
        <f>1+A447</f>
        <v>113</v>
      </c>
      <c r="B451" s="50"/>
      <c r="C451" s="57"/>
      <c r="D451" s="57"/>
      <c r="E451" s="34" t="str">
        <f>+AQ451</f>
        <v/>
      </c>
      <c r="F451" s="60"/>
      <c r="G451" s="34" t="str">
        <f>+AV451</f>
        <v>000100</v>
      </c>
      <c r="H451" s="35">
        <f>+AK451</f>
        <v>0</v>
      </c>
      <c r="I451" s="35">
        <f>+ROUND(AD451,2)</f>
        <v>0</v>
      </c>
      <c r="J451" s="57"/>
      <c r="K451" s="36">
        <f>+AE451</f>
        <v>0</v>
      </c>
      <c r="L451" s="35">
        <f>+AJ451</f>
        <v>0</v>
      </c>
      <c r="M451" s="37" t="s">
        <v>37</v>
      </c>
      <c r="N451" s="68"/>
      <c r="O451" s="57"/>
      <c r="P451" s="38" t="e">
        <f>+VLOOKUP(C451,Hoja1!$A$4:$C$57,3,FALSE)</f>
        <v>#N/A</v>
      </c>
      <c r="Q451" s="37" t="s">
        <v>38</v>
      </c>
      <c r="R451" s="68"/>
      <c r="S451" s="35" t="str">
        <f>(RIGHT(O451,7))</f>
        <v/>
      </c>
      <c r="T451" s="68"/>
      <c r="U451" s="37" t="s">
        <v>39</v>
      </c>
      <c r="V451" s="37" t="s">
        <v>40</v>
      </c>
      <c r="W451" s="35">
        <f>+AI451</f>
        <v>0</v>
      </c>
      <c r="X451" s="35">
        <f>+AJ451</f>
        <v>0</v>
      </c>
      <c r="Y451" s="33" t="s">
        <v>41</v>
      </c>
      <c r="Z451" s="39">
        <f>+F451</f>
        <v>0</v>
      </c>
      <c r="AA451" s="40"/>
      <c r="AB451" s="65"/>
      <c r="AC451" s="35">
        <v>0</v>
      </c>
      <c r="AD451" s="35">
        <f t="shared" ref="AD451" si="448">+AB451+AC451</f>
        <v>0</v>
      </c>
      <c r="AE451" s="67"/>
      <c r="AF451" s="35">
        <f>+AB451*AE451</f>
        <v>0</v>
      </c>
      <c r="AG451" s="35">
        <f>+AC451*AE451</f>
        <v>0</v>
      </c>
      <c r="AH451" s="35">
        <f>+AD451*AE451</f>
        <v>0</v>
      </c>
      <c r="AI451" s="35">
        <f t="shared" ref="AI451" si="449">+ROUND(AF451,2)</f>
        <v>0</v>
      </c>
      <c r="AJ451" s="35">
        <f t="shared" ref="AJ451" si="450">+ROUND(AG451,2)</f>
        <v>0</v>
      </c>
      <c r="AK451" s="35">
        <f t="shared" ref="AK451" si="451">+ROUND(AH451,2)</f>
        <v>0</v>
      </c>
      <c r="AL451" s="35">
        <f>+AI451+AJ451-AK451</f>
        <v>0</v>
      </c>
      <c r="AM451" s="63"/>
      <c r="AN451" s="35" t="str">
        <f>+LEFT(AM451,2)</f>
        <v/>
      </c>
      <c r="AO451" s="35" t="str">
        <f>+MID(AM451,4,2)</f>
        <v/>
      </c>
      <c r="AP451" s="35" t="str">
        <f>+RIGHT(AM451,2)</f>
        <v/>
      </c>
      <c r="AQ451" s="35" t="str">
        <f>+CONCATENATE(AN451,AO451,AP451)</f>
        <v/>
      </c>
      <c r="AR451" s="41">
        <f>AM451+_xlfn.XLOOKUP(C451,Hoja1!A:A,Hoja1!B:B)</f>
        <v>0</v>
      </c>
      <c r="AS451" s="42">
        <f>+DAY(AR451)</f>
        <v>0</v>
      </c>
      <c r="AT451" s="35">
        <f>+MONTH(AR451)</f>
        <v>1</v>
      </c>
      <c r="AU451" s="35">
        <f>+YEAR(AR451)</f>
        <v>1900</v>
      </c>
      <c r="AV451" s="35" t="str">
        <f>+CONCATENATE(TEXT(AS451,"00"),TEXT(AT451,"00"),RIGHT(AU451,2))</f>
        <v>000100</v>
      </c>
    </row>
    <row r="452" spans="1:48" s="31" customFormat="1" ht="10.15" hidden="1" customHeight="1" x14ac:dyDescent="0.25">
      <c r="A452" s="27"/>
      <c r="B452" s="27"/>
      <c r="C452" s="1"/>
      <c r="D452" s="1"/>
      <c r="E452" s="1"/>
      <c r="F452" s="1"/>
      <c r="G452" s="1"/>
      <c r="H452" s="28"/>
      <c r="I452" s="28"/>
      <c r="J452" s="1"/>
      <c r="K452" s="29"/>
      <c r="L452" s="28"/>
      <c r="M452" s="1"/>
      <c r="N452" s="1"/>
      <c r="O452" s="1"/>
      <c r="P452" s="1"/>
      <c r="Q452" s="1"/>
      <c r="R452" s="1"/>
      <c r="S452" s="28"/>
      <c r="T452" s="1"/>
      <c r="U452" s="1"/>
      <c r="V452" s="1"/>
      <c r="W452" s="28"/>
      <c r="X452" s="28"/>
      <c r="Y452" s="1"/>
      <c r="Z452" s="30"/>
      <c r="AA452" s="6"/>
      <c r="AB452" s="28"/>
      <c r="AC452" s="28"/>
      <c r="AD452" s="28"/>
      <c r="AE452" s="7"/>
      <c r="AF452" s="28"/>
      <c r="AG452" s="28"/>
      <c r="AH452" s="28"/>
      <c r="AI452" s="28"/>
      <c r="AJ452" s="28"/>
      <c r="AK452" s="28"/>
      <c r="AL452" s="28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s="31" customFormat="1" ht="10.15" hidden="1" customHeight="1" x14ac:dyDescent="0.25">
      <c r="A453" s="27"/>
      <c r="B453" s="27"/>
      <c r="C453" s="1"/>
      <c r="D453" s="1"/>
      <c r="E453" s="1"/>
      <c r="F453" s="1"/>
      <c r="G453" s="1"/>
      <c r="H453" s="28"/>
      <c r="I453" s="28"/>
      <c r="J453" s="1"/>
      <c r="K453" s="29"/>
      <c r="L453" s="28"/>
      <c r="M453" s="1"/>
      <c r="N453" s="1"/>
      <c r="O453" s="1"/>
      <c r="P453" s="1"/>
      <c r="Q453" s="1"/>
      <c r="R453" s="1"/>
      <c r="S453" s="28"/>
      <c r="T453" s="1"/>
      <c r="U453" s="1"/>
      <c r="V453" s="1"/>
      <c r="W453" s="28"/>
      <c r="X453" s="28"/>
      <c r="Y453" s="1"/>
      <c r="Z453" s="30"/>
      <c r="AA453" s="6"/>
      <c r="AB453" s="28"/>
      <c r="AC453" s="28"/>
      <c r="AD453" s="28"/>
      <c r="AE453" s="7"/>
      <c r="AF453" s="28"/>
      <c r="AG453" s="28"/>
      <c r="AH453" s="28"/>
      <c r="AI453" s="28"/>
      <c r="AJ453" s="28"/>
      <c r="AK453" s="28"/>
      <c r="AL453" s="28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s="31" customFormat="1" ht="10.15" hidden="1" customHeight="1" x14ac:dyDescent="0.25">
      <c r="A454" s="27"/>
      <c r="B454" s="27"/>
      <c r="C454" s="1"/>
      <c r="D454" s="1"/>
      <c r="E454" s="1"/>
      <c r="F454" s="1"/>
      <c r="G454" s="1"/>
      <c r="H454" s="28"/>
      <c r="I454" s="28"/>
      <c r="J454" s="1"/>
      <c r="K454" s="29"/>
      <c r="L454" s="28"/>
      <c r="M454" s="1"/>
      <c r="N454" s="1"/>
      <c r="O454" s="1"/>
      <c r="P454" s="1"/>
      <c r="Q454" s="1"/>
      <c r="R454" s="1"/>
      <c r="S454" s="28"/>
      <c r="T454" s="1"/>
      <c r="U454" s="1"/>
      <c r="V454" s="1"/>
      <c r="W454" s="28"/>
      <c r="X454" s="28"/>
      <c r="Y454" s="1"/>
      <c r="Z454" s="30"/>
      <c r="AA454" s="6"/>
      <c r="AB454" s="28"/>
      <c r="AC454" s="28"/>
      <c r="AD454" s="28"/>
      <c r="AE454" s="7"/>
      <c r="AF454" s="28"/>
      <c r="AG454" s="28"/>
      <c r="AH454" s="28"/>
      <c r="AI454" s="28"/>
      <c r="AJ454" s="28"/>
      <c r="AK454" s="28"/>
      <c r="AL454" s="28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ht="10.15" customHeight="1" x14ac:dyDescent="0.25">
      <c r="A455" s="44">
        <f>1+A451</f>
        <v>114</v>
      </c>
      <c r="B455" s="38"/>
      <c r="C455" s="57"/>
      <c r="D455" s="57"/>
      <c r="E455" s="34" t="str">
        <f>+AQ455</f>
        <v/>
      </c>
      <c r="F455" s="60"/>
      <c r="G455" s="34" t="str">
        <f>+AV455</f>
        <v>000100</v>
      </c>
      <c r="H455" s="35">
        <f>+AK455</f>
        <v>0</v>
      </c>
      <c r="I455" s="35">
        <f>+ROUND(AD455,2)</f>
        <v>0</v>
      </c>
      <c r="J455" s="57"/>
      <c r="K455" s="36">
        <f>+AE455</f>
        <v>0</v>
      </c>
      <c r="L455" s="35">
        <f>+AJ455</f>
        <v>0</v>
      </c>
      <c r="M455" s="37" t="s">
        <v>37</v>
      </c>
      <c r="N455" s="68"/>
      <c r="O455" s="57"/>
      <c r="P455" s="38" t="e">
        <f>+VLOOKUP(C455,Hoja1!$A$4:$C$57,3,FALSE)</f>
        <v>#N/A</v>
      </c>
      <c r="Q455" s="37" t="s">
        <v>38</v>
      </c>
      <c r="R455" s="68"/>
      <c r="S455" s="35" t="str">
        <f>(RIGHT(O455,7))</f>
        <v/>
      </c>
      <c r="T455" s="68"/>
      <c r="U455" s="37" t="s">
        <v>39</v>
      </c>
      <c r="V455" s="37" t="s">
        <v>40</v>
      </c>
      <c r="W455" s="35">
        <f>+AI455</f>
        <v>0</v>
      </c>
      <c r="X455" s="35">
        <f>+AJ455</f>
        <v>0</v>
      </c>
      <c r="Y455" s="33" t="s">
        <v>41</v>
      </c>
      <c r="Z455" s="39">
        <f>+F455</f>
        <v>0</v>
      </c>
      <c r="AA455" s="40"/>
      <c r="AB455" s="65"/>
      <c r="AC455" s="35">
        <v>0</v>
      </c>
      <c r="AD455" s="35">
        <f t="shared" ref="AD455" si="452">+AB455+AC455</f>
        <v>0</v>
      </c>
      <c r="AE455" s="67"/>
      <c r="AF455" s="35">
        <f>+AB455*AE455</f>
        <v>0</v>
      </c>
      <c r="AG455" s="35">
        <f>+AC455*AE455</f>
        <v>0</v>
      </c>
      <c r="AH455" s="35">
        <f>+AD455*AE455</f>
        <v>0</v>
      </c>
      <c r="AI455" s="35">
        <f t="shared" ref="AI455" si="453">+ROUND(AF455,2)</f>
        <v>0</v>
      </c>
      <c r="AJ455" s="35">
        <f t="shared" ref="AJ455" si="454">+ROUND(AG455,2)</f>
        <v>0</v>
      </c>
      <c r="AK455" s="35">
        <f t="shared" ref="AK455" si="455">+ROUND(AH455,2)</f>
        <v>0</v>
      </c>
      <c r="AL455" s="35">
        <f>+AI455+AJ455-AK455</f>
        <v>0</v>
      </c>
      <c r="AM455" s="62"/>
      <c r="AN455" s="35" t="str">
        <f>+LEFT(AM455,2)</f>
        <v/>
      </c>
      <c r="AO455" s="35" t="str">
        <f>+MID(AM455,4,2)</f>
        <v/>
      </c>
      <c r="AP455" s="35" t="str">
        <f>+RIGHT(AM455,2)</f>
        <v/>
      </c>
      <c r="AQ455" s="35" t="str">
        <f>+CONCATENATE(AN455,AO455,AP455)</f>
        <v/>
      </c>
      <c r="AR455" s="41">
        <f>AM455+_xlfn.XLOOKUP(C455,Hoja1!A:A,Hoja1!B:B)</f>
        <v>0</v>
      </c>
      <c r="AS455" s="42">
        <f>+DAY(AR455)</f>
        <v>0</v>
      </c>
      <c r="AT455" s="35">
        <f>+MONTH(AR455)</f>
        <v>1</v>
      </c>
      <c r="AU455" s="35">
        <f>+YEAR(AR455)</f>
        <v>1900</v>
      </c>
      <c r="AV455" s="35" t="str">
        <f>+CONCATENATE(TEXT(AS455,"00"),TEXT(AT455,"00"),RIGHT(AU455,2))</f>
        <v>000100</v>
      </c>
    </row>
    <row r="456" spans="1:48" s="31" customFormat="1" ht="10.15" hidden="1" customHeight="1" x14ac:dyDescent="0.25">
      <c r="A456" s="27"/>
      <c r="B456" s="27"/>
      <c r="C456" s="1"/>
      <c r="D456" s="1"/>
      <c r="E456" s="1"/>
      <c r="F456" s="1"/>
      <c r="G456" s="1"/>
      <c r="H456" s="28"/>
      <c r="I456" s="28"/>
      <c r="J456" s="1"/>
      <c r="K456" s="29"/>
      <c r="L456" s="28"/>
      <c r="M456" s="1"/>
      <c r="N456" s="1"/>
      <c r="O456" s="1"/>
      <c r="P456" s="1"/>
      <c r="Q456" s="1"/>
      <c r="R456" s="1"/>
      <c r="S456" s="28"/>
      <c r="T456" s="1"/>
      <c r="U456" s="1"/>
      <c r="V456" s="1"/>
      <c r="W456" s="28"/>
      <c r="X456" s="28"/>
      <c r="Y456" s="1"/>
      <c r="Z456" s="30"/>
      <c r="AA456" s="6"/>
      <c r="AB456" s="28"/>
      <c r="AC456" s="28"/>
      <c r="AD456" s="28"/>
      <c r="AE456" s="7"/>
      <c r="AF456" s="28"/>
      <c r="AG456" s="28"/>
      <c r="AH456" s="28"/>
      <c r="AI456" s="28"/>
      <c r="AJ456" s="28"/>
      <c r="AK456" s="28"/>
      <c r="AL456" s="28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s="31" customFormat="1" ht="10.15" hidden="1" customHeight="1" x14ac:dyDescent="0.25">
      <c r="A457" s="27"/>
      <c r="B457" s="27"/>
      <c r="C457" s="1"/>
      <c r="D457" s="1"/>
      <c r="E457" s="1"/>
      <c r="F457" s="1"/>
      <c r="G457" s="1"/>
      <c r="H457" s="28"/>
      <c r="I457" s="28"/>
      <c r="J457" s="1"/>
      <c r="K457" s="29"/>
      <c r="L457" s="28"/>
      <c r="M457" s="1"/>
      <c r="N457" s="1"/>
      <c r="O457" s="1"/>
      <c r="P457" s="1"/>
      <c r="Q457" s="1"/>
      <c r="R457" s="1"/>
      <c r="S457" s="28"/>
      <c r="T457" s="1"/>
      <c r="U457" s="1"/>
      <c r="V457" s="1"/>
      <c r="W457" s="28"/>
      <c r="X457" s="28"/>
      <c r="Y457" s="1"/>
      <c r="Z457" s="30"/>
      <c r="AA457" s="6"/>
      <c r="AB457" s="28"/>
      <c r="AC457" s="28"/>
      <c r="AD457" s="28"/>
      <c r="AE457" s="7"/>
      <c r="AF457" s="28"/>
      <c r="AG457" s="28"/>
      <c r="AH457" s="28"/>
      <c r="AI457" s="28"/>
      <c r="AJ457" s="28"/>
      <c r="AK457" s="28"/>
      <c r="AL457" s="28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s="31" customFormat="1" ht="10.15" hidden="1" customHeight="1" x14ac:dyDescent="0.25">
      <c r="A458" s="27"/>
      <c r="B458" s="27"/>
      <c r="C458" s="1"/>
      <c r="D458" s="1"/>
      <c r="E458" s="1"/>
      <c r="F458" s="1"/>
      <c r="G458" s="1"/>
      <c r="H458" s="28"/>
      <c r="I458" s="28"/>
      <c r="J458" s="1"/>
      <c r="K458" s="29"/>
      <c r="L458" s="28"/>
      <c r="M458" s="1"/>
      <c r="N458" s="1"/>
      <c r="O458" s="1"/>
      <c r="P458" s="1"/>
      <c r="Q458" s="1"/>
      <c r="R458" s="1"/>
      <c r="S458" s="28"/>
      <c r="T458" s="1"/>
      <c r="U458" s="1"/>
      <c r="V458" s="1"/>
      <c r="W458" s="28"/>
      <c r="X458" s="28"/>
      <c r="Y458" s="1"/>
      <c r="Z458" s="30"/>
      <c r="AA458" s="6"/>
      <c r="AB458" s="28"/>
      <c r="AC458" s="28"/>
      <c r="AD458" s="28"/>
      <c r="AE458" s="7"/>
      <c r="AF458" s="28"/>
      <c r="AG458" s="28"/>
      <c r="AH458" s="28"/>
      <c r="AI458" s="28"/>
      <c r="AJ458" s="28"/>
      <c r="AK458" s="28"/>
      <c r="AL458" s="28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ht="10.15" customHeight="1" x14ac:dyDescent="0.25">
      <c r="A459" s="44">
        <f>1+A455</f>
        <v>115</v>
      </c>
      <c r="B459" s="38"/>
      <c r="C459" s="57"/>
      <c r="D459" s="57"/>
      <c r="E459" s="34" t="str">
        <f>+AQ459</f>
        <v/>
      </c>
      <c r="F459" s="60"/>
      <c r="G459" s="34" t="str">
        <f>+AV459</f>
        <v>000100</v>
      </c>
      <c r="H459" s="35">
        <f>+AK459</f>
        <v>0</v>
      </c>
      <c r="I459" s="35">
        <f>+ROUND(AD459,2)</f>
        <v>0</v>
      </c>
      <c r="J459" s="57"/>
      <c r="K459" s="36">
        <f>+AE459</f>
        <v>0</v>
      </c>
      <c r="L459" s="35">
        <f>+AJ459</f>
        <v>0</v>
      </c>
      <c r="M459" s="37" t="s">
        <v>37</v>
      </c>
      <c r="N459" s="68"/>
      <c r="O459" s="57"/>
      <c r="P459" s="38" t="e">
        <f>+VLOOKUP(C459,Hoja1!$A$4:$C$57,3,FALSE)</f>
        <v>#N/A</v>
      </c>
      <c r="Q459" s="37" t="s">
        <v>38</v>
      </c>
      <c r="R459" s="68"/>
      <c r="S459" s="35" t="str">
        <f>(RIGHT(O459,7))</f>
        <v/>
      </c>
      <c r="T459" s="68"/>
      <c r="U459" s="37" t="s">
        <v>39</v>
      </c>
      <c r="V459" s="37" t="s">
        <v>40</v>
      </c>
      <c r="W459" s="35">
        <f>+AI459</f>
        <v>0</v>
      </c>
      <c r="X459" s="35">
        <f>+AJ459</f>
        <v>0</v>
      </c>
      <c r="Y459" s="33" t="s">
        <v>41</v>
      </c>
      <c r="Z459" s="39">
        <f>+F459</f>
        <v>0</v>
      </c>
      <c r="AA459" s="40"/>
      <c r="AB459" s="65"/>
      <c r="AC459" s="35">
        <v>0</v>
      </c>
      <c r="AD459" s="35">
        <f t="shared" ref="AD459" si="456">+AB459+AC459</f>
        <v>0</v>
      </c>
      <c r="AE459" s="67"/>
      <c r="AF459" s="35">
        <f>+AB459*AE459</f>
        <v>0</v>
      </c>
      <c r="AG459" s="35">
        <f>+AC459*AE459</f>
        <v>0</v>
      </c>
      <c r="AH459" s="35">
        <f>+AD459*AE459</f>
        <v>0</v>
      </c>
      <c r="AI459" s="35">
        <f t="shared" ref="AI459" si="457">+ROUND(AF459,2)</f>
        <v>0</v>
      </c>
      <c r="AJ459" s="35">
        <f t="shared" ref="AJ459" si="458">+ROUND(AG459,2)</f>
        <v>0</v>
      </c>
      <c r="AK459" s="35">
        <f t="shared" ref="AK459" si="459">+ROUND(AH459,2)</f>
        <v>0</v>
      </c>
      <c r="AL459" s="35">
        <f>+AI459+AJ459-AK459</f>
        <v>0</v>
      </c>
      <c r="AM459" s="63"/>
      <c r="AN459" s="35" t="str">
        <f>+LEFT(AM459,2)</f>
        <v/>
      </c>
      <c r="AO459" s="35" t="str">
        <f>+MID(AM459,4,2)</f>
        <v/>
      </c>
      <c r="AP459" s="35" t="str">
        <f>+RIGHT(AM459,2)</f>
        <v/>
      </c>
      <c r="AQ459" s="35" t="str">
        <f>+CONCATENATE(AN459,AO459,AP459)</f>
        <v/>
      </c>
      <c r="AR459" s="41">
        <f>AM459+_xlfn.XLOOKUP(C459,Hoja1!A:A,Hoja1!B:B)</f>
        <v>0</v>
      </c>
      <c r="AS459" s="42">
        <f>+DAY(AR459)</f>
        <v>0</v>
      </c>
      <c r="AT459" s="35">
        <f>+MONTH(AR459)</f>
        <v>1</v>
      </c>
      <c r="AU459" s="35">
        <f>+YEAR(AR459)</f>
        <v>1900</v>
      </c>
      <c r="AV459" s="35" t="str">
        <f>+CONCATENATE(TEXT(AS459,"00"),TEXT(AT459,"00"),RIGHT(AU459,2))</f>
        <v>000100</v>
      </c>
    </row>
    <row r="460" spans="1:48" s="31" customFormat="1" ht="10.15" hidden="1" customHeight="1" x14ac:dyDescent="0.25">
      <c r="A460" s="27"/>
      <c r="B460" s="27"/>
      <c r="C460" s="1"/>
      <c r="D460" s="1"/>
      <c r="E460" s="1"/>
      <c r="F460" s="1"/>
      <c r="G460" s="1"/>
      <c r="H460" s="28"/>
      <c r="I460" s="28"/>
      <c r="J460" s="1"/>
      <c r="K460" s="29"/>
      <c r="L460" s="28"/>
      <c r="M460" s="1"/>
      <c r="N460" s="1"/>
      <c r="O460" s="1"/>
      <c r="P460" s="1"/>
      <c r="Q460" s="1"/>
      <c r="R460" s="1"/>
      <c r="S460" s="28"/>
      <c r="T460" s="1"/>
      <c r="U460" s="1"/>
      <c r="V460" s="1"/>
      <c r="W460" s="28"/>
      <c r="X460" s="28"/>
      <c r="Y460" s="1"/>
      <c r="Z460" s="30"/>
      <c r="AA460" s="6"/>
      <c r="AB460" s="28"/>
      <c r="AC460" s="28"/>
      <c r="AD460" s="28"/>
      <c r="AE460" s="7"/>
      <c r="AF460" s="28"/>
      <c r="AG460" s="28"/>
      <c r="AH460" s="28"/>
      <c r="AI460" s="28"/>
      <c r="AJ460" s="28"/>
      <c r="AK460" s="28"/>
      <c r="AL460" s="28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s="31" customFormat="1" ht="10.15" hidden="1" customHeight="1" x14ac:dyDescent="0.25">
      <c r="A461" s="27"/>
      <c r="B461" s="27"/>
      <c r="C461" s="1"/>
      <c r="D461" s="1"/>
      <c r="E461" s="1"/>
      <c r="F461" s="1"/>
      <c r="G461" s="1"/>
      <c r="H461" s="28"/>
      <c r="I461" s="28"/>
      <c r="J461" s="1"/>
      <c r="K461" s="29"/>
      <c r="L461" s="28"/>
      <c r="M461" s="1"/>
      <c r="N461" s="1"/>
      <c r="O461" s="1"/>
      <c r="P461" s="1"/>
      <c r="Q461" s="1"/>
      <c r="R461" s="1"/>
      <c r="S461" s="28"/>
      <c r="T461" s="1"/>
      <c r="U461" s="1"/>
      <c r="V461" s="1"/>
      <c r="W461" s="28"/>
      <c r="X461" s="28"/>
      <c r="Y461" s="1"/>
      <c r="Z461" s="30"/>
      <c r="AA461" s="6"/>
      <c r="AB461" s="28"/>
      <c r="AC461" s="28"/>
      <c r="AD461" s="28"/>
      <c r="AE461" s="7"/>
      <c r="AF461" s="28"/>
      <c r="AG461" s="28"/>
      <c r="AH461" s="28"/>
      <c r="AI461" s="28"/>
      <c r="AJ461" s="28"/>
      <c r="AK461" s="28"/>
      <c r="AL461" s="28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s="31" customFormat="1" ht="10.15" hidden="1" customHeight="1" x14ac:dyDescent="0.25">
      <c r="A462" s="27"/>
      <c r="B462" s="27"/>
      <c r="C462" s="1"/>
      <c r="D462" s="1"/>
      <c r="E462" s="1"/>
      <c r="F462" s="1"/>
      <c r="G462" s="1"/>
      <c r="H462" s="28"/>
      <c r="I462" s="28"/>
      <c r="J462" s="1"/>
      <c r="K462" s="29"/>
      <c r="L462" s="28"/>
      <c r="M462" s="1"/>
      <c r="N462" s="1"/>
      <c r="O462" s="1"/>
      <c r="P462" s="1"/>
      <c r="Q462" s="1"/>
      <c r="R462" s="1"/>
      <c r="S462" s="28"/>
      <c r="T462" s="1"/>
      <c r="U462" s="1"/>
      <c r="V462" s="1"/>
      <c r="W462" s="28"/>
      <c r="X462" s="28"/>
      <c r="Y462" s="1"/>
      <c r="Z462" s="30"/>
      <c r="AA462" s="6"/>
      <c r="AB462" s="28"/>
      <c r="AC462" s="28"/>
      <c r="AD462" s="28"/>
      <c r="AE462" s="7"/>
      <c r="AF462" s="28"/>
      <c r="AG462" s="28"/>
      <c r="AH462" s="28"/>
      <c r="AI462" s="28"/>
      <c r="AJ462" s="28"/>
      <c r="AK462" s="28"/>
      <c r="AL462" s="28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ht="10.15" customHeight="1" x14ac:dyDescent="0.25">
      <c r="A463" s="44">
        <f>1+A459</f>
        <v>116</v>
      </c>
      <c r="B463" s="50"/>
      <c r="C463" s="57"/>
      <c r="D463" s="57"/>
      <c r="E463" s="34" t="str">
        <f>+AQ463</f>
        <v/>
      </c>
      <c r="F463" s="60"/>
      <c r="G463" s="34" t="str">
        <f>+AV463</f>
        <v>000100</v>
      </c>
      <c r="H463" s="35">
        <f>+AK463</f>
        <v>0</v>
      </c>
      <c r="I463" s="35">
        <f>+ROUND(AD463,2)</f>
        <v>0</v>
      </c>
      <c r="J463" s="57"/>
      <c r="K463" s="36">
        <f>+AE463</f>
        <v>0</v>
      </c>
      <c r="L463" s="35">
        <f>+AJ463</f>
        <v>0</v>
      </c>
      <c r="M463" s="37" t="s">
        <v>37</v>
      </c>
      <c r="N463" s="68"/>
      <c r="O463" s="57"/>
      <c r="P463" s="38" t="e">
        <f>+VLOOKUP(C463,Hoja1!$A$4:$C$57,3,FALSE)</f>
        <v>#N/A</v>
      </c>
      <c r="Q463" s="37" t="s">
        <v>38</v>
      </c>
      <c r="R463" s="68"/>
      <c r="S463" s="35" t="str">
        <f>(RIGHT(O463,7))</f>
        <v/>
      </c>
      <c r="T463" s="68"/>
      <c r="U463" s="37" t="s">
        <v>39</v>
      </c>
      <c r="V463" s="37" t="s">
        <v>40</v>
      </c>
      <c r="W463" s="35">
        <f>+AI463</f>
        <v>0</v>
      </c>
      <c r="X463" s="35">
        <f>+AJ463</f>
        <v>0</v>
      </c>
      <c r="Y463" s="33" t="s">
        <v>41</v>
      </c>
      <c r="Z463" s="39">
        <f>+F463</f>
        <v>0</v>
      </c>
      <c r="AA463" s="40"/>
      <c r="AB463" s="65"/>
      <c r="AC463" s="35">
        <v>0</v>
      </c>
      <c r="AD463" s="35">
        <f t="shared" ref="AD463" si="460">+AB463+AC463</f>
        <v>0</v>
      </c>
      <c r="AE463" s="67"/>
      <c r="AF463" s="35">
        <f>+AB463*AE463</f>
        <v>0</v>
      </c>
      <c r="AG463" s="35">
        <f>+AC463*AE463</f>
        <v>0</v>
      </c>
      <c r="AH463" s="35">
        <f>+AD463*AE463</f>
        <v>0</v>
      </c>
      <c r="AI463" s="35">
        <f t="shared" ref="AI463" si="461">+ROUND(AF463,2)</f>
        <v>0</v>
      </c>
      <c r="AJ463" s="35">
        <f t="shared" ref="AJ463" si="462">+ROUND(AG463,2)</f>
        <v>0</v>
      </c>
      <c r="AK463" s="35">
        <f t="shared" ref="AK463" si="463">+ROUND(AH463,2)</f>
        <v>0</v>
      </c>
      <c r="AL463" s="35">
        <f>+AI463+AJ463-AK463</f>
        <v>0</v>
      </c>
      <c r="AM463" s="63"/>
      <c r="AN463" s="35" t="str">
        <f>+LEFT(AM463,2)</f>
        <v/>
      </c>
      <c r="AO463" s="35" t="str">
        <f>+MID(AM463,4,2)</f>
        <v/>
      </c>
      <c r="AP463" s="35" t="str">
        <f>+RIGHT(AM463,2)</f>
        <v/>
      </c>
      <c r="AQ463" s="35" t="str">
        <f>+CONCATENATE(AN463,AO463,AP463)</f>
        <v/>
      </c>
      <c r="AR463" s="41">
        <f>AM463+_xlfn.XLOOKUP(C463,Hoja1!A:A,Hoja1!B:B)</f>
        <v>0</v>
      </c>
      <c r="AS463" s="42">
        <f>+DAY(AR463)</f>
        <v>0</v>
      </c>
      <c r="AT463" s="35">
        <f>+MONTH(AR463)</f>
        <v>1</v>
      </c>
      <c r="AU463" s="35">
        <f>+YEAR(AR463)</f>
        <v>1900</v>
      </c>
      <c r="AV463" s="35" t="str">
        <f>+CONCATENATE(TEXT(AS463,"00"),TEXT(AT463,"00"),RIGHT(AU463,2))</f>
        <v>000100</v>
      </c>
    </row>
    <row r="464" spans="1:48" s="31" customFormat="1" ht="10.15" hidden="1" customHeight="1" x14ac:dyDescent="0.25">
      <c r="A464" s="27"/>
      <c r="B464" s="27"/>
      <c r="C464" s="1"/>
      <c r="D464" s="1"/>
      <c r="E464" s="1"/>
      <c r="F464" s="1"/>
      <c r="G464" s="1"/>
      <c r="H464" s="28"/>
      <c r="I464" s="28"/>
      <c r="J464" s="1"/>
      <c r="K464" s="29"/>
      <c r="L464" s="28"/>
      <c r="M464" s="1"/>
      <c r="N464" s="1"/>
      <c r="O464" s="1"/>
      <c r="P464" s="1"/>
      <c r="Q464" s="1"/>
      <c r="R464" s="1"/>
      <c r="S464" s="28"/>
      <c r="T464" s="1"/>
      <c r="U464" s="1"/>
      <c r="V464" s="1"/>
      <c r="W464" s="28"/>
      <c r="X464" s="28"/>
      <c r="Y464" s="1"/>
      <c r="Z464" s="30"/>
      <c r="AA464" s="6"/>
      <c r="AB464" s="28"/>
      <c r="AC464" s="28"/>
      <c r="AD464" s="28"/>
      <c r="AE464" s="7"/>
      <c r="AF464" s="28"/>
      <c r="AG464" s="28"/>
      <c r="AH464" s="28"/>
      <c r="AI464" s="28"/>
      <c r="AJ464" s="28"/>
      <c r="AK464" s="28"/>
      <c r="AL464" s="28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s="31" customFormat="1" ht="10.15" hidden="1" customHeight="1" x14ac:dyDescent="0.25">
      <c r="A465" s="27"/>
      <c r="B465" s="27"/>
      <c r="C465" s="1"/>
      <c r="D465" s="1"/>
      <c r="E465" s="1"/>
      <c r="F465" s="1"/>
      <c r="G465" s="1"/>
      <c r="H465" s="28"/>
      <c r="I465" s="28"/>
      <c r="J465" s="1"/>
      <c r="K465" s="29"/>
      <c r="L465" s="28"/>
      <c r="M465" s="1"/>
      <c r="N465" s="1"/>
      <c r="O465" s="1"/>
      <c r="P465" s="1"/>
      <c r="Q465" s="1"/>
      <c r="R465" s="1"/>
      <c r="S465" s="28"/>
      <c r="T465" s="1"/>
      <c r="U465" s="1"/>
      <c r="V465" s="1"/>
      <c r="W465" s="28"/>
      <c r="X465" s="28"/>
      <c r="Y465" s="1"/>
      <c r="Z465" s="30"/>
      <c r="AA465" s="6"/>
      <c r="AB465" s="28"/>
      <c r="AC465" s="28"/>
      <c r="AD465" s="28"/>
      <c r="AE465" s="7"/>
      <c r="AF465" s="28"/>
      <c r="AG465" s="28"/>
      <c r="AH465" s="28"/>
      <c r="AI465" s="28"/>
      <c r="AJ465" s="28"/>
      <c r="AK465" s="28"/>
      <c r="AL465" s="28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s="31" customFormat="1" ht="10.15" hidden="1" customHeight="1" x14ac:dyDescent="0.25">
      <c r="A466" s="27"/>
      <c r="B466" s="27"/>
      <c r="C466" s="1"/>
      <c r="D466" s="1"/>
      <c r="E466" s="1"/>
      <c r="F466" s="1"/>
      <c r="G466" s="1"/>
      <c r="H466" s="28"/>
      <c r="I466" s="28"/>
      <c r="J466" s="1"/>
      <c r="K466" s="29"/>
      <c r="L466" s="28"/>
      <c r="M466" s="1"/>
      <c r="N466" s="1"/>
      <c r="O466" s="1"/>
      <c r="P466" s="1"/>
      <c r="Q466" s="1"/>
      <c r="R466" s="1"/>
      <c r="S466" s="28"/>
      <c r="T466" s="1"/>
      <c r="U466" s="1"/>
      <c r="V466" s="1"/>
      <c r="W466" s="28"/>
      <c r="X466" s="28"/>
      <c r="Y466" s="1"/>
      <c r="Z466" s="30"/>
      <c r="AA466" s="6"/>
      <c r="AB466" s="28"/>
      <c r="AC466" s="28"/>
      <c r="AD466" s="28"/>
      <c r="AE466" s="7"/>
      <c r="AF466" s="28"/>
      <c r="AG466" s="28"/>
      <c r="AH466" s="28"/>
      <c r="AI466" s="28"/>
      <c r="AJ466" s="28"/>
      <c r="AK466" s="28"/>
      <c r="AL466" s="28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ht="10.15" customHeight="1" x14ac:dyDescent="0.25">
      <c r="A467" s="44">
        <f>1+A463</f>
        <v>117</v>
      </c>
      <c r="B467" s="50"/>
      <c r="C467" s="57"/>
      <c r="D467" s="57"/>
      <c r="E467" s="34" t="str">
        <f>+AQ467</f>
        <v/>
      </c>
      <c r="F467" s="60"/>
      <c r="G467" s="34" t="str">
        <f>+AV467</f>
        <v>000100</v>
      </c>
      <c r="H467" s="35">
        <f>+AK467</f>
        <v>0</v>
      </c>
      <c r="I467" s="35">
        <f>+ROUND(AD467,2)</f>
        <v>0</v>
      </c>
      <c r="J467" s="57"/>
      <c r="K467" s="36">
        <f>+AE467</f>
        <v>0</v>
      </c>
      <c r="L467" s="35">
        <f>+AJ467</f>
        <v>0</v>
      </c>
      <c r="M467" s="37" t="s">
        <v>37</v>
      </c>
      <c r="N467" s="68"/>
      <c r="O467" s="57"/>
      <c r="P467" s="38" t="e">
        <f>+VLOOKUP(C467,Hoja1!$A$4:$C$57,3,FALSE)</f>
        <v>#N/A</v>
      </c>
      <c r="Q467" s="37" t="s">
        <v>38</v>
      </c>
      <c r="R467" s="68"/>
      <c r="S467" s="35" t="str">
        <f>(RIGHT(O467,7))</f>
        <v/>
      </c>
      <c r="T467" s="68"/>
      <c r="U467" s="37" t="s">
        <v>39</v>
      </c>
      <c r="V467" s="37" t="s">
        <v>40</v>
      </c>
      <c r="W467" s="35">
        <f>+AI467</f>
        <v>0</v>
      </c>
      <c r="X467" s="35">
        <f>+AJ467</f>
        <v>0</v>
      </c>
      <c r="Y467" s="33" t="s">
        <v>41</v>
      </c>
      <c r="Z467" s="39">
        <f>+F467</f>
        <v>0</v>
      </c>
      <c r="AA467" s="40"/>
      <c r="AB467" s="65"/>
      <c r="AC467" s="35">
        <v>0</v>
      </c>
      <c r="AD467" s="35">
        <f t="shared" ref="AD467" si="464">+AB467+AC467</f>
        <v>0</v>
      </c>
      <c r="AE467" s="67"/>
      <c r="AF467" s="35">
        <f>+AB467*AE467</f>
        <v>0</v>
      </c>
      <c r="AG467" s="35">
        <f>+AC467*AE467</f>
        <v>0</v>
      </c>
      <c r="AH467" s="35">
        <f>+AD467*AE467</f>
        <v>0</v>
      </c>
      <c r="AI467" s="35">
        <f t="shared" ref="AI467" si="465">+ROUND(AF467,2)</f>
        <v>0</v>
      </c>
      <c r="AJ467" s="35">
        <f t="shared" ref="AJ467" si="466">+ROUND(AG467,2)</f>
        <v>0</v>
      </c>
      <c r="AK467" s="35">
        <f t="shared" ref="AK467" si="467">+ROUND(AH467,2)</f>
        <v>0</v>
      </c>
      <c r="AL467" s="35">
        <f>+AI467+AJ467-AK467</f>
        <v>0</v>
      </c>
      <c r="AM467" s="63"/>
      <c r="AN467" s="35" t="str">
        <f>+LEFT(AM467,2)</f>
        <v/>
      </c>
      <c r="AO467" s="35" t="str">
        <f>+MID(AM467,4,2)</f>
        <v/>
      </c>
      <c r="AP467" s="35" t="str">
        <f>+RIGHT(AM467,2)</f>
        <v/>
      </c>
      <c r="AQ467" s="35" t="str">
        <f>+CONCATENATE(AN467,AO467,AP467)</f>
        <v/>
      </c>
      <c r="AR467" s="41">
        <f>AM467+_xlfn.XLOOKUP(C467,Hoja1!A:A,Hoja1!B:B)</f>
        <v>0</v>
      </c>
      <c r="AS467" s="42">
        <f>+DAY(AR467)</f>
        <v>0</v>
      </c>
      <c r="AT467" s="35">
        <f>+MONTH(AR467)</f>
        <v>1</v>
      </c>
      <c r="AU467" s="35">
        <f>+YEAR(AR467)</f>
        <v>1900</v>
      </c>
      <c r="AV467" s="35" t="str">
        <f>+CONCATENATE(TEXT(AS467,"00"),TEXT(AT467,"00"),RIGHT(AU467,2))</f>
        <v>000100</v>
      </c>
    </row>
    <row r="468" spans="1:48" s="31" customFormat="1" ht="10.15" hidden="1" customHeight="1" x14ac:dyDescent="0.25">
      <c r="A468" s="27"/>
      <c r="B468" s="27"/>
      <c r="C468" s="1"/>
      <c r="D468" s="1"/>
      <c r="E468" s="1"/>
      <c r="F468" s="1"/>
      <c r="G468" s="1"/>
      <c r="H468" s="28"/>
      <c r="I468" s="28"/>
      <c r="J468" s="1"/>
      <c r="K468" s="29"/>
      <c r="L468" s="28"/>
      <c r="M468" s="1"/>
      <c r="N468" s="1"/>
      <c r="O468" s="1"/>
      <c r="P468" s="1"/>
      <c r="Q468" s="1"/>
      <c r="R468" s="1"/>
      <c r="S468" s="28"/>
      <c r="T468" s="1"/>
      <c r="U468" s="1"/>
      <c r="V468" s="1"/>
      <c r="W468" s="28"/>
      <c r="X468" s="28"/>
      <c r="Y468" s="1"/>
      <c r="Z468" s="30"/>
      <c r="AA468" s="6"/>
      <c r="AB468" s="28"/>
      <c r="AC468" s="28"/>
      <c r="AD468" s="28"/>
      <c r="AE468" s="7"/>
      <c r="AF468" s="28"/>
      <c r="AG468" s="28"/>
      <c r="AH468" s="28"/>
      <c r="AI468" s="28"/>
      <c r="AJ468" s="28"/>
      <c r="AK468" s="28"/>
      <c r="AL468" s="28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s="31" customFormat="1" ht="10.15" hidden="1" customHeight="1" x14ac:dyDescent="0.25">
      <c r="A469" s="27"/>
      <c r="B469" s="27"/>
      <c r="C469" s="1"/>
      <c r="D469" s="1"/>
      <c r="E469" s="1"/>
      <c r="F469" s="1"/>
      <c r="G469" s="1"/>
      <c r="H469" s="28"/>
      <c r="I469" s="28"/>
      <c r="J469" s="1"/>
      <c r="K469" s="29"/>
      <c r="L469" s="28"/>
      <c r="M469" s="1"/>
      <c r="N469" s="1"/>
      <c r="O469" s="1"/>
      <c r="P469" s="1"/>
      <c r="Q469" s="1"/>
      <c r="R469" s="1"/>
      <c r="S469" s="28"/>
      <c r="T469" s="1"/>
      <c r="U469" s="1"/>
      <c r="V469" s="1"/>
      <c r="W469" s="28"/>
      <c r="X469" s="28"/>
      <c r="Y469" s="1"/>
      <c r="Z469" s="30"/>
      <c r="AA469" s="6"/>
      <c r="AB469" s="28"/>
      <c r="AC469" s="28"/>
      <c r="AD469" s="28"/>
      <c r="AE469" s="7"/>
      <c r="AF469" s="28"/>
      <c r="AG469" s="28"/>
      <c r="AH469" s="28"/>
      <c r="AI469" s="28"/>
      <c r="AJ469" s="28"/>
      <c r="AK469" s="28"/>
      <c r="AL469" s="28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s="31" customFormat="1" ht="10.15" hidden="1" customHeight="1" x14ac:dyDescent="0.25">
      <c r="A470" s="27"/>
      <c r="B470" s="27"/>
      <c r="C470" s="1"/>
      <c r="D470" s="1"/>
      <c r="E470" s="1"/>
      <c r="F470" s="1"/>
      <c r="G470" s="1"/>
      <c r="H470" s="28"/>
      <c r="I470" s="28"/>
      <c r="J470" s="1"/>
      <c r="K470" s="29"/>
      <c r="L470" s="28"/>
      <c r="M470" s="1"/>
      <c r="N470" s="1"/>
      <c r="O470" s="1"/>
      <c r="P470" s="1"/>
      <c r="Q470" s="1"/>
      <c r="R470" s="1"/>
      <c r="S470" s="28"/>
      <c r="T470" s="1"/>
      <c r="U470" s="1"/>
      <c r="V470" s="1"/>
      <c r="W470" s="28"/>
      <c r="X470" s="28"/>
      <c r="Y470" s="1"/>
      <c r="Z470" s="30"/>
      <c r="AA470" s="6"/>
      <c r="AB470" s="28"/>
      <c r="AC470" s="28"/>
      <c r="AD470" s="28"/>
      <c r="AE470" s="7"/>
      <c r="AF470" s="28"/>
      <c r="AG470" s="28"/>
      <c r="AH470" s="28"/>
      <c r="AI470" s="28"/>
      <c r="AJ470" s="28"/>
      <c r="AK470" s="28"/>
      <c r="AL470" s="28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ht="10.15" customHeight="1" x14ac:dyDescent="0.25">
      <c r="A471" s="44">
        <f>1+A467</f>
        <v>118</v>
      </c>
      <c r="B471" s="38"/>
      <c r="C471" s="57"/>
      <c r="D471" s="57"/>
      <c r="E471" s="34" t="str">
        <f>+AQ471</f>
        <v/>
      </c>
      <c r="F471" s="60"/>
      <c r="G471" s="34" t="str">
        <f>+AV471</f>
        <v>000100</v>
      </c>
      <c r="H471" s="35">
        <f>+AK471</f>
        <v>0</v>
      </c>
      <c r="I471" s="35">
        <f>+ROUND(AD471,2)</f>
        <v>0</v>
      </c>
      <c r="J471" s="57"/>
      <c r="K471" s="36">
        <f>+AE471</f>
        <v>0</v>
      </c>
      <c r="L471" s="35">
        <f>+AJ471</f>
        <v>0</v>
      </c>
      <c r="M471" s="37" t="s">
        <v>37</v>
      </c>
      <c r="N471" s="68"/>
      <c r="O471" s="57"/>
      <c r="P471" s="38" t="e">
        <f>+VLOOKUP(C471,Hoja1!$A$4:$C$57,3,FALSE)</f>
        <v>#N/A</v>
      </c>
      <c r="Q471" s="37" t="s">
        <v>38</v>
      </c>
      <c r="R471" s="68"/>
      <c r="S471" s="35" t="str">
        <f>(RIGHT(O471,7))</f>
        <v/>
      </c>
      <c r="T471" s="68"/>
      <c r="U471" s="37" t="s">
        <v>39</v>
      </c>
      <c r="V471" s="37" t="s">
        <v>40</v>
      </c>
      <c r="W471" s="35">
        <f>+AI471</f>
        <v>0</v>
      </c>
      <c r="X471" s="35">
        <f>+AJ471</f>
        <v>0</v>
      </c>
      <c r="Y471" s="33" t="s">
        <v>41</v>
      </c>
      <c r="Z471" s="39">
        <f>+F471</f>
        <v>0</v>
      </c>
      <c r="AA471" s="40"/>
      <c r="AB471" s="65"/>
      <c r="AC471" s="35">
        <v>0</v>
      </c>
      <c r="AD471" s="35">
        <f t="shared" ref="AD471" si="468">+AB471+AC471</f>
        <v>0</v>
      </c>
      <c r="AE471" s="67"/>
      <c r="AF471" s="35">
        <f>+AB471*AE471</f>
        <v>0</v>
      </c>
      <c r="AG471" s="35">
        <f>+AC471*AE471</f>
        <v>0</v>
      </c>
      <c r="AH471" s="35">
        <f>+AD471*AE471</f>
        <v>0</v>
      </c>
      <c r="AI471" s="35">
        <f t="shared" ref="AI471" si="469">+ROUND(AF471,2)</f>
        <v>0</v>
      </c>
      <c r="AJ471" s="35">
        <f t="shared" ref="AJ471" si="470">+ROUND(AG471,2)</f>
        <v>0</v>
      </c>
      <c r="AK471" s="35">
        <f t="shared" ref="AK471" si="471">+ROUND(AH471,2)</f>
        <v>0</v>
      </c>
      <c r="AL471" s="35">
        <f>+AI471+AJ471-AK471</f>
        <v>0</v>
      </c>
      <c r="AM471" s="62"/>
      <c r="AN471" s="35" t="str">
        <f>+LEFT(AM471,2)</f>
        <v/>
      </c>
      <c r="AO471" s="35" t="str">
        <f>+MID(AM471,4,2)</f>
        <v/>
      </c>
      <c r="AP471" s="35" t="str">
        <f>+RIGHT(AM471,2)</f>
        <v/>
      </c>
      <c r="AQ471" s="35" t="str">
        <f>+CONCATENATE(AN471,AO471,AP471)</f>
        <v/>
      </c>
      <c r="AR471" s="41">
        <f>AM471+_xlfn.XLOOKUP(C471,Hoja1!A:A,Hoja1!B:B)</f>
        <v>0</v>
      </c>
      <c r="AS471" s="42">
        <f>+DAY(AR471)</f>
        <v>0</v>
      </c>
      <c r="AT471" s="35">
        <f>+MONTH(AR471)</f>
        <v>1</v>
      </c>
      <c r="AU471" s="35">
        <f>+YEAR(AR471)</f>
        <v>1900</v>
      </c>
      <c r="AV471" s="35" t="str">
        <f>+CONCATENATE(TEXT(AS471,"00"),TEXT(AT471,"00"),RIGHT(AU471,2))</f>
        <v>000100</v>
      </c>
    </row>
    <row r="472" spans="1:48" s="31" customFormat="1" ht="10.15" hidden="1" customHeight="1" x14ac:dyDescent="0.25">
      <c r="A472" s="27"/>
      <c r="B472" s="27"/>
      <c r="C472" s="1"/>
      <c r="D472" s="1"/>
      <c r="E472" s="1"/>
      <c r="F472" s="1"/>
      <c r="G472" s="1"/>
      <c r="H472" s="28"/>
      <c r="I472" s="28"/>
      <c r="J472" s="1"/>
      <c r="K472" s="29"/>
      <c r="L472" s="28"/>
      <c r="M472" s="1"/>
      <c r="N472" s="1"/>
      <c r="O472" s="1"/>
      <c r="P472" s="1"/>
      <c r="Q472" s="1"/>
      <c r="R472" s="1"/>
      <c r="S472" s="28"/>
      <c r="T472" s="1"/>
      <c r="U472" s="1"/>
      <c r="V472" s="1"/>
      <c r="W472" s="28"/>
      <c r="X472" s="28"/>
      <c r="Y472" s="1"/>
      <c r="Z472" s="30"/>
      <c r="AA472" s="6"/>
      <c r="AB472" s="28"/>
      <c r="AC472" s="28"/>
      <c r="AD472" s="28"/>
      <c r="AE472" s="7"/>
      <c r="AF472" s="28"/>
      <c r="AG472" s="28"/>
      <c r="AH472" s="28"/>
      <c r="AI472" s="28"/>
      <c r="AJ472" s="28"/>
      <c r="AK472" s="28"/>
      <c r="AL472" s="28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s="31" customFormat="1" ht="10.15" hidden="1" customHeight="1" x14ac:dyDescent="0.25">
      <c r="A473" s="27"/>
      <c r="B473" s="27"/>
      <c r="C473" s="1"/>
      <c r="D473" s="1"/>
      <c r="E473" s="1"/>
      <c r="F473" s="1"/>
      <c r="G473" s="1"/>
      <c r="H473" s="28"/>
      <c r="I473" s="28"/>
      <c r="J473" s="1"/>
      <c r="K473" s="29"/>
      <c r="L473" s="28"/>
      <c r="M473" s="1"/>
      <c r="N473" s="1"/>
      <c r="O473" s="1"/>
      <c r="P473" s="1"/>
      <c r="Q473" s="1"/>
      <c r="R473" s="1"/>
      <c r="S473" s="28"/>
      <c r="T473" s="1"/>
      <c r="U473" s="1"/>
      <c r="V473" s="1"/>
      <c r="W473" s="28"/>
      <c r="X473" s="28"/>
      <c r="Y473" s="1"/>
      <c r="Z473" s="30"/>
      <c r="AA473" s="6"/>
      <c r="AB473" s="28"/>
      <c r="AC473" s="28"/>
      <c r="AD473" s="28"/>
      <c r="AE473" s="7"/>
      <c r="AF473" s="28"/>
      <c r="AG473" s="28"/>
      <c r="AH473" s="28"/>
      <c r="AI473" s="28"/>
      <c r="AJ473" s="28"/>
      <c r="AK473" s="28"/>
      <c r="AL473" s="28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s="31" customFormat="1" ht="10.15" hidden="1" customHeight="1" x14ac:dyDescent="0.25">
      <c r="A474" s="27"/>
      <c r="B474" s="27"/>
      <c r="C474" s="1"/>
      <c r="D474" s="1"/>
      <c r="E474" s="1"/>
      <c r="F474" s="1"/>
      <c r="G474" s="1"/>
      <c r="H474" s="28"/>
      <c r="I474" s="28"/>
      <c r="J474" s="1"/>
      <c r="K474" s="29"/>
      <c r="L474" s="28"/>
      <c r="M474" s="1"/>
      <c r="N474" s="1"/>
      <c r="O474" s="1"/>
      <c r="P474" s="1"/>
      <c r="Q474" s="1"/>
      <c r="R474" s="1"/>
      <c r="S474" s="28"/>
      <c r="T474" s="1"/>
      <c r="U474" s="1"/>
      <c r="V474" s="1"/>
      <c r="W474" s="28"/>
      <c r="X474" s="28"/>
      <c r="Y474" s="1"/>
      <c r="Z474" s="30"/>
      <c r="AA474" s="6"/>
      <c r="AB474" s="28"/>
      <c r="AC474" s="28"/>
      <c r="AD474" s="28"/>
      <c r="AE474" s="7"/>
      <c r="AF474" s="28"/>
      <c r="AG474" s="28"/>
      <c r="AH474" s="28"/>
      <c r="AI474" s="28"/>
      <c r="AJ474" s="28"/>
      <c r="AK474" s="28"/>
      <c r="AL474" s="28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ht="10.15" customHeight="1" x14ac:dyDescent="0.25">
      <c r="A475" s="44">
        <f>1+A471</f>
        <v>119</v>
      </c>
      <c r="B475" s="38"/>
      <c r="C475" s="57"/>
      <c r="D475" s="57"/>
      <c r="E475" s="34" t="str">
        <f>+AQ475</f>
        <v/>
      </c>
      <c r="F475" s="60"/>
      <c r="G475" s="34" t="str">
        <f>+AV475</f>
        <v>000100</v>
      </c>
      <c r="H475" s="35">
        <f>+AK475</f>
        <v>0</v>
      </c>
      <c r="I475" s="35">
        <f>+ROUND(AD475,2)</f>
        <v>0</v>
      </c>
      <c r="J475" s="57"/>
      <c r="K475" s="36">
        <f>+AE475</f>
        <v>0</v>
      </c>
      <c r="L475" s="35">
        <f>+AJ475</f>
        <v>0</v>
      </c>
      <c r="M475" s="37" t="s">
        <v>37</v>
      </c>
      <c r="N475" s="68"/>
      <c r="O475" s="57"/>
      <c r="P475" s="38" t="e">
        <f>+VLOOKUP(C475,Hoja1!$A$4:$C$57,3,FALSE)</f>
        <v>#N/A</v>
      </c>
      <c r="Q475" s="37" t="s">
        <v>38</v>
      </c>
      <c r="R475" s="68"/>
      <c r="S475" s="35" t="str">
        <f>(RIGHT(O475,7))</f>
        <v/>
      </c>
      <c r="T475" s="68"/>
      <c r="U475" s="37" t="s">
        <v>39</v>
      </c>
      <c r="V475" s="37" t="s">
        <v>40</v>
      </c>
      <c r="W475" s="35">
        <f>+AI475</f>
        <v>0</v>
      </c>
      <c r="X475" s="35">
        <f>+AJ475</f>
        <v>0</v>
      </c>
      <c r="Y475" s="33" t="s">
        <v>41</v>
      </c>
      <c r="Z475" s="39">
        <f>+F475</f>
        <v>0</v>
      </c>
      <c r="AA475" s="40"/>
      <c r="AB475" s="65"/>
      <c r="AC475" s="35">
        <v>0</v>
      </c>
      <c r="AD475" s="35">
        <f t="shared" ref="AD475" si="472">+AB475+AC475</f>
        <v>0</v>
      </c>
      <c r="AE475" s="67"/>
      <c r="AF475" s="35">
        <f>+AB475*AE475</f>
        <v>0</v>
      </c>
      <c r="AG475" s="35">
        <f>+AC475*AE475</f>
        <v>0</v>
      </c>
      <c r="AH475" s="35">
        <f>+AD475*AE475</f>
        <v>0</v>
      </c>
      <c r="AI475" s="35">
        <f t="shared" ref="AI475" si="473">+ROUND(AF475,2)</f>
        <v>0</v>
      </c>
      <c r="AJ475" s="35">
        <f t="shared" ref="AJ475" si="474">+ROUND(AG475,2)</f>
        <v>0</v>
      </c>
      <c r="AK475" s="35">
        <f t="shared" ref="AK475" si="475">+ROUND(AH475,2)</f>
        <v>0</v>
      </c>
      <c r="AL475" s="35">
        <f>+AI475+AJ475-AK475</f>
        <v>0</v>
      </c>
      <c r="AM475" s="63"/>
      <c r="AN475" s="35" t="str">
        <f>+LEFT(AM475,2)</f>
        <v/>
      </c>
      <c r="AO475" s="35" t="str">
        <f>+MID(AM475,4,2)</f>
        <v/>
      </c>
      <c r="AP475" s="35" t="str">
        <f>+RIGHT(AM475,2)</f>
        <v/>
      </c>
      <c r="AQ475" s="35" t="str">
        <f>+CONCATENATE(AN475,AO475,AP475)</f>
        <v/>
      </c>
      <c r="AR475" s="41">
        <f>AM475+_xlfn.XLOOKUP(C475,Hoja1!A:A,Hoja1!B:B)</f>
        <v>0</v>
      </c>
      <c r="AS475" s="42">
        <f>+DAY(AR475)</f>
        <v>0</v>
      </c>
      <c r="AT475" s="35">
        <f>+MONTH(AR475)</f>
        <v>1</v>
      </c>
      <c r="AU475" s="35">
        <f>+YEAR(AR475)</f>
        <v>1900</v>
      </c>
      <c r="AV475" s="35" t="str">
        <f>+CONCATENATE(TEXT(AS475,"00"),TEXT(AT475,"00"),RIGHT(AU475,2))</f>
        <v>000100</v>
      </c>
    </row>
    <row r="476" spans="1:48" s="31" customFormat="1" ht="10.15" hidden="1" customHeight="1" x14ac:dyDescent="0.25">
      <c r="A476" s="27"/>
      <c r="B476" s="27"/>
      <c r="C476" s="1"/>
      <c r="D476" s="1"/>
      <c r="E476" s="1"/>
      <c r="F476" s="1"/>
      <c r="G476" s="1"/>
      <c r="H476" s="28"/>
      <c r="I476" s="28"/>
      <c r="J476" s="1"/>
      <c r="K476" s="29"/>
      <c r="L476" s="28"/>
      <c r="M476" s="1"/>
      <c r="N476" s="1"/>
      <c r="O476" s="1"/>
      <c r="P476" s="1"/>
      <c r="Q476" s="1"/>
      <c r="R476" s="1"/>
      <c r="S476" s="28"/>
      <c r="T476" s="1"/>
      <c r="U476" s="1"/>
      <c r="V476" s="1"/>
      <c r="W476" s="28"/>
      <c r="X476" s="28"/>
      <c r="Y476" s="1"/>
      <c r="Z476" s="30"/>
      <c r="AA476" s="6"/>
      <c r="AB476" s="28"/>
      <c r="AC476" s="28"/>
      <c r="AD476" s="28"/>
      <c r="AE476" s="7"/>
      <c r="AF476" s="28"/>
      <c r="AG476" s="28"/>
      <c r="AH476" s="28"/>
      <c r="AI476" s="28"/>
      <c r="AJ476" s="28"/>
      <c r="AK476" s="28"/>
      <c r="AL476" s="28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s="31" customFormat="1" ht="10.15" hidden="1" customHeight="1" x14ac:dyDescent="0.25">
      <c r="A477" s="27"/>
      <c r="B477" s="27"/>
      <c r="C477" s="1"/>
      <c r="D477" s="1"/>
      <c r="E477" s="1"/>
      <c r="F477" s="1"/>
      <c r="G477" s="1"/>
      <c r="H477" s="28"/>
      <c r="I477" s="28"/>
      <c r="J477" s="1"/>
      <c r="K477" s="29"/>
      <c r="L477" s="28"/>
      <c r="M477" s="1"/>
      <c r="N477" s="1"/>
      <c r="O477" s="1"/>
      <c r="P477" s="1"/>
      <c r="Q477" s="1"/>
      <c r="R477" s="1"/>
      <c r="S477" s="28"/>
      <c r="T477" s="1"/>
      <c r="U477" s="1"/>
      <c r="V477" s="1"/>
      <c r="W477" s="28"/>
      <c r="X477" s="28"/>
      <c r="Y477" s="1"/>
      <c r="Z477" s="30"/>
      <c r="AA477" s="6"/>
      <c r="AB477" s="28"/>
      <c r="AC477" s="28"/>
      <c r="AD477" s="28"/>
      <c r="AE477" s="7"/>
      <c r="AF477" s="28"/>
      <c r="AG477" s="28"/>
      <c r="AH477" s="28"/>
      <c r="AI477" s="28"/>
      <c r="AJ477" s="28"/>
      <c r="AK477" s="28"/>
      <c r="AL477" s="28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s="31" customFormat="1" ht="10.15" hidden="1" customHeight="1" x14ac:dyDescent="0.25">
      <c r="A478" s="27"/>
      <c r="B478" s="27"/>
      <c r="C478" s="1"/>
      <c r="D478" s="1"/>
      <c r="E478" s="1"/>
      <c r="F478" s="1"/>
      <c r="G478" s="1"/>
      <c r="H478" s="28"/>
      <c r="I478" s="28"/>
      <c r="J478" s="1"/>
      <c r="K478" s="29"/>
      <c r="L478" s="28"/>
      <c r="M478" s="1"/>
      <c r="N478" s="1"/>
      <c r="O478" s="1"/>
      <c r="P478" s="1"/>
      <c r="Q478" s="1"/>
      <c r="R478" s="1"/>
      <c r="S478" s="28"/>
      <c r="T478" s="1"/>
      <c r="U478" s="1"/>
      <c r="V478" s="1"/>
      <c r="W478" s="28"/>
      <c r="X478" s="28"/>
      <c r="Y478" s="1"/>
      <c r="Z478" s="30"/>
      <c r="AA478" s="6"/>
      <c r="AB478" s="28"/>
      <c r="AC478" s="28"/>
      <c r="AD478" s="28"/>
      <c r="AE478" s="7"/>
      <c r="AF478" s="28"/>
      <c r="AG478" s="28"/>
      <c r="AH478" s="28"/>
      <c r="AI478" s="28"/>
      <c r="AJ478" s="28"/>
      <c r="AK478" s="28"/>
      <c r="AL478" s="28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ht="10.15" customHeight="1" x14ac:dyDescent="0.25">
      <c r="A479" s="44">
        <f>1+A475</f>
        <v>120</v>
      </c>
      <c r="B479" s="50"/>
      <c r="C479" s="57"/>
      <c r="D479" s="57"/>
      <c r="E479" s="34" t="str">
        <f>+AQ479</f>
        <v/>
      </c>
      <c r="F479" s="60"/>
      <c r="G479" s="34" t="str">
        <f>+AV479</f>
        <v>000100</v>
      </c>
      <c r="H479" s="35">
        <f>+AK479</f>
        <v>0</v>
      </c>
      <c r="I479" s="35">
        <f>+ROUND(AD479,2)</f>
        <v>0</v>
      </c>
      <c r="J479" s="57"/>
      <c r="K479" s="36">
        <f>+AE479</f>
        <v>0</v>
      </c>
      <c r="L479" s="35">
        <f>+AJ479</f>
        <v>0</v>
      </c>
      <c r="M479" s="37" t="s">
        <v>37</v>
      </c>
      <c r="N479" s="68"/>
      <c r="O479" s="57"/>
      <c r="P479" s="38" t="e">
        <f>+VLOOKUP(C479,Hoja1!$A$4:$C$57,3,FALSE)</f>
        <v>#N/A</v>
      </c>
      <c r="Q479" s="37" t="s">
        <v>38</v>
      </c>
      <c r="R479" s="68"/>
      <c r="S479" s="35" t="str">
        <f>(RIGHT(O479,7))</f>
        <v/>
      </c>
      <c r="T479" s="68"/>
      <c r="U479" s="37" t="s">
        <v>39</v>
      </c>
      <c r="V479" s="37" t="s">
        <v>40</v>
      </c>
      <c r="W479" s="35">
        <f>+AI479</f>
        <v>0</v>
      </c>
      <c r="X479" s="35">
        <f>+AJ479</f>
        <v>0</v>
      </c>
      <c r="Y479" s="33" t="s">
        <v>41</v>
      </c>
      <c r="Z479" s="39">
        <f>+F479</f>
        <v>0</v>
      </c>
      <c r="AA479" s="40"/>
      <c r="AB479" s="65"/>
      <c r="AC479" s="35">
        <v>0</v>
      </c>
      <c r="AD479" s="35">
        <f t="shared" ref="AD479" si="476">+AB479+AC479</f>
        <v>0</v>
      </c>
      <c r="AE479" s="67"/>
      <c r="AF479" s="35">
        <f>+AB479*AE479</f>
        <v>0</v>
      </c>
      <c r="AG479" s="35">
        <f>+AC479*AE479</f>
        <v>0</v>
      </c>
      <c r="AH479" s="35">
        <f>+AD479*AE479</f>
        <v>0</v>
      </c>
      <c r="AI479" s="35">
        <f t="shared" ref="AI479" si="477">+ROUND(AF479,2)</f>
        <v>0</v>
      </c>
      <c r="AJ479" s="35">
        <f t="shared" ref="AJ479" si="478">+ROUND(AG479,2)</f>
        <v>0</v>
      </c>
      <c r="AK479" s="35">
        <f t="shared" ref="AK479" si="479">+ROUND(AH479,2)</f>
        <v>0</v>
      </c>
      <c r="AL479" s="35">
        <f>+AI479+AJ479-AK479</f>
        <v>0</v>
      </c>
      <c r="AM479" s="63"/>
      <c r="AN479" s="35" t="str">
        <f>+LEFT(AM479,2)</f>
        <v/>
      </c>
      <c r="AO479" s="35" t="str">
        <f>+MID(AM479,4,2)</f>
        <v/>
      </c>
      <c r="AP479" s="35" t="str">
        <f>+RIGHT(AM479,2)</f>
        <v/>
      </c>
      <c r="AQ479" s="35" t="str">
        <f>+CONCATENATE(AN479,AO479,AP479)</f>
        <v/>
      </c>
      <c r="AR479" s="41">
        <f>AM479+_xlfn.XLOOKUP(C479,Hoja1!A:A,Hoja1!B:B)</f>
        <v>0</v>
      </c>
      <c r="AS479" s="42">
        <f>+DAY(AR479)</f>
        <v>0</v>
      </c>
      <c r="AT479" s="35">
        <f>+MONTH(AR479)</f>
        <v>1</v>
      </c>
      <c r="AU479" s="35">
        <f>+YEAR(AR479)</f>
        <v>1900</v>
      </c>
      <c r="AV479" s="35" t="str">
        <f>+CONCATENATE(TEXT(AS479,"00"),TEXT(AT479,"00"),RIGHT(AU479,2))</f>
        <v>000100</v>
      </c>
    </row>
    <row r="480" spans="1:48" s="31" customFormat="1" ht="10.15" hidden="1" customHeight="1" x14ac:dyDescent="0.25">
      <c r="A480" s="27"/>
      <c r="B480" s="27"/>
      <c r="C480" s="1"/>
      <c r="D480" s="1"/>
      <c r="E480" s="1"/>
      <c r="F480" s="1"/>
      <c r="G480" s="1"/>
      <c r="H480" s="28"/>
      <c r="I480" s="28"/>
      <c r="J480" s="1"/>
      <c r="K480" s="29"/>
      <c r="L480" s="28"/>
      <c r="M480" s="1"/>
      <c r="N480" s="1"/>
      <c r="O480" s="1"/>
      <c r="P480" s="1"/>
      <c r="Q480" s="1"/>
      <c r="R480" s="1"/>
      <c r="S480" s="28"/>
      <c r="T480" s="1"/>
      <c r="U480" s="1"/>
      <c r="V480" s="1"/>
      <c r="W480" s="28"/>
      <c r="X480" s="28"/>
      <c r="Y480" s="1"/>
      <c r="Z480" s="30"/>
      <c r="AA480" s="6"/>
      <c r="AB480" s="28"/>
      <c r="AC480" s="28"/>
      <c r="AD480" s="28"/>
      <c r="AE480" s="7"/>
      <c r="AF480" s="28"/>
      <c r="AG480" s="28"/>
      <c r="AH480" s="28"/>
      <c r="AI480" s="28"/>
      <c r="AJ480" s="28"/>
      <c r="AK480" s="28"/>
      <c r="AL480" s="28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s="31" customFormat="1" ht="10.15" hidden="1" customHeight="1" x14ac:dyDescent="0.25">
      <c r="A481" s="27"/>
      <c r="B481" s="27"/>
      <c r="C481" s="1"/>
      <c r="D481" s="1"/>
      <c r="E481" s="1"/>
      <c r="F481" s="1"/>
      <c r="G481" s="1"/>
      <c r="H481" s="28"/>
      <c r="I481" s="28"/>
      <c r="J481" s="1"/>
      <c r="K481" s="29"/>
      <c r="L481" s="28"/>
      <c r="M481" s="1"/>
      <c r="N481" s="1"/>
      <c r="O481" s="1"/>
      <c r="P481" s="1"/>
      <c r="Q481" s="1"/>
      <c r="R481" s="1"/>
      <c r="S481" s="28"/>
      <c r="T481" s="1"/>
      <c r="U481" s="1"/>
      <c r="V481" s="1"/>
      <c r="W481" s="28"/>
      <c r="X481" s="28"/>
      <c r="Y481" s="1"/>
      <c r="Z481" s="30"/>
      <c r="AA481" s="6"/>
      <c r="AB481" s="28"/>
      <c r="AC481" s="28"/>
      <c r="AD481" s="28"/>
      <c r="AE481" s="7"/>
      <c r="AF481" s="28"/>
      <c r="AG481" s="28"/>
      <c r="AH481" s="28"/>
      <c r="AI481" s="28"/>
      <c r="AJ481" s="28"/>
      <c r="AK481" s="28"/>
      <c r="AL481" s="28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s="31" customFormat="1" ht="10.15" hidden="1" customHeight="1" x14ac:dyDescent="0.25">
      <c r="A482" s="27"/>
      <c r="B482" s="27"/>
      <c r="C482" s="1"/>
      <c r="D482" s="1"/>
      <c r="E482" s="1"/>
      <c r="F482" s="1"/>
      <c r="G482" s="1"/>
      <c r="H482" s="28"/>
      <c r="I482" s="28"/>
      <c r="J482" s="1"/>
      <c r="K482" s="29"/>
      <c r="L482" s="28"/>
      <c r="M482" s="1"/>
      <c r="N482" s="1"/>
      <c r="O482" s="1"/>
      <c r="P482" s="1"/>
      <c r="Q482" s="1"/>
      <c r="R482" s="1"/>
      <c r="S482" s="28"/>
      <c r="T482" s="1"/>
      <c r="U482" s="1"/>
      <c r="V482" s="1"/>
      <c r="W482" s="28"/>
      <c r="X482" s="28"/>
      <c r="Y482" s="1"/>
      <c r="Z482" s="30"/>
      <c r="AA482" s="6"/>
      <c r="AB482" s="28"/>
      <c r="AC482" s="28"/>
      <c r="AD482" s="28"/>
      <c r="AE482" s="7"/>
      <c r="AF482" s="28"/>
      <c r="AG482" s="28"/>
      <c r="AH482" s="28"/>
      <c r="AI482" s="28"/>
      <c r="AJ482" s="28"/>
      <c r="AK482" s="28"/>
      <c r="AL482" s="28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ht="10.15" customHeight="1" x14ac:dyDescent="0.25">
      <c r="A483" s="44">
        <f>1+A479</f>
        <v>121</v>
      </c>
      <c r="B483" s="50"/>
      <c r="C483" s="57"/>
      <c r="D483" s="57"/>
      <c r="E483" s="34" t="str">
        <f>+AQ483</f>
        <v/>
      </c>
      <c r="F483" s="60"/>
      <c r="G483" s="34" t="str">
        <f>+AV483</f>
        <v>000100</v>
      </c>
      <c r="H483" s="35">
        <f>+AK483</f>
        <v>0</v>
      </c>
      <c r="I483" s="35">
        <f>+ROUND(AD483,2)</f>
        <v>0</v>
      </c>
      <c r="J483" s="57"/>
      <c r="K483" s="36">
        <f>+AE483</f>
        <v>0</v>
      </c>
      <c r="L483" s="35">
        <f>+AJ483</f>
        <v>0</v>
      </c>
      <c r="M483" s="37" t="s">
        <v>37</v>
      </c>
      <c r="N483" s="68"/>
      <c r="O483" s="57"/>
      <c r="P483" s="38" t="e">
        <f>+VLOOKUP(C483,Hoja1!$A$4:$C$57,3,FALSE)</f>
        <v>#N/A</v>
      </c>
      <c r="Q483" s="37" t="s">
        <v>38</v>
      </c>
      <c r="R483" s="68"/>
      <c r="S483" s="35" t="str">
        <f>(RIGHT(O483,7))</f>
        <v/>
      </c>
      <c r="T483" s="68"/>
      <c r="U483" s="37" t="s">
        <v>39</v>
      </c>
      <c r="V483" s="37" t="s">
        <v>40</v>
      </c>
      <c r="W483" s="35">
        <f>+AI483</f>
        <v>0</v>
      </c>
      <c r="X483" s="35">
        <f>+AJ483</f>
        <v>0</v>
      </c>
      <c r="Y483" s="33" t="s">
        <v>41</v>
      </c>
      <c r="Z483" s="39">
        <f>+F483</f>
        <v>0</v>
      </c>
      <c r="AA483" s="40"/>
      <c r="AB483" s="65"/>
      <c r="AC483" s="35">
        <v>0</v>
      </c>
      <c r="AD483" s="35">
        <f t="shared" ref="AD483" si="480">+AB483+AC483</f>
        <v>0</v>
      </c>
      <c r="AE483" s="67"/>
      <c r="AF483" s="35">
        <f>+AB483*AE483</f>
        <v>0</v>
      </c>
      <c r="AG483" s="35">
        <f>+AC483*AE483</f>
        <v>0</v>
      </c>
      <c r="AH483" s="35">
        <f>+AD483*AE483</f>
        <v>0</v>
      </c>
      <c r="AI483" s="35">
        <f t="shared" ref="AI483" si="481">+ROUND(AF483,2)</f>
        <v>0</v>
      </c>
      <c r="AJ483" s="35">
        <f t="shared" ref="AJ483" si="482">+ROUND(AG483,2)</f>
        <v>0</v>
      </c>
      <c r="AK483" s="35">
        <f t="shared" ref="AK483" si="483">+ROUND(AH483,2)</f>
        <v>0</v>
      </c>
      <c r="AL483" s="35">
        <f>+AI483+AJ483-AK483</f>
        <v>0</v>
      </c>
      <c r="AM483" s="63"/>
      <c r="AN483" s="35" t="str">
        <f>+LEFT(AM483,2)</f>
        <v/>
      </c>
      <c r="AO483" s="35" t="str">
        <f>+MID(AM483,4,2)</f>
        <v/>
      </c>
      <c r="AP483" s="35" t="str">
        <f>+RIGHT(AM483,2)</f>
        <v/>
      </c>
      <c r="AQ483" s="35" t="str">
        <f>+CONCATENATE(AN483,AO483,AP483)</f>
        <v/>
      </c>
      <c r="AR483" s="41">
        <f>AM483+_xlfn.XLOOKUP(C483,Hoja1!A:A,Hoja1!B:B)</f>
        <v>0</v>
      </c>
      <c r="AS483" s="42">
        <f>+DAY(AR483)</f>
        <v>0</v>
      </c>
      <c r="AT483" s="35">
        <f>+MONTH(AR483)</f>
        <v>1</v>
      </c>
      <c r="AU483" s="35">
        <f>+YEAR(AR483)</f>
        <v>1900</v>
      </c>
      <c r="AV483" s="35" t="str">
        <f>+CONCATENATE(TEXT(AS483,"00"),TEXT(AT483,"00"),RIGHT(AU483,2))</f>
        <v>000100</v>
      </c>
    </row>
    <row r="484" spans="1:48" s="31" customFormat="1" ht="10.15" hidden="1" customHeight="1" x14ac:dyDescent="0.25">
      <c r="A484" s="27"/>
      <c r="B484" s="27"/>
      <c r="C484" s="1"/>
      <c r="D484" s="1"/>
      <c r="E484" s="1"/>
      <c r="F484" s="1"/>
      <c r="G484" s="1"/>
      <c r="H484" s="28"/>
      <c r="I484" s="28"/>
      <c r="J484" s="1"/>
      <c r="K484" s="29"/>
      <c r="L484" s="28"/>
      <c r="M484" s="1"/>
      <c r="N484" s="1"/>
      <c r="O484" s="1"/>
      <c r="P484" s="1"/>
      <c r="Q484" s="1"/>
      <c r="R484" s="1"/>
      <c r="S484" s="28"/>
      <c r="T484" s="1"/>
      <c r="U484" s="1"/>
      <c r="V484" s="1"/>
      <c r="W484" s="28"/>
      <c r="X484" s="28"/>
      <c r="Y484" s="1"/>
      <c r="Z484" s="30"/>
      <c r="AA484" s="6"/>
      <c r="AB484" s="28"/>
      <c r="AC484" s="28"/>
      <c r="AD484" s="28"/>
      <c r="AE484" s="7"/>
      <c r="AF484" s="28"/>
      <c r="AG484" s="28"/>
      <c r="AH484" s="28"/>
      <c r="AI484" s="28"/>
      <c r="AJ484" s="28"/>
      <c r="AK484" s="28"/>
      <c r="AL484" s="28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s="31" customFormat="1" ht="10.15" hidden="1" customHeight="1" x14ac:dyDescent="0.25">
      <c r="A485" s="27"/>
      <c r="B485" s="27"/>
      <c r="C485" s="1"/>
      <c r="D485" s="1"/>
      <c r="E485" s="1"/>
      <c r="F485" s="1"/>
      <c r="G485" s="1"/>
      <c r="H485" s="28"/>
      <c r="I485" s="28"/>
      <c r="J485" s="1"/>
      <c r="K485" s="29"/>
      <c r="L485" s="28"/>
      <c r="M485" s="1"/>
      <c r="N485" s="1"/>
      <c r="O485" s="1"/>
      <c r="P485" s="1"/>
      <c r="Q485" s="1"/>
      <c r="R485" s="1"/>
      <c r="S485" s="28"/>
      <c r="T485" s="1"/>
      <c r="U485" s="1"/>
      <c r="V485" s="1"/>
      <c r="W485" s="28"/>
      <c r="X485" s="28"/>
      <c r="Y485" s="1"/>
      <c r="Z485" s="30"/>
      <c r="AA485" s="6"/>
      <c r="AB485" s="28"/>
      <c r="AC485" s="28"/>
      <c r="AD485" s="28"/>
      <c r="AE485" s="7"/>
      <c r="AF485" s="28"/>
      <c r="AG485" s="28"/>
      <c r="AH485" s="28"/>
      <c r="AI485" s="28"/>
      <c r="AJ485" s="28"/>
      <c r="AK485" s="28"/>
      <c r="AL485" s="28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s="31" customFormat="1" ht="10.15" hidden="1" customHeight="1" x14ac:dyDescent="0.25">
      <c r="A486" s="27"/>
      <c r="B486" s="27"/>
      <c r="C486" s="1"/>
      <c r="D486" s="1"/>
      <c r="E486" s="1"/>
      <c r="F486" s="1"/>
      <c r="G486" s="1"/>
      <c r="H486" s="28"/>
      <c r="I486" s="28"/>
      <c r="J486" s="1"/>
      <c r="K486" s="29"/>
      <c r="L486" s="28"/>
      <c r="M486" s="1"/>
      <c r="N486" s="1"/>
      <c r="O486" s="1"/>
      <c r="P486" s="1"/>
      <c r="Q486" s="1"/>
      <c r="R486" s="1"/>
      <c r="S486" s="28"/>
      <c r="T486" s="1"/>
      <c r="U486" s="1"/>
      <c r="V486" s="1"/>
      <c r="W486" s="28"/>
      <c r="X486" s="28"/>
      <c r="Y486" s="1"/>
      <c r="Z486" s="30"/>
      <c r="AA486" s="6"/>
      <c r="AB486" s="28"/>
      <c r="AC486" s="28"/>
      <c r="AD486" s="28"/>
      <c r="AE486" s="7"/>
      <c r="AF486" s="28"/>
      <c r="AG486" s="28"/>
      <c r="AH486" s="28"/>
      <c r="AI486" s="28"/>
      <c r="AJ486" s="28"/>
      <c r="AK486" s="28"/>
      <c r="AL486" s="28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ht="10.15" customHeight="1" x14ac:dyDescent="0.25">
      <c r="A487" s="44">
        <f>1+A483</f>
        <v>122</v>
      </c>
      <c r="B487" s="38"/>
      <c r="C487" s="57"/>
      <c r="D487" s="57"/>
      <c r="E487" s="34" t="str">
        <f>+AQ487</f>
        <v/>
      </c>
      <c r="F487" s="60"/>
      <c r="G487" s="34" t="str">
        <f>+AV487</f>
        <v>000100</v>
      </c>
      <c r="H487" s="35">
        <f>+AK487</f>
        <v>0</v>
      </c>
      <c r="I487" s="35">
        <f>+ROUND(AD487,2)</f>
        <v>0</v>
      </c>
      <c r="J487" s="57"/>
      <c r="K487" s="36">
        <f>+AE487</f>
        <v>0</v>
      </c>
      <c r="L487" s="35">
        <f>+AJ487</f>
        <v>0</v>
      </c>
      <c r="M487" s="37" t="s">
        <v>37</v>
      </c>
      <c r="N487" s="68"/>
      <c r="O487" s="57"/>
      <c r="P487" s="38" t="e">
        <f>+VLOOKUP(C487,Hoja1!$A$4:$C$57,3,FALSE)</f>
        <v>#N/A</v>
      </c>
      <c r="Q487" s="37" t="s">
        <v>38</v>
      </c>
      <c r="R487" s="68"/>
      <c r="S487" s="35" t="str">
        <f>(RIGHT(O487,7))</f>
        <v/>
      </c>
      <c r="T487" s="68"/>
      <c r="U487" s="37" t="s">
        <v>39</v>
      </c>
      <c r="V487" s="37" t="s">
        <v>40</v>
      </c>
      <c r="W487" s="35">
        <f>+AI487</f>
        <v>0</v>
      </c>
      <c r="X487" s="35">
        <f>+AJ487</f>
        <v>0</v>
      </c>
      <c r="Y487" s="33" t="s">
        <v>41</v>
      </c>
      <c r="Z487" s="39">
        <f>+F487</f>
        <v>0</v>
      </c>
      <c r="AA487" s="40"/>
      <c r="AB487" s="65"/>
      <c r="AC487" s="35">
        <v>0</v>
      </c>
      <c r="AD487" s="35">
        <f t="shared" ref="AD487" si="484">+AB487+AC487</f>
        <v>0</v>
      </c>
      <c r="AE487" s="67"/>
      <c r="AF487" s="35">
        <f>+AB487*AE487</f>
        <v>0</v>
      </c>
      <c r="AG487" s="35">
        <f>+AC487*AE487</f>
        <v>0</v>
      </c>
      <c r="AH487" s="35">
        <f>+AD487*AE487</f>
        <v>0</v>
      </c>
      <c r="AI487" s="35">
        <f t="shared" ref="AI487" si="485">+ROUND(AF487,2)</f>
        <v>0</v>
      </c>
      <c r="AJ487" s="35">
        <f t="shared" ref="AJ487" si="486">+ROUND(AG487,2)</f>
        <v>0</v>
      </c>
      <c r="AK487" s="35">
        <f t="shared" ref="AK487" si="487">+ROUND(AH487,2)</f>
        <v>0</v>
      </c>
      <c r="AL487" s="35">
        <f>+AI487+AJ487-AK487</f>
        <v>0</v>
      </c>
      <c r="AM487" s="62"/>
      <c r="AN487" s="35" t="str">
        <f>+LEFT(AM487,2)</f>
        <v/>
      </c>
      <c r="AO487" s="35" t="str">
        <f>+MID(AM487,4,2)</f>
        <v/>
      </c>
      <c r="AP487" s="35" t="str">
        <f>+RIGHT(AM487,2)</f>
        <v/>
      </c>
      <c r="AQ487" s="35" t="str">
        <f>+CONCATENATE(AN487,AO487,AP487)</f>
        <v/>
      </c>
      <c r="AR487" s="41">
        <f>AM487+_xlfn.XLOOKUP(C487,Hoja1!A:A,Hoja1!B:B)</f>
        <v>0</v>
      </c>
      <c r="AS487" s="42">
        <f>+DAY(AR487)</f>
        <v>0</v>
      </c>
      <c r="AT487" s="35">
        <f>+MONTH(AR487)</f>
        <v>1</v>
      </c>
      <c r="AU487" s="35">
        <f>+YEAR(AR487)</f>
        <v>1900</v>
      </c>
      <c r="AV487" s="35" t="str">
        <f>+CONCATENATE(TEXT(AS487,"00"),TEXT(AT487,"00"),RIGHT(AU487,2))</f>
        <v>000100</v>
      </c>
    </row>
    <row r="488" spans="1:48" s="31" customFormat="1" ht="10.15" hidden="1" customHeight="1" x14ac:dyDescent="0.25">
      <c r="A488" s="27"/>
      <c r="B488" s="27"/>
      <c r="C488" s="1"/>
      <c r="D488" s="1"/>
      <c r="E488" s="1"/>
      <c r="F488" s="1"/>
      <c r="G488" s="1"/>
      <c r="H488" s="28"/>
      <c r="I488" s="28"/>
      <c r="J488" s="1"/>
      <c r="K488" s="29"/>
      <c r="L488" s="28"/>
      <c r="M488" s="1"/>
      <c r="N488" s="1"/>
      <c r="O488" s="1"/>
      <c r="P488" s="1"/>
      <c r="Q488" s="1"/>
      <c r="R488" s="1"/>
      <c r="S488" s="28"/>
      <c r="T488" s="1"/>
      <c r="U488" s="1"/>
      <c r="V488" s="1"/>
      <c r="W488" s="28"/>
      <c r="X488" s="28"/>
      <c r="Y488" s="1"/>
      <c r="Z488" s="30"/>
      <c r="AA488" s="6"/>
      <c r="AB488" s="28"/>
      <c r="AC488" s="28"/>
      <c r="AD488" s="28"/>
      <c r="AE488" s="7"/>
      <c r="AF488" s="28"/>
      <c r="AG488" s="28"/>
      <c r="AH488" s="28"/>
      <c r="AI488" s="28"/>
      <c r="AJ488" s="28"/>
      <c r="AK488" s="28"/>
      <c r="AL488" s="28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s="31" customFormat="1" ht="10.15" hidden="1" customHeight="1" x14ac:dyDescent="0.25">
      <c r="A489" s="27"/>
      <c r="B489" s="27"/>
      <c r="C489" s="1"/>
      <c r="D489" s="1"/>
      <c r="E489" s="1"/>
      <c r="F489" s="1"/>
      <c r="G489" s="1"/>
      <c r="H489" s="28"/>
      <c r="I489" s="28"/>
      <c r="J489" s="1"/>
      <c r="K489" s="29"/>
      <c r="L489" s="28"/>
      <c r="M489" s="1"/>
      <c r="N489" s="1"/>
      <c r="O489" s="1"/>
      <c r="P489" s="1"/>
      <c r="Q489" s="1"/>
      <c r="R489" s="1"/>
      <c r="S489" s="28"/>
      <c r="T489" s="1"/>
      <c r="U489" s="1"/>
      <c r="V489" s="1"/>
      <c r="W489" s="28"/>
      <c r="X489" s="28"/>
      <c r="Y489" s="1"/>
      <c r="Z489" s="30"/>
      <c r="AA489" s="6"/>
      <c r="AB489" s="28"/>
      <c r="AC489" s="28"/>
      <c r="AD489" s="28"/>
      <c r="AE489" s="7"/>
      <c r="AF489" s="28"/>
      <c r="AG489" s="28"/>
      <c r="AH489" s="28"/>
      <c r="AI489" s="28"/>
      <c r="AJ489" s="28"/>
      <c r="AK489" s="28"/>
      <c r="AL489" s="28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s="31" customFormat="1" ht="10.15" hidden="1" customHeight="1" x14ac:dyDescent="0.25">
      <c r="A490" s="27"/>
      <c r="B490" s="27"/>
      <c r="C490" s="1"/>
      <c r="D490" s="1"/>
      <c r="E490" s="1"/>
      <c r="F490" s="1"/>
      <c r="G490" s="1"/>
      <c r="H490" s="28"/>
      <c r="I490" s="28"/>
      <c r="J490" s="1"/>
      <c r="K490" s="29"/>
      <c r="L490" s="28"/>
      <c r="M490" s="1"/>
      <c r="N490" s="1"/>
      <c r="O490" s="1"/>
      <c r="P490" s="1"/>
      <c r="Q490" s="1"/>
      <c r="R490" s="1"/>
      <c r="S490" s="28"/>
      <c r="T490" s="1"/>
      <c r="U490" s="1"/>
      <c r="V490" s="1"/>
      <c r="W490" s="28"/>
      <c r="X490" s="28"/>
      <c r="Y490" s="1"/>
      <c r="Z490" s="30"/>
      <c r="AA490" s="6"/>
      <c r="AB490" s="28"/>
      <c r="AC490" s="28"/>
      <c r="AD490" s="28"/>
      <c r="AE490" s="7"/>
      <c r="AF490" s="28"/>
      <c r="AG490" s="28"/>
      <c r="AH490" s="28"/>
      <c r="AI490" s="28"/>
      <c r="AJ490" s="28"/>
      <c r="AK490" s="28"/>
      <c r="AL490" s="28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</sheetData>
  <autoFilter ref="A1:AV490" xr:uid="{41D5374C-19B4-438A-9A30-B29BCADE8204}">
    <filterColumn colId="0">
      <customFilters>
        <customFilter operator="notEqual" val=" "/>
      </customFilters>
    </filterColumn>
  </autoFilter>
  <phoneticPr fontId="3" type="noConversion"/>
  <pageMargins left="0.7" right="0.7" top="0.75" bottom="0.75" header="0.3" footer="0.3"/>
  <pageSetup orientation="portrait" r:id="rId1"/>
  <headerFooter>
    <oddFooter>&amp;L_x000D_&amp;1#&amp;"Calibri"&amp;8&amp;K000000 Classified as Internal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7508-02E0-4146-9E1F-8E351D118524}">
  <sheetPr codeName="Sheet3" filterMode="1"/>
  <dimension ref="A1:N489"/>
  <sheetViews>
    <sheetView workbookViewId="0">
      <pane ySplit="1" topLeftCell="A14" activePane="bottomLeft" state="frozen"/>
      <selection pane="bottomLeft" activeCell="B18" sqref="B18"/>
    </sheetView>
  </sheetViews>
  <sheetFormatPr defaultColWidth="11.42578125" defaultRowHeight="15" x14ac:dyDescent="0.25"/>
  <cols>
    <col min="1" max="1" width="4" style="8" bestFit="1" customWidth="1"/>
    <col min="2" max="2" width="8.28515625" bestFit="1" customWidth="1"/>
    <col min="3" max="3" width="7.5703125" bestFit="1" customWidth="1"/>
    <col min="4" max="4" width="10" bestFit="1" customWidth="1"/>
    <col min="5" max="5" width="10.140625" bestFit="1" customWidth="1"/>
    <col min="6" max="6" width="9.85546875" bestFit="1" customWidth="1"/>
    <col min="7" max="7" width="19.5703125" style="3" bestFit="1" customWidth="1"/>
    <col min="8" max="8" width="16" bestFit="1" customWidth="1"/>
    <col min="9" max="9" width="16.5703125" bestFit="1" customWidth="1"/>
    <col min="10" max="10" width="20.5703125" bestFit="1" customWidth="1"/>
    <col min="11" max="11" width="10.5703125" bestFit="1" customWidth="1"/>
    <col min="12" max="12" width="14.7109375" bestFit="1" customWidth="1"/>
    <col min="13" max="13" width="22" bestFit="1" customWidth="1"/>
    <col min="14" max="14" width="13.85546875" bestFit="1" customWidth="1"/>
  </cols>
  <sheetData>
    <row r="1" spans="1:14" s="10" customFormat="1" x14ac:dyDescent="0.25">
      <c r="A1" s="11"/>
      <c r="B1" s="11" t="s">
        <v>43</v>
      </c>
      <c r="C1" s="11" t="s">
        <v>44</v>
      </c>
      <c r="D1" s="11" t="s">
        <v>45</v>
      </c>
      <c r="E1" s="11" t="s">
        <v>46</v>
      </c>
      <c r="F1" s="11" t="s">
        <v>47</v>
      </c>
      <c r="G1" s="4" t="s">
        <v>48</v>
      </c>
      <c r="H1" s="11" t="s">
        <v>49</v>
      </c>
      <c r="I1" s="11" t="s">
        <v>50</v>
      </c>
      <c r="J1" s="11" t="s">
        <v>51</v>
      </c>
      <c r="K1" s="11" t="s">
        <v>52</v>
      </c>
      <c r="L1" s="11" t="s">
        <v>53</v>
      </c>
      <c r="M1" s="11" t="s">
        <v>54</v>
      </c>
      <c r="N1" s="11" t="s">
        <v>55</v>
      </c>
    </row>
    <row r="2" spans="1:14" hidden="1" x14ac:dyDescent="0.25">
      <c r="A2" s="9">
        <f>1</f>
        <v>1</v>
      </c>
      <c r="B2" s="5" t="str">
        <f>+'libro compras'!$AI$1</f>
        <v>281110</v>
      </c>
      <c r="C2" s="1" t="str">
        <f>+'libro compras'!Q3</f>
        <v>103</v>
      </c>
      <c r="D2" s="1">
        <f>+'libro compras'!R3</f>
        <v>0</v>
      </c>
      <c r="E2" s="12" t="str">
        <f>+'libro compras'!S3</f>
        <v/>
      </c>
      <c r="F2" s="7"/>
      <c r="G2" s="2">
        <f>+'libro compras'!AK3</f>
        <v>0</v>
      </c>
      <c r="H2" s="7"/>
      <c r="I2" s="7" t="s">
        <v>56</v>
      </c>
      <c r="J2" s="7" t="str">
        <f>+CONCATENATE('libro compras'!C3," ",'libro compras'!D3)</f>
        <v xml:space="preserve"> </v>
      </c>
      <c r="K2" s="5">
        <f>+'libro compras'!F3</f>
        <v>0</v>
      </c>
      <c r="L2" s="1">
        <f>+'libro compras'!C3</f>
        <v>0</v>
      </c>
      <c r="M2" s="5">
        <f>+'libro compras'!D3</f>
        <v>0</v>
      </c>
      <c r="N2" s="7" t="s">
        <v>57</v>
      </c>
    </row>
    <row r="3" spans="1:14" hidden="1" x14ac:dyDescent="0.25">
      <c r="A3" s="9">
        <f>+A2</f>
        <v>1</v>
      </c>
      <c r="B3" s="5" t="str">
        <f>+'libro compras'!$AJ$1</f>
        <v>401110</v>
      </c>
      <c r="C3" s="1" t="str">
        <f t="shared" ref="C3:E3" si="0">+C2</f>
        <v>103</v>
      </c>
      <c r="D3" s="1">
        <f t="shared" si="0"/>
        <v>0</v>
      </c>
      <c r="E3" s="12" t="str">
        <f t="shared" si="0"/>
        <v/>
      </c>
      <c r="F3" s="7"/>
      <c r="G3" s="2">
        <f>+'libro compras'!AJ3</f>
        <v>0</v>
      </c>
      <c r="H3" s="7"/>
      <c r="I3" s="7" t="s">
        <v>56</v>
      </c>
      <c r="J3" s="7" t="str">
        <f t="shared" ref="J3:M3" si="1">+J2</f>
        <v xml:space="preserve"> </v>
      </c>
      <c r="K3" s="5">
        <f t="shared" si="1"/>
        <v>0</v>
      </c>
      <c r="L3" s="1">
        <f t="shared" si="1"/>
        <v>0</v>
      </c>
      <c r="M3" s="1">
        <f t="shared" si="1"/>
        <v>0</v>
      </c>
      <c r="N3" s="7" t="s">
        <v>57</v>
      </c>
    </row>
    <row r="4" spans="1:14" hidden="1" x14ac:dyDescent="0.25">
      <c r="A4" s="9">
        <f>+A2</f>
        <v>1</v>
      </c>
      <c r="B4" s="5" t="e">
        <f>+'libro compras'!P3</f>
        <v>#N/A</v>
      </c>
      <c r="C4" s="1" t="str">
        <f t="shared" ref="C4:E4" si="2">+C3</f>
        <v>103</v>
      </c>
      <c r="D4" s="1">
        <f t="shared" si="2"/>
        <v>0</v>
      </c>
      <c r="E4" s="12" t="str">
        <f t="shared" si="2"/>
        <v/>
      </c>
      <c r="F4" s="7"/>
      <c r="G4" s="2">
        <f>-'libro compras'!AI3</f>
        <v>0</v>
      </c>
      <c r="H4" s="7"/>
      <c r="I4" s="7" t="s">
        <v>36</v>
      </c>
      <c r="J4" s="7" t="str">
        <f>+CONCATENATE('libro compras'!C3," ",'libro compras'!D3)</f>
        <v xml:space="preserve"> </v>
      </c>
      <c r="K4" s="5">
        <f t="shared" ref="K4:M4" si="3">+K3</f>
        <v>0</v>
      </c>
      <c r="L4" s="1">
        <f t="shared" si="3"/>
        <v>0</v>
      </c>
      <c r="M4" s="1">
        <f t="shared" si="3"/>
        <v>0</v>
      </c>
      <c r="N4" s="7" t="s">
        <v>57</v>
      </c>
    </row>
    <row r="5" spans="1:14" hidden="1" x14ac:dyDescent="0.25">
      <c r="A5" s="9">
        <f>+A4</f>
        <v>1</v>
      </c>
      <c r="B5" s="2" t="e">
        <f>+VLOOKUP(B4,Hoja1!$A$1:$B$2,2,FALSE)</f>
        <v>#N/A</v>
      </c>
      <c r="C5" s="1" t="str">
        <f t="shared" ref="C5:E5" si="4">+C4</f>
        <v>103</v>
      </c>
      <c r="D5" s="1">
        <f t="shared" si="4"/>
        <v>0</v>
      </c>
      <c r="E5" s="12" t="str">
        <f t="shared" si="4"/>
        <v/>
      </c>
      <c r="F5" s="7"/>
      <c r="G5" s="2">
        <f>-'libro compras'!AB3</f>
        <v>0</v>
      </c>
      <c r="H5" s="7"/>
      <c r="I5" s="7" t="s">
        <v>36</v>
      </c>
      <c r="J5" s="7" t="str">
        <f>+CONCATENATE('libro compras'!C3," ",'libro compras'!D3)</f>
        <v xml:space="preserve"> </v>
      </c>
      <c r="K5" s="5">
        <f t="shared" ref="K5:M5" si="5">+K4</f>
        <v>0</v>
      </c>
      <c r="L5" s="1">
        <f t="shared" si="5"/>
        <v>0</v>
      </c>
      <c r="M5" s="1">
        <f t="shared" si="5"/>
        <v>0</v>
      </c>
      <c r="N5" s="7" t="s">
        <v>57</v>
      </c>
    </row>
    <row r="6" spans="1:14" hidden="1" x14ac:dyDescent="0.25">
      <c r="A6" s="9">
        <f t="shared" ref="A6:A69" si="6">1+A2</f>
        <v>2</v>
      </c>
      <c r="B6" s="5" t="str">
        <f>+'libro compras'!$AI$1</f>
        <v>281110</v>
      </c>
      <c r="C6" s="1" t="str">
        <f>+'libro compras'!Q7</f>
        <v>103</v>
      </c>
      <c r="D6" s="1">
        <f>+'libro compras'!R7</f>
        <v>0</v>
      </c>
      <c r="E6" s="12" t="str">
        <f>+'libro compras'!S7</f>
        <v/>
      </c>
      <c r="F6" s="7"/>
      <c r="G6" s="2">
        <f>+'libro compras'!AK7</f>
        <v>0</v>
      </c>
      <c r="H6" s="7"/>
      <c r="I6" s="7" t="s">
        <v>56</v>
      </c>
      <c r="J6" s="7" t="str">
        <f>+CONCATENATE('libro compras'!C7," ",'libro compras'!D7)</f>
        <v xml:space="preserve"> </v>
      </c>
      <c r="K6" s="5">
        <f>+'libro compras'!F7</f>
        <v>0</v>
      </c>
      <c r="L6" s="1">
        <f>+'libro compras'!C7</f>
        <v>0</v>
      </c>
      <c r="M6" s="5">
        <f>+'libro compras'!D7</f>
        <v>0</v>
      </c>
      <c r="N6" s="7" t="s">
        <v>57</v>
      </c>
    </row>
    <row r="7" spans="1:14" hidden="1" x14ac:dyDescent="0.25">
      <c r="A7" s="9">
        <f t="shared" si="6"/>
        <v>2</v>
      </c>
      <c r="B7" s="5" t="str">
        <f>+'libro compras'!$AJ$1</f>
        <v>401110</v>
      </c>
      <c r="C7" s="1" t="str">
        <f t="shared" ref="C7:E7" si="7">+C6</f>
        <v>103</v>
      </c>
      <c r="D7" s="1">
        <f t="shared" si="7"/>
        <v>0</v>
      </c>
      <c r="E7" s="12" t="str">
        <f t="shared" si="7"/>
        <v/>
      </c>
      <c r="F7" s="7"/>
      <c r="G7" s="2">
        <f>+'libro compras'!AJ7</f>
        <v>0</v>
      </c>
      <c r="H7" s="7"/>
      <c r="I7" s="7" t="s">
        <v>56</v>
      </c>
      <c r="J7" s="7" t="str">
        <f t="shared" ref="J7:M7" si="8">+J6</f>
        <v xml:space="preserve"> </v>
      </c>
      <c r="K7" s="5">
        <f t="shared" si="8"/>
        <v>0</v>
      </c>
      <c r="L7" s="1">
        <f t="shared" si="8"/>
        <v>0</v>
      </c>
      <c r="M7" s="1">
        <f t="shared" si="8"/>
        <v>0</v>
      </c>
      <c r="N7" s="7" t="s">
        <v>57</v>
      </c>
    </row>
    <row r="8" spans="1:14" hidden="1" x14ac:dyDescent="0.25">
      <c r="A8" s="9">
        <f t="shared" si="6"/>
        <v>2</v>
      </c>
      <c r="B8" s="5" t="e">
        <f>+'libro compras'!P7</f>
        <v>#N/A</v>
      </c>
      <c r="C8" s="1" t="str">
        <f t="shared" ref="C8:E8" si="9">+C7</f>
        <v>103</v>
      </c>
      <c r="D8" s="1">
        <f t="shared" si="9"/>
        <v>0</v>
      </c>
      <c r="E8" s="12" t="str">
        <f t="shared" si="9"/>
        <v/>
      </c>
      <c r="F8" s="7"/>
      <c r="G8" s="2">
        <f>-'libro compras'!AI7</f>
        <v>0</v>
      </c>
      <c r="H8" s="7"/>
      <c r="I8" s="7" t="s">
        <v>36</v>
      </c>
      <c r="J8" s="7" t="str">
        <f>+CONCATENATE('libro compras'!C7," ",'libro compras'!D7)</f>
        <v xml:space="preserve"> </v>
      </c>
      <c r="K8" s="5">
        <f t="shared" ref="K8:M8" si="10">+K7</f>
        <v>0</v>
      </c>
      <c r="L8" s="1">
        <f t="shared" si="10"/>
        <v>0</v>
      </c>
      <c r="M8" s="1">
        <f t="shared" si="10"/>
        <v>0</v>
      </c>
      <c r="N8" s="7" t="s">
        <v>57</v>
      </c>
    </row>
    <row r="9" spans="1:14" hidden="1" x14ac:dyDescent="0.25">
      <c r="A9" s="9">
        <f t="shared" si="6"/>
        <v>2</v>
      </c>
      <c r="B9" s="2" t="e">
        <f>+VLOOKUP(B8,Hoja1!$A$1:$B$2,2,FALSE)</f>
        <v>#N/A</v>
      </c>
      <c r="C9" s="1" t="str">
        <f t="shared" ref="C9:E9" si="11">+C8</f>
        <v>103</v>
      </c>
      <c r="D9" s="1">
        <f t="shared" si="11"/>
        <v>0</v>
      </c>
      <c r="E9" s="12" t="str">
        <f t="shared" si="11"/>
        <v/>
      </c>
      <c r="F9" s="7"/>
      <c r="G9" s="2">
        <f>-'libro compras'!AB7</f>
        <v>0</v>
      </c>
      <c r="H9" s="7"/>
      <c r="I9" s="7" t="s">
        <v>36</v>
      </c>
      <c r="J9" s="7" t="str">
        <f>+CONCATENATE('libro compras'!C7," ",'libro compras'!D7)</f>
        <v xml:space="preserve"> </v>
      </c>
      <c r="K9" s="5">
        <f t="shared" ref="K9:M9" si="12">+K8</f>
        <v>0</v>
      </c>
      <c r="L9" s="1">
        <f t="shared" si="12"/>
        <v>0</v>
      </c>
      <c r="M9" s="1">
        <f t="shared" si="12"/>
        <v>0</v>
      </c>
      <c r="N9" s="7" t="s">
        <v>57</v>
      </c>
    </row>
    <row r="10" spans="1:14" hidden="1" x14ac:dyDescent="0.25">
      <c r="A10" s="9">
        <f t="shared" si="6"/>
        <v>3</v>
      </c>
      <c r="B10" s="5" t="str">
        <f>+'libro compras'!$AI$1</f>
        <v>281110</v>
      </c>
      <c r="C10" s="1" t="str">
        <f>+'libro compras'!Q11</f>
        <v>103</v>
      </c>
      <c r="D10" s="1">
        <f>+'libro compras'!R11</f>
        <v>0</v>
      </c>
      <c r="E10" s="12" t="str">
        <f>+'libro compras'!S11</f>
        <v/>
      </c>
      <c r="F10" s="7"/>
      <c r="G10" s="2">
        <f>+'libro compras'!AK11</f>
        <v>0</v>
      </c>
      <c r="H10" s="7"/>
      <c r="I10" s="7" t="s">
        <v>56</v>
      </c>
      <c r="J10" s="7" t="str">
        <f>+CONCATENATE('libro compras'!C11," ",'libro compras'!D11)</f>
        <v xml:space="preserve"> </v>
      </c>
      <c r="K10" s="5">
        <f>+'libro compras'!F11</f>
        <v>0</v>
      </c>
      <c r="L10" s="1">
        <f>+'libro compras'!C11</f>
        <v>0</v>
      </c>
      <c r="M10" s="5">
        <f>+'libro compras'!D11</f>
        <v>0</v>
      </c>
      <c r="N10" s="7" t="s">
        <v>57</v>
      </c>
    </row>
    <row r="11" spans="1:14" hidden="1" x14ac:dyDescent="0.25">
      <c r="A11" s="9">
        <f t="shared" si="6"/>
        <v>3</v>
      </c>
      <c r="B11" s="5" t="str">
        <f>+'libro compras'!$AJ$1</f>
        <v>401110</v>
      </c>
      <c r="C11" s="1" t="str">
        <f t="shared" ref="C11:E11" si="13">+C10</f>
        <v>103</v>
      </c>
      <c r="D11" s="1">
        <f t="shared" si="13"/>
        <v>0</v>
      </c>
      <c r="E11" s="12" t="str">
        <f t="shared" si="13"/>
        <v/>
      </c>
      <c r="F11" s="7"/>
      <c r="G11" s="2">
        <f>+'libro compras'!AJ11</f>
        <v>0</v>
      </c>
      <c r="H11" s="7"/>
      <c r="I11" s="7" t="s">
        <v>56</v>
      </c>
      <c r="J11" s="7" t="str">
        <f t="shared" ref="J11:M11" si="14">+J10</f>
        <v xml:space="preserve"> </v>
      </c>
      <c r="K11" s="5">
        <f t="shared" si="14"/>
        <v>0</v>
      </c>
      <c r="L11" s="1">
        <f t="shared" si="14"/>
        <v>0</v>
      </c>
      <c r="M11" s="1">
        <f t="shared" si="14"/>
        <v>0</v>
      </c>
      <c r="N11" s="7" t="s">
        <v>57</v>
      </c>
    </row>
    <row r="12" spans="1:14" hidden="1" x14ac:dyDescent="0.25">
      <c r="A12" s="9">
        <f t="shared" si="6"/>
        <v>3</v>
      </c>
      <c r="B12" s="5" t="e">
        <f>+'libro compras'!P11</f>
        <v>#N/A</v>
      </c>
      <c r="C12" s="1" t="str">
        <f t="shared" ref="C12:E12" si="15">+C11</f>
        <v>103</v>
      </c>
      <c r="D12" s="1">
        <f t="shared" si="15"/>
        <v>0</v>
      </c>
      <c r="E12" s="12" t="str">
        <f t="shared" si="15"/>
        <v/>
      </c>
      <c r="F12" s="7"/>
      <c r="G12" s="2">
        <f>-'libro compras'!AI11</f>
        <v>0</v>
      </c>
      <c r="H12" s="7"/>
      <c r="I12" s="7" t="s">
        <v>36</v>
      </c>
      <c r="J12" s="7" t="str">
        <f>+CONCATENATE('libro compras'!C11," ",'libro compras'!D11)</f>
        <v xml:space="preserve"> </v>
      </c>
      <c r="K12" s="5">
        <f t="shared" ref="K12:M12" si="16">+K11</f>
        <v>0</v>
      </c>
      <c r="L12" s="1">
        <f t="shared" si="16"/>
        <v>0</v>
      </c>
      <c r="M12" s="1">
        <f t="shared" si="16"/>
        <v>0</v>
      </c>
      <c r="N12" s="7" t="s">
        <v>57</v>
      </c>
    </row>
    <row r="13" spans="1:14" hidden="1" x14ac:dyDescent="0.25">
      <c r="A13" s="9">
        <f t="shared" si="6"/>
        <v>3</v>
      </c>
      <c r="B13" s="2" t="e">
        <f>+VLOOKUP(B12,Hoja1!$A$1:$B$2,2,FALSE)</f>
        <v>#N/A</v>
      </c>
      <c r="C13" s="1" t="str">
        <f t="shared" ref="C13:E13" si="17">+C12</f>
        <v>103</v>
      </c>
      <c r="D13" s="1">
        <f t="shared" si="17"/>
        <v>0</v>
      </c>
      <c r="E13" s="12" t="str">
        <f t="shared" si="17"/>
        <v/>
      </c>
      <c r="F13" s="7"/>
      <c r="G13" s="2">
        <f>-'libro compras'!AB11</f>
        <v>0</v>
      </c>
      <c r="H13" s="7"/>
      <c r="I13" s="7" t="s">
        <v>36</v>
      </c>
      <c r="J13" s="7" t="str">
        <f>+CONCATENATE('libro compras'!C11," ",'libro compras'!D11)</f>
        <v xml:space="preserve"> </v>
      </c>
      <c r="K13" s="5">
        <f t="shared" ref="K13:M13" si="18">+K12</f>
        <v>0</v>
      </c>
      <c r="L13" s="1">
        <f t="shared" si="18"/>
        <v>0</v>
      </c>
      <c r="M13" s="1">
        <f t="shared" si="18"/>
        <v>0</v>
      </c>
      <c r="N13" s="7" t="s">
        <v>57</v>
      </c>
    </row>
    <row r="14" spans="1:14" x14ac:dyDescent="0.25">
      <c r="A14" s="9">
        <f t="shared" si="6"/>
        <v>4</v>
      </c>
      <c r="B14" s="5" t="str">
        <f>+'libro compras'!$AI$1</f>
        <v>281110</v>
      </c>
      <c r="C14" s="1" t="str">
        <f>+'libro compras'!Q15</f>
        <v>103</v>
      </c>
      <c r="D14" s="1">
        <f>+'libro compras'!R15</f>
        <v>0</v>
      </c>
      <c r="E14" s="12" t="str">
        <f>+'libro compras'!S15</f>
        <v/>
      </c>
      <c r="F14" s="7"/>
      <c r="G14" s="2">
        <f>+'libro compras'!AK15</f>
        <v>0</v>
      </c>
      <c r="H14" s="7"/>
      <c r="I14" s="7" t="s">
        <v>56</v>
      </c>
      <c r="J14" s="7" t="str">
        <f>+CONCATENATE('libro compras'!C15," ",'libro compras'!D15)</f>
        <v xml:space="preserve"> </v>
      </c>
      <c r="K14" s="5">
        <f>+'libro compras'!F15</f>
        <v>0</v>
      </c>
      <c r="L14" s="1">
        <f>+'libro compras'!C15</f>
        <v>0</v>
      </c>
      <c r="M14" s="5">
        <f>+'libro compras'!D15</f>
        <v>0</v>
      </c>
      <c r="N14" s="7" t="s">
        <v>57</v>
      </c>
    </row>
    <row r="15" spans="1:14" hidden="1" x14ac:dyDescent="0.25">
      <c r="A15" s="9">
        <f t="shared" si="6"/>
        <v>4</v>
      </c>
      <c r="B15" s="5" t="str">
        <f>+'libro compras'!$AJ$1</f>
        <v>401110</v>
      </c>
      <c r="C15" s="1" t="str">
        <f t="shared" ref="C15:E15" si="19">+C14</f>
        <v>103</v>
      </c>
      <c r="D15" s="1">
        <f t="shared" si="19"/>
        <v>0</v>
      </c>
      <c r="E15" s="12" t="str">
        <f t="shared" si="19"/>
        <v/>
      </c>
      <c r="F15" s="7"/>
      <c r="G15" s="2">
        <f>+'libro compras'!AJ15</f>
        <v>0</v>
      </c>
      <c r="H15" s="7"/>
      <c r="I15" s="7" t="s">
        <v>56</v>
      </c>
      <c r="J15" s="7" t="str">
        <f t="shared" ref="J15:M15" si="20">+J14</f>
        <v xml:space="preserve"> </v>
      </c>
      <c r="K15" s="5">
        <f t="shared" si="20"/>
        <v>0</v>
      </c>
      <c r="L15" s="1">
        <f t="shared" si="20"/>
        <v>0</v>
      </c>
      <c r="M15" s="1">
        <f t="shared" si="20"/>
        <v>0</v>
      </c>
      <c r="N15" s="7" t="s">
        <v>57</v>
      </c>
    </row>
    <row r="16" spans="1:14" x14ac:dyDescent="0.25">
      <c r="A16" s="9">
        <f t="shared" si="6"/>
        <v>4</v>
      </c>
      <c r="B16" s="5" t="e">
        <f>+'libro compras'!P15</f>
        <v>#N/A</v>
      </c>
      <c r="C16" s="1" t="str">
        <f t="shared" ref="C16:E16" si="21">+C15</f>
        <v>103</v>
      </c>
      <c r="D16" s="1">
        <f t="shared" si="21"/>
        <v>0</v>
      </c>
      <c r="E16" s="12" t="str">
        <f t="shared" si="21"/>
        <v/>
      </c>
      <c r="F16" s="7"/>
      <c r="G16" s="2">
        <f>-'libro compras'!AI15</f>
        <v>0</v>
      </c>
      <c r="H16" s="7"/>
      <c r="I16" s="7" t="s">
        <v>36</v>
      </c>
      <c r="J16" s="7" t="str">
        <f>+CONCATENATE('libro compras'!C15," ",'libro compras'!D15)</f>
        <v xml:space="preserve"> </v>
      </c>
      <c r="K16" s="5">
        <f t="shared" ref="K16:M16" si="22">+K15</f>
        <v>0</v>
      </c>
      <c r="L16" s="1">
        <f t="shared" si="22"/>
        <v>0</v>
      </c>
      <c r="M16" s="1">
        <f t="shared" si="22"/>
        <v>0</v>
      </c>
      <c r="N16" s="7" t="s">
        <v>57</v>
      </c>
    </row>
    <row r="17" spans="1:14" x14ac:dyDescent="0.25">
      <c r="A17" s="9">
        <f t="shared" si="6"/>
        <v>4</v>
      </c>
      <c r="B17" s="2" t="e">
        <f>+VLOOKUP(B16,Hoja1!$A$1:$B$2,2,FALSE)</f>
        <v>#N/A</v>
      </c>
      <c r="C17" s="1" t="str">
        <f t="shared" ref="C17:E17" si="23">+C16</f>
        <v>103</v>
      </c>
      <c r="D17" s="1">
        <f t="shared" si="23"/>
        <v>0</v>
      </c>
      <c r="E17" s="12" t="str">
        <f t="shared" si="23"/>
        <v/>
      </c>
      <c r="F17" s="7"/>
      <c r="G17" s="2">
        <f>-'libro compras'!AB15</f>
        <v>0</v>
      </c>
      <c r="H17" s="7"/>
      <c r="I17" s="7" t="s">
        <v>36</v>
      </c>
      <c r="J17" s="7" t="str">
        <f>+CONCATENATE('libro compras'!C15," ",'libro compras'!D15)</f>
        <v xml:space="preserve"> </v>
      </c>
      <c r="K17" s="5">
        <f t="shared" ref="K17:M17" si="24">+K16</f>
        <v>0</v>
      </c>
      <c r="L17" s="1">
        <f t="shared" si="24"/>
        <v>0</v>
      </c>
      <c r="M17" s="1">
        <f t="shared" si="24"/>
        <v>0</v>
      </c>
      <c r="N17" s="7" t="s">
        <v>57</v>
      </c>
    </row>
    <row r="18" spans="1:14" x14ac:dyDescent="0.25">
      <c r="A18" s="9">
        <f t="shared" si="6"/>
        <v>5</v>
      </c>
      <c r="B18" s="5" t="str">
        <f>+'libro compras'!$AI$1</f>
        <v>281110</v>
      </c>
      <c r="C18" s="1" t="str">
        <f>+'libro compras'!Q19</f>
        <v>103</v>
      </c>
      <c r="D18" s="1">
        <f>+'libro compras'!R19</f>
        <v>0</v>
      </c>
      <c r="E18" s="12" t="str">
        <f>+'libro compras'!S19</f>
        <v/>
      </c>
      <c r="F18" s="7"/>
      <c r="G18" s="2">
        <f>+'libro compras'!AK19</f>
        <v>0</v>
      </c>
      <c r="H18" s="7"/>
      <c r="I18" s="7" t="s">
        <v>56</v>
      </c>
      <c r="J18" s="7" t="str">
        <f>+CONCATENATE('libro compras'!C19," ",'libro compras'!D19)</f>
        <v xml:space="preserve"> </v>
      </c>
      <c r="K18" s="5">
        <f>+'libro compras'!F19</f>
        <v>0</v>
      </c>
      <c r="L18" s="1">
        <f>+'libro compras'!C19</f>
        <v>0</v>
      </c>
      <c r="M18" s="5">
        <f>+'libro compras'!D19</f>
        <v>0</v>
      </c>
      <c r="N18" s="7" t="s">
        <v>57</v>
      </c>
    </row>
    <row r="19" spans="1:14" hidden="1" x14ac:dyDescent="0.25">
      <c r="A19" s="9">
        <f t="shared" si="6"/>
        <v>5</v>
      </c>
      <c r="B19" s="5" t="str">
        <f>+'libro compras'!$AJ$1</f>
        <v>401110</v>
      </c>
      <c r="C19" s="1" t="str">
        <f t="shared" ref="C19:E19" si="25">+C18</f>
        <v>103</v>
      </c>
      <c r="D19" s="1">
        <f t="shared" si="25"/>
        <v>0</v>
      </c>
      <c r="E19" s="12" t="str">
        <f t="shared" si="25"/>
        <v/>
      </c>
      <c r="F19" s="7"/>
      <c r="G19" s="2">
        <f>+'libro compras'!AJ19</f>
        <v>0</v>
      </c>
      <c r="H19" s="7"/>
      <c r="I19" s="7" t="s">
        <v>56</v>
      </c>
      <c r="J19" s="7" t="str">
        <f t="shared" ref="J19:M19" si="26">+J18</f>
        <v xml:space="preserve"> </v>
      </c>
      <c r="K19" s="5">
        <f t="shared" si="26"/>
        <v>0</v>
      </c>
      <c r="L19" s="1">
        <f t="shared" si="26"/>
        <v>0</v>
      </c>
      <c r="M19" s="1">
        <f t="shared" si="26"/>
        <v>0</v>
      </c>
      <c r="N19" s="7" t="s">
        <v>57</v>
      </c>
    </row>
    <row r="20" spans="1:14" x14ac:dyDescent="0.25">
      <c r="A20" s="9">
        <f t="shared" si="6"/>
        <v>5</v>
      </c>
      <c r="B20" s="5" t="e">
        <f>+'libro compras'!P19</f>
        <v>#N/A</v>
      </c>
      <c r="C20" s="1" t="str">
        <f t="shared" ref="C20:E20" si="27">+C19</f>
        <v>103</v>
      </c>
      <c r="D20" s="1">
        <f t="shared" si="27"/>
        <v>0</v>
      </c>
      <c r="E20" s="12" t="str">
        <f t="shared" si="27"/>
        <v/>
      </c>
      <c r="F20" s="7"/>
      <c r="G20" s="2">
        <f>-'libro compras'!AI19</f>
        <v>0</v>
      </c>
      <c r="H20" s="7"/>
      <c r="I20" s="7" t="s">
        <v>36</v>
      </c>
      <c r="J20" s="7" t="str">
        <f>+CONCATENATE('libro compras'!C19," ",'libro compras'!D19)</f>
        <v xml:space="preserve"> </v>
      </c>
      <c r="K20" s="5">
        <f t="shared" ref="K20:M20" si="28">+K19</f>
        <v>0</v>
      </c>
      <c r="L20" s="1">
        <f t="shared" si="28"/>
        <v>0</v>
      </c>
      <c r="M20" s="1">
        <f t="shared" si="28"/>
        <v>0</v>
      </c>
      <c r="N20" s="7" t="s">
        <v>57</v>
      </c>
    </row>
    <row r="21" spans="1:14" x14ac:dyDescent="0.25">
      <c r="A21" s="9">
        <f t="shared" si="6"/>
        <v>5</v>
      </c>
      <c r="B21" s="2" t="e">
        <f>+VLOOKUP(B20,Hoja1!$A$1:$B$2,2,FALSE)</f>
        <v>#N/A</v>
      </c>
      <c r="C21" s="1" t="str">
        <f t="shared" ref="C21:E21" si="29">+C20</f>
        <v>103</v>
      </c>
      <c r="D21" s="1">
        <f t="shared" si="29"/>
        <v>0</v>
      </c>
      <c r="E21" s="12" t="str">
        <f t="shared" si="29"/>
        <v/>
      </c>
      <c r="F21" s="7"/>
      <c r="G21" s="2">
        <f>-'libro compras'!AB19</f>
        <v>0</v>
      </c>
      <c r="H21" s="7"/>
      <c r="I21" s="7" t="s">
        <v>36</v>
      </c>
      <c r="J21" s="7" t="str">
        <f>+CONCATENATE('libro compras'!C19," ",'libro compras'!D19)</f>
        <v xml:space="preserve"> </v>
      </c>
      <c r="K21" s="5">
        <f t="shared" ref="K21:M21" si="30">+K20</f>
        <v>0</v>
      </c>
      <c r="L21" s="1">
        <f t="shared" si="30"/>
        <v>0</v>
      </c>
      <c r="M21" s="1">
        <f t="shared" si="30"/>
        <v>0</v>
      </c>
      <c r="N21" s="7" t="s">
        <v>57</v>
      </c>
    </row>
    <row r="22" spans="1:14" x14ac:dyDescent="0.25">
      <c r="A22" s="9">
        <f t="shared" si="6"/>
        <v>6</v>
      </c>
      <c r="B22" s="5" t="str">
        <f>+'libro compras'!$AI$1</f>
        <v>281110</v>
      </c>
      <c r="C22" s="1" t="str">
        <f>+'libro compras'!Q23</f>
        <v>103</v>
      </c>
      <c r="D22" s="1">
        <f>+'libro compras'!R23</f>
        <v>0</v>
      </c>
      <c r="E22" s="12" t="str">
        <f>+'libro compras'!S23</f>
        <v/>
      </c>
      <c r="F22" s="7"/>
      <c r="G22" s="2">
        <f>+'libro compras'!AK23</f>
        <v>0</v>
      </c>
      <c r="H22" s="7"/>
      <c r="I22" s="7" t="s">
        <v>56</v>
      </c>
      <c r="J22" s="7" t="str">
        <f>+CONCATENATE('libro compras'!C23," ",'libro compras'!D23)</f>
        <v xml:space="preserve"> </v>
      </c>
      <c r="K22" s="5">
        <f>+'libro compras'!F23</f>
        <v>0</v>
      </c>
      <c r="L22" s="1">
        <f>+'libro compras'!C23</f>
        <v>0</v>
      </c>
      <c r="M22" s="5">
        <f>+'libro compras'!D23</f>
        <v>0</v>
      </c>
      <c r="N22" s="7" t="s">
        <v>57</v>
      </c>
    </row>
    <row r="23" spans="1:14" hidden="1" x14ac:dyDescent="0.25">
      <c r="A23" s="9">
        <f t="shared" si="6"/>
        <v>6</v>
      </c>
      <c r="B23" s="5" t="str">
        <f>+'libro compras'!$AJ$1</f>
        <v>401110</v>
      </c>
      <c r="C23" s="1" t="str">
        <f t="shared" ref="C23:E23" si="31">+C22</f>
        <v>103</v>
      </c>
      <c r="D23" s="1">
        <f t="shared" si="31"/>
        <v>0</v>
      </c>
      <c r="E23" s="12" t="str">
        <f t="shared" si="31"/>
        <v/>
      </c>
      <c r="F23" s="7"/>
      <c r="G23" s="2">
        <f>+'libro compras'!AJ23</f>
        <v>0</v>
      </c>
      <c r="H23" s="7"/>
      <c r="I23" s="7" t="s">
        <v>56</v>
      </c>
      <c r="J23" s="7" t="str">
        <f t="shared" ref="J23:M23" si="32">+J22</f>
        <v xml:space="preserve"> </v>
      </c>
      <c r="K23" s="5">
        <f t="shared" si="32"/>
        <v>0</v>
      </c>
      <c r="L23" s="1">
        <f t="shared" si="32"/>
        <v>0</v>
      </c>
      <c r="M23" s="1">
        <f t="shared" si="32"/>
        <v>0</v>
      </c>
      <c r="N23" s="7" t="s">
        <v>57</v>
      </c>
    </row>
    <row r="24" spans="1:14" x14ac:dyDescent="0.25">
      <c r="A24" s="9">
        <f t="shared" si="6"/>
        <v>6</v>
      </c>
      <c r="B24" s="5" t="e">
        <f>+'libro compras'!P23</f>
        <v>#N/A</v>
      </c>
      <c r="C24" s="1" t="str">
        <f t="shared" ref="C24:E24" si="33">+C23</f>
        <v>103</v>
      </c>
      <c r="D24" s="1">
        <f t="shared" si="33"/>
        <v>0</v>
      </c>
      <c r="E24" s="12" t="str">
        <f t="shared" si="33"/>
        <v/>
      </c>
      <c r="F24" s="7"/>
      <c r="G24" s="2">
        <f>-'libro compras'!AI23</f>
        <v>0</v>
      </c>
      <c r="H24" s="7"/>
      <c r="I24" s="7" t="s">
        <v>36</v>
      </c>
      <c r="J24" s="7" t="str">
        <f>+CONCATENATE('libro compras'!C23," ",'libro compras'!D23)</f>
        <v xml:space="preserve"> </v>
      </c>
      <c r="K24" s="5">
        <f t="shared" ref="K24:M24" si="34">+K23</f>
        <v>0</v>
      </c>
      <c r="L24" s="1">
        <f t="shared" si="34"/>
        <v>0</v>
      </c>
      <c r="M24" s="1">
        <f t="shared" si="34"/>
        <v>0</v>
      </c>
      <c r="N24" s="7" t="s">
        <v>57</v>
      </c>
    </row>
    <row r="25" spans="1:14" x14ac:dyDescent="0.25">
      <c r="A25" s="9">
        <f t="shared" si="6"/>
        <v>6</v>
      </c>
      <c r="B25" s="2" t="e">
        <f>+VLOOKUP(B24,Hoja1!$A$1:$B$2,2,FALSE)</f>
        <v>#N/A</v>
      </c>
      <c r="C25" s="1" t="str">
        <f t="shared" ref="C25:E25" si="35">+C24</f>
        <v>103</v>
      </c>
      <c r="D25" s="1">
        <f t="shared" si="35"/>
        <v>0</v>
      </c>
      <c r="E25" s="12" t="str">
        <f t="shared" si="35"/>
        <v/>
      </c>
      <c r="F25" s="7"/>
      <c r="G25" s="2">
        <f>-'libro compras'!AB23</f>
        <v>0</v>
      </c>
      <c r="H25" s="7"/>
      <c r="I25" s="7" t="s">
        <v>36</v>
      </c>
      <c r="J25" s="7" t="str">
        <f>+CONCATENATE('libro compras'!C23," ",'libro compras'!D23)</f>
        <v xml:space="preserve"> </v>
      </c>
      <c r="K25" s="5">
        <f t="shared" ref="K25:M25" si="36">+K24</f>
        <v>0</v>
      </c>
      <c r="L25" s="1">
        <f t="shared" si="36"/>
        <v>0</v>
      </c>
      <c r="M25" s="1">
        <f t="shared" si="36"/>
        <v>0</v>
      </c>
      <c r="N25" s="7" t="s">
        <v>57</v>
      </c>
    </row>
    <row r="26" spans="1:14" x14ac:dyDescent="0.25">
      <c r="A26" s="9">
        <f t="shared" si="6"/>
        <v>7</v>
      </c>
      <c r="B26" s="5" t="str">
        <f>+'libro compras'!$AI$1</f>
        <v>281110</v>
      </c>
      <c r="C26" s="1" t="str">
        <f>+'libro compras'!Q27</f>
        <v>103</v>
      </c>
      <c r="D26" s="1">
        <f>+'libro compras'!R27</f>
        <v>0</v>
      </c>
      <c r="E26" s="12" t="str">
        <f>+'libro compras'!S27</f>
        <v/>
      </c>
      <c r="F26" s="7"/>
      <c r="G26" s="2">
        <f>+'libro compras'!AK27</f>
        <v>0</v>
      </c>
      <c r="H26" s="7"/>
      <c r="I26" s="7" t="s">
        <v>56</v>
      </c>
      <c r="J26" s="7" t="str">
        <f>+CONCATENATE('libro compras'!C27," ",'libro compras'!D27)</f>
        <v xml:space="preserve"> </v>
      </c>
      <c r="K26" s="5">
        <f>+'libro compras'!F27</f>
        <v>0</v>
      </c>
      <c r="L26" s="1">
        <f>+'libro compras'!C27</f>
        <v>0</v>
      </c>
      <c r="M26" s="5">
        <f>+'libro compras'!D27</f>
        <v>0</v>
      </c>
      <c r="N26" s="7" t="s">
        <v>57</v>
      </c>
    </row>
    <row r="27" spans="1:14" hidden="1" x14ac:dyDescent="0.25">
      <c r="A27" s="9">
        <f t="shared" si="6"/>
        <v>7</v>
      </c>
      <c r="B27" s="5" t="str">
        <f>+'libro compras'!$AJ$1</f>
        <v>401110</v>
      </c>
      <c r="C27" s="1" t="str">
        <f t="shared" ref="C27:E27" si="37">+C26</f>
        <v>103</v>
      </c>
      <c r="D27" s="1">
        <f t="shared" si="37"/>
        <v>0</v>
      </c>
      <c r="E27" s="12" t="str">
        <f t="shared" si="37"/>
        <v/>
      </c>
      <c r="F27" s="7"/>
      <c r="G27" s="2">
        <f>+'libro compras'!AJ27</f>
        <v>0</v>
      </c>
      <c r="H27" s="7"/>
      <c r="I27" s="7" t="s">
        <v>56</v>
      </c>
      <c r="J27" s="7" t="str">
        <f t="shared" ref="J27:M27" si="38">+J26</f>
        <v xml:space="preserve"> </v>
      </c>
      <c r="K27" s="5">
        <f t="shared" si="38"/>
        <v>0</v>
      </c>
      <c r="L27" s="1">
        <f t="shared" si="38"/>
        <v>0</v>
      </c>
      <c r="M27" s="1">
        <f t="shared" si="38"/>
        <v>0</v>
      </c>
      <c r="N27" s="7" t="s">
        <v>57</v>
      </c>
    </row>
    <row r="28" spans="1:14" x14ac:dyDescent="0.25">
      <c r="A28" s="9">
        <f t="shared" si="6"/>
        <v>7</v>
      </c>
      <c r="B28" s="5" t="e">
        <f>+'libro compras'!P27</f>
        <v>#N/A</v>
      </c>
      <c r="C28" s="1" t="str">
        <f t="shared" ref="C28:E28" si="39">+C27</f>
        <v>103</v>
      </c>
      <c r="D28" s="1">
        <f t="shared" si="39"/>
        <v>0</v>
      </c>
      <c r="E28" s="12" t="str">
        <f t="shared" si="39"/>
        <v/>
      </c>
      <c r="F28" s="7"/>
      <c r="G28" s="2">
        <f>-'libro compras'!AI27</f>
        <v>0</v>
      </c>
      <c r="H28" s="7"/>
      <c r="I28" s="7" t="s">
        <v>36</v>
      </c>
      <c r="J28" s="7" t="str">
        <f>+CONCATENATE('libro compras'!C27," ",'libro compras'!D27)</f>
        <v xml:space="preserve"> </v>
      </c>
      <c r="K28" s="5">
        <f t="shared" ref="K28:M28" si="40">+K27</f>
        <v>0</v>
      </c>
      <c r="L28" s="1">
        <f t="shared" si="40"/>
        <v>0</v>
      </c>
      <c r="M28" s="1">
        <f t="shared" si="40"/>
        <v>0</v>
      </c>
      <c r="N28" s="7" t="s">
        <v>57</v>
      </c>
    </row>
    <row r="29" spans="1:14" x14ac:dyDescent="0.25">
      <c r="A29" s="9">
        <f t="shared" si="6"/>
        <v>7</v>
      </c>
      <c r="B29" s="2" t="e">
        <f>+VLOOKUP(B28,Hoja1!$A$1:$B$2,2,FALSE)</f>
        <v>#N/A</v>
      </c>
      <c r="C29" s="1" t="str">
        <f t="shared" ref="C29:E29" si="41">+C28</f>
        <v>103</v>
      </c>
      <c r="D29" s="1">
        <f t="shared" si="41"/>
        <v>0</v>
      </c>
      <c r="E29" s="12" t="str">
        <f t="shared" si="41"/>
        <v/>
      </c>
      <c r="F29" s="7"/>
      <c r="G29" s="2">
        <f>-'libro compras'!AB27</f>
        <v>0</v>
      </c>
      <c r="H29" s="7"/>
      <c r="I29" s="7" t="s">
        <v>36</v>
      </c>
      <c r="J29" s="7" t="str">
        <f>+CONCATENATE('libro compras'!C27," ",'libro compras'!D27)</f>
        <v xml:space="preserve"> </v>
      </c>
      <c r="K29" s="5">
        <f t="shared" ref="K29:M29" si="42">+K28</f>
        <v>0</v>
      </c>
      <c r="L29" s="1">
        <f t="shared" si="42"/>
        <v>0</v>
      </c>
      <c r="M29" s="1">
        <f t="shared" si="42"/>
        <v>0</v>
      </c>
      <c r="N29" s="7" t="s">
        <v>57</v>
      </c>
    </row>
    <row r="30" spans="1:14" x14ac:dyDescent="0.25">
      <c r="A30" s="9">
        <f t="shared" si="6"/>
        <v>8</v>
      </c>
      <c r="B30" s="5" t="str">
        <f>+'libro compras'!$AI$1</f>
        <v>281110</v>
      </c>
      <c r="C30" s="1" t="str">
        <f>+'libro compras'!Q31</f>
        <v>103</v>
      </c>
      <c r="D30" s="1">
        <f>+'libro compras'!R31</f>
        <v>0</v>
      </c>
      <c r="E30" s="12" t="str">
        <f>+'libro compras'!S31</f>
        <v/>
      </c>
      <c r="F30" s="7"/>
      <c r="G30" s="2">
        <f>+'libro compras'!AK31</f>
        <v>0</v>
      </c>
      <c r="H30" s="7"/>
      <c r="I30" s="7" t="s">
        <v>56</v>
      </c>
      <c r="J30" s="7" t="str">
        <f>+CONCATENATE('libro compras'!C31," ",'libro compras'!D31)</f>
        <v xml:space="preserve"> </v>
      </c>
      <c r="K30" s="5">
        <f>+'libro compras'!F31</f>
        <v>0</v>
      </c>
      <c r="L30" s="1">
        <f>+'libro compras'!C31</f>
        <v>0</v>
      </c>
      <c r="M30" s="5">
        <f>+'libro compras'!D31</f>
        <v>0</v>
      </c>
      <c r="N30" s="7" t="s">
        <v>57</v>
      </c>
    </row>
    <row r="31" spans="1:14" hidden="1" x14ac:dyDescent="0.25">
      <c r="A31" s="9">
        <f t="shared" si="6"/>
        <v>8</v>
      </c>
      <c r="B31" s="5" t="str">
        <f>+'libro compras'!$AJ$1</f>
        <v>401110</v>
      </c>
      <c r="C31" s="1" t="str">
        <f t="shared" ref="C31:E31" si="43">+C30</f>
        <v>103</v>
      </c>
      <c r="D31" s="1">
        <f t="shared" si="43"/>
        <v>0</v>
      </c>
      <c r="E31" s="12" t="str">
        <f t="shared" si="43"/>
        <v/>
      </c>
      <c r="F31" s="7"/>
      <c r="G31" s="2">
        <f>+'libro compras'!AJ31</f>
        <v>0</v>
      </c>
      <c r="H31" s="7"/>
      <c r="I31" s="7" t="s">
        <v>56</v>
      </c>
      <c r="J31" s="7" t="str">
        <f t="shared" ref="J31:M31" si="44">+J30</f>
        <v xml:space="preserve"> </v>
      </c>
      <c r="K31" s="5">
        <f t="shared" si="44"/>
        <v>0</v>
      </c>
      <c r="L31" s="1">
        <f t="shared" si="44"/>
        <v>0</v>
      </c>
      <c r="M31" s="1">
        <f t="shared" si="44"/>
        <v>0</v>
      </c>
      <c r="N31" s="7" t="s">
        <v>57</v>
      </c>
    </row>
    <row r="32" spans="1:14" x14ac:dyDescent="0.25">
      <c r="A32" s="9">
        <f t="shared" si="6"/>
        <v>8</v>
      </c>
      <c r="B32" s="5" t="e">
        <f>+'libro compras'!P31</f>
        <v>#N/A</v>
      </c>
      <c r="C32" s="1" t="str">
        <f t="shared" ref="C32:E32" si="45">+C31</f>
        <v>103</v>
      </c>
      <c r="D32" s="1">
        <f t="shared" si="45"/>
        <v>0</v>
      </c>
      <c r="E32" s="12" t="str">
        <f t="shared" si="45"/>
        <v/>
      </c>
      <c r="F32" s="7"/>
      <c r="G32" s="2">
        <f>-'libro compras'!AI31</f>
        <v>0</v>
      </c>
      <c r="H32" s="7"/>
      <c r="I32" s="7" t="s">
        <v>36</v>
      </c>
      <c r="J32" s="7" t="str">
        <f>+CONCATENATE('libro compras'!C31," ",'libro compras'!D31)</f>
        <v xml:space="preserve"> </v>
      </c>
      <c r="K32" s="5">
        <f t="shared" ref="K32:M32" si="46">+K31</f>
        <v>0</v>
      </c>
      <c r="L32" s="1">
        <f t="shared" si="46"/>
        <v>0</v>
      </c>
      <c r="M32" s="1">
        <f t="shared" si="46"/>
        <v>0</v>
      </c>
      <c r="N32" s="7" t="s">
        <v>57</v>
      </c>
    </row>
    <row r="33" spans="1:14" x14ac:dyDescent="0.25">
      <c r="A33" s="9">
        <f t="shared" si="6"/>
        <v>8</v>
      </c>
      <c r="B33" s="2" t="e">
        <f>+VLOOKUP(B32,Hoja1!$A$1:$B$2,2,FALSE)</f>
        <v>#N/A</v>
      </c>
      <c r="C33" s="1" t="str">
        <f t="shared" ref="C33:E33" si="47">+C32</f>
        <v>103</v>
      </c>
      <c r="D33" s="1">
        <f t="shared" si="47"/>
        <v>0</v>
      </c>
      <c r="E33" s="12" t="str">
        <f t="shared" si="47"/>
        <v/>
      </c>
      <c r="F33" s="7"/>
      <c r="G33" s="2">
        <f>-'libro compras'!AB31</f>
        <v>0</v>
      </c>
      <c r="H33" s="7"/>
      <c r="I33" s="7" t="s">
        <v>36</v>
      </c>
      <c r="J33" s="7" t="str">
        <f>+CONCATENATE('libro compras'!C31," ",'libro compras'!D31)</f>
        <v xml:space="preserve"> </v>
      </c>
      <c r="K33" s="5">
        <f t="shared" ref="K33:M33" si="48">+K32</f>
        <v>0</v>
      </c>
      <c r="L33" s="1">
        <f t="shared" si="48"/>
        <v>0</v>
      </c>
      <c r="M33" s="1">
        <f t="shared" si="48"/>
        <v>0</v>
      </c>
      <c r="N33" s="7" t="s">
        <v>57</v>
      </c>
    </row>
    <row r="34" spans="1:14" x14ac:dyDescent="0.25">
      <c r="A34" s="9">
        <f t="shared" si="6"/>
        <v>9</v>
      </c>
      <c r="B34" s="5" t="str">
        <f>+'libro compras'!$AI$1</f>
        <v>281110</v>
      </c>
      <c r="C34" s="1" t="str">
        <f>+'libro compras'!Q35</f>
        <v>103</v>
      </c>
      <c r="D34" s="1">
        <f>+'libro compras'!R35</f>
        <v>0</v>
      </c>
      <c r="E34" s="12" t="str">
        <f>+'libro compras'!S35</f>
        <v/>
      </c>
      <c r="F34" s="7"/>
      <c r="G34" s="2">
        <f>+'libro compras'!AK35</f>
        <v>0</v>
      </c>
      <c r="H34" s="7"/>
      <c r="I34" s="7" t="s">
        <v>56</v>
      </c>
      <c r="J34" s="7" t="str">
        <f>+CONCATENATE('libro compras'!C35," ",'libro compras'!D35)</f>
        <v xml:space="preserve"> </v>
      </c>
      <c r="K34" s="5">
        <f>+'libro compras'!F35</f>
        <v>0</v>
      </c>
      <c r="L34" s="1">
        <f>+'libro compras'!C35</f>
        <v>0</v>
      </c>
      <c r="M34" s="5">
        <f>+'libro compras'!D35</f>
        <v>0</v>
      </c>
      <c r="N34" s="7" t="s">
        <v>57</v>
      </c>
    </row>
    <row r="35" spans="1:14" hidden="1" x14ac:dyDescent="0.25">
      <c r="A35" s="9">
        <f t="shared" si="6"/>
        <v>9</v>
      </c>
      <c r="B35" s="5" t="str">
        <f>+'libro compras'!$AJ$1</f>
        <v>401110</v>
      </c>
      <c r="C35" s="1" t="str">
        <f t="shared" ref="C35:E35" si="49">+C34</f>
        <v>103</v>
      </c>
      <c r="D35" s="1">
        <f t="shared" si="49"/>
        <v>0</v>
      </c>
      <c r="E35" s="12" t="str">
        <f t="shared" si="49"/>
        <v/>
      </c>
      <c r="F35" s="7"/>
      <c r="G35" s="2">
        <f>+'libro compras'!AJ35</f>
        <v>0</v>
      </c>
      <c r="H35" s="7"/>
      <c r="I35" s="7" t="s">
        <v>56</v>
      </c>
      <c r="J35" s="7" t="str">
        <f t="shared" ref="J35:M35" si="50">+J34</f>
        <v xml:space="preserve"> </v>
      </c>
      <c r="K35" s="5">
        <f t="shared" si="50"/>
        <v>0</v>
      </c>
      <c r="L35" s="1">
        <f t="shared" si="50"/>
        <v>0</v>
      </c>
      <c r="M35" s="1">
        <f t="shared" si="50"/>
        <v>0</v>
      </c>
      <c r="N35" s="7" t="s">
        <v>57</v>
      </c>
    </row>
    <row r="36" spans="1:14" x14ac:dyDescent="0.25">
      <c r="A36" s="9">
        <f t="shared" si="6"/>
        <v>9</v>
      </c>
      <c r="B36" s="5" t="e">
        <f>+'libro compras'!P35</f>
        <v>#N/A</v>
      </c>
      <c r="C36" s="1" t="str">
        <f t="shared" ref="C36:E36" si="51">+C35</f>
        <v>103</v>
      </c>
      <c r="D36" s="1">
        <f t="shared" si="51"/>
        <v>0</v>
      </c>
      <c r="E36" s="12" t="str">
        <f t="shared" si="51"/>
        <v/>
      </c>
      <c r="F36" s="7"/>
      <c r="G36" s="2">
        <f>-'libro compras'!AI35</f>
        <v>0</v>
      </c>
      <c r="H36" s="7"/>
      <c r="I36" s="7" t="s">
        <v>36</v>
      </c>
      <c r="J36" s="7" t="str">
        <f>+CONCATENATE('libro compras'!C35," ",'libro compras'!D35)</f>
        <v xml:space="preserve"> </v>
      </c>
      <c r="K36" s="5">
        <f t="shared" ref="K36:M36" si="52">+K35</f>
        <v>0</v>
      </c>
      <c r="L36" s="1">
        <f t="shared" si="52"/>
        <v>0</v>
      </c>
      <c r="M36" s="1">
        <f t="shared" si="52"/>
        <v>0</v>
      </c>
      <c r="N36" s="7" t="s">
        <v>57</v>
      </c>
    </row>
    <row r="37" spans="1:14" x14ac:dyDescent="0.25">
      <c r="A37" s="9">
        <f t="shared" si="6"/>
        <v>9</v>
      </c>
      <c r="B37" s="2" t="e">
        <f>+VLOOKUP(B36,Hoja1!$A$1:$B$2,2,FALSE)</f>
        <v>#N/A</v>
      </c>
      <c r="C37" s="1" t="str">
        <f t="shared" ref="C37:E37" si="53">+C36</f>
        <v>103</v>
      </c>
      <c r="D37" s="1">
        <f t="shared" si="53"/>
        <v>0</v>
      </c>
      <c r="E37" s="12" t="str">
        <f t="shared" si="53"/>
        <v/>
      </c>
      <c r="F37" s="7"/>
      <c r="G37" s="2">
        <f>-'libro compras'!AB35</f>
        <v>0</v>
      </c>
      <c r="H37" s="7"/>
      <c r="I37" s="7" t="s">
        <v>36</v>
      </c>
      <c r="J37" s="7" t="str">
        <f>+CONCATENATE('libro compras'!C35," ",'libro compras'!D35)</f>
        <v xml:space="preserve"> </v>
      </c>
      <c r="K37" s="5">
        <f t="shared" ref="K37:M37" si="54">+K36</f>
        <v>0</v>
      </c>
      <c r="L37" s="1">
        <f t="shared" si="54"/>
        <v>0</v>
      </c>
      <c r="M37" s="1">
        <f t="shared" si="54"/>
        <v>0</v>
      </c>
      <c r="N37" s="7" t="s">
        <v>57</v>
      </c>
    </row>
    <row r="38" spans="1:14" x14ac:dyDescent="0.25">
      <c r="A38" s="9">
        <f t="shared" si="6"/>
        <v>10</v>
      </c>
      <c r="B38" s="5" t="str">
        <f>+'libro compras'!$AI$1</f>
        <v>281110</v>
      </c>
      <c r="C38" s="1" t="str">
        <f>+'libro compras'!Q39</f>
        <v>103</v>
      </c>
      <c r="D38" s="1">
        <f>+'libro compras'!R39</f>
        <v>0</v>
      </c>
      <c r="E38" s="12" t="str">
        <f>+'libro compras'!S39</f>
        <v/>
      </c>
      <c r="F38" s="7"/>
      <c r="G38" s="2">
        <f>+'libro compras'!AK39</f>
        <v>0</v>
      </c>
      <c r="H38" s="7"/>
      <c r="I38" s="7" t="s">
        <v>56</v>
      </c>
      <c r="J38" s="7" t="str">
        <f>+CONCATENATE('libro compras'!C39," ",'libro compras'!D39)</f>
        <v xml:space="preserve"> </v>
      </c>
      <c r="K38" s="5">
        <f>+'libro compras'!F39</f>
        <v>0</v>
      </c>
      <c r="L38" s="1">
        <f>+'libro compras'!C39</f>
        <v>0</v>
      </c>
      <c r="M38" s="5">
        <f>+'libro compras'!D39</f>
        <v>0</v>
      </c>
      <c r="N38" s="7" t="s">
        <v>57</v>
      </c>
    </row>
    <row r="39" spans="1:14" hidden="1" x14ac:dyDescent="0.25">
      <c r="A39" s="9">
        <f t="shared" si="6"/>
        <v>10</v>
      </c>
      <c r="B39" s="5" t="str">
        <f>+'libro compras'!$AJ$1</f>
        <v>401110</v>
      </c>
      <c r="C39" s="1" t="str">
        <f t="shared" ref="C39:E39" si="55">+C38</f>
        <v>103</v>
      </c>
      <c r="D39" s="1">
        <f t="shared" si="55"/>
        <v>0</v>
      </c>
      <c r="E39" s="12" t="str">
        <f t="shared" si="55"/>
        <v/>
      </c>
      <c r="F39" s="7"/>
      <c r="G39" s="2">
        <f>+'libro compras'!AJ39</f>
        <v>0</v>
      </c>
      <c r="H39" s="7"/>
      <c r="I39" s="7" t="s">
        <v>56</v>
      </c>
      <c r="J39" s="7" t="str">
        <f t="shared" ref="J39:M39" si="56">+J38</f>
        <v xml:space="preserve"> </v>
      </c>
      <c r="K39" s="5">
        <f t="shared" si="56"/>
        <v>0</v>
      </c>
      <c r="L39" s="1">
        <f t="shared" si="56"/>
        <v>0</v>
      </c>
      <c r="M39" s="1">
        <f t="shared" si="56"/>
        <v>0</v>
      </c>
      <c r="N39" s="7" t="s">
        <v>57</v>
      </c>
    </row>
    <row r="40" spans="1:14" x14ac:dyDescent="0.25">
      <c r="A40" s="9">
        <f t="shared" si="6"/>
        <v>10</v>
      </c>
      <c r="B40" s="5" t="e">
        <f>+'libro compras'!P39</f>
        <v>#N/A</v>
      </c>
      <c r="C40" s="1" t="str">
        <f t="shared" ref="C40:E40" si="57">+C39</f>
        <v>103</v>
      </c>
      <c r="D40" s="1">
        <f t="shared" si="57"/>
        <v>0</v>
      </c>
      <c r="E40" s="12" t="str">
        <f t="shared" si="57"/>
        <v/>
      </c>
      <c r="F40" s="7"/>
      <c r="G40" s="2">
        <f>-'libro compras'!AI39</f>
        <v>0</v>
      </c>
      <c r="H40" s="7"/>
      <c r="I40" s="7" t="s">
        <v>36</v>
      </c>
      <c r="J40" s="7" t="str">
        <f>+CONCATENATE('libro compras'!C39," ",'libro compras'!D39)</f>
        <v xml:space="preserve"> </v>
      </c>
      <c r="K40" s="5">
        <f t="shared" ref="K40:M40" si="58">+K39</f>
        <v>0</v>
      </c>
      <c r="L40" s="1">
        <f t="shared" si="58"/>
        <v>0</v>
      </c>
      <c r="M40" s="1">
        <f t="shared" si="58"/>
        <v>0</v>
      </c>
      <c r="N40" s="7" t="s">
        <v>57</v>
      </c>
    </row>
    <row r="41" spans="1:14" x14ac:dyDescent="0.25">
      <c r="A41" s="9">
        <f t="shared" si="6"/>
        <v>10</v>
      </c>
      <c r="B41" s="2" t="e">
        <f>+VLOOKUP(B40,Hoja1!$A$1:$B$2,2,FALSE)</f>
        <v>#N/A</v>
      </c>
      <c r="C41" s="1" t="str">
        <f t="shared" ref="C41:E41" si="59">+C40</f>
        <v>103</v>
      </c>
      <c r="D41" s="1">
        <f t="shared" si="59"/>
        <v>0</v>
      </c>
      <c r="E41" s="12" t="str">
        <f t="shared" si="59"/>
        <v/>
      </c>
      <c r="F41" s="7"/>
      <c r="G41" s="2">
        <f>-'libro compras'!AB39</f>
        <v>0</v>
      </c>
      <c r="H41" s="7"/>
      <c r="I41" s="7" t="s">
        <v>36</v>
      </c>
      <c r="J41" s="7" t="str">
        <f>+CONCATENATE('libro compras'!C39," ",'libro compras'!D39)</f>
        <v xml:space="preserve"> </v>
      </c>
      <c r="K41" s="5">
        <f t="shared" ref="K41:M41" si="60">+K40</f>
        <v>0</v>
      </c>
      <c r="L41" s="1">
        <f t="shared" si="60"/>
        <v>0</v>
      </c>
      <c r="M41" s="1">
        <f t="shared" si="60"/>
        <v>0</v>
      </c>
      <c r="N41" s="7" t="s">
        <v>57</v>
      </c>
    </row>
    <row r="42" spans="1:14" x14ac:dyDescent="0.25">
      <c r="A42" s="9">
        <f t="shared" si="6"/>
        <v>11</v>
      </c>
      <c r="B42" s="5" t="str">
        <f>+'libro compras'!$AI$1</f>
        <v>281110</v>
      </c>
      <c r="C42" s="1" t="str">
        <f>+'libro compras'!Q43</f>
        <v>103</v>
      </c>
      <c r="D42" s="1">
        <f>+'libro compras'!R43</f>
        <v>0</v>
      </c>
      <c r="E42" s="12" t="str">
        <f>+'libro compras'!S43</f>
        <v/>
      </c>
      <c r="F42" s="7"/>
      <c r="G42" s="2">
        <f>+'libro compras'!AK43</f>
        <v>0</v>
      </c>
      <c r="H42" s="7"/>
      <c r="I42" s="7" t="s">
        <v>56</v>
      </c>
      <c r="J42" s="7" t="str">
        <f>+CONCATENATE('libro compras'!C43," ",'libro compras'!D43)</f>
        <v xml:space="preserve"> </v>
      </c>
      <c r="K42" s="5">
        <f>+'libro compras'!F43</f>
        <v>0</v>
      </c>
      <c r="L42" s="1">
        <f>+'libro compras'!C43</f>
        <v>0</v>
      </c>
      <c r="M42" s="5">
        <f>+'libro compras'!D43</f>
        <v>0</v>
      </c>
      <c r="N42" s="7" t="s">
        <v>57</v>
      </c>
    </row>
    <row r="43" spans="1:14" hidden="1" x14ac:dyDescent="0.25">
      <c r="A43" s="9">
        <f t="shared" si="6"/>
        <v>11</v>
      </c>
      <c r="B43" s="5" t="str">
        <f>+'libro compras'!$AJ$1</f>
        <v>401110</v>
      </c>
      <c r="C43" s="1" t="str">
        <f t="shared" ref="C43:E43" si="61">+C42</f>
        <v>103</v>
      </c>
      <c r="D43" s="1">
        <f t="shared" si="61"/>
        <v>0</v>
      </c>
      <c r="E43" s="12" t="str">
        <f t="shared" si="61"/>
        <v/>
      </c>
      <c r="F43" s="7"/>
      <c r="G43" s="2">
        <f>+'libro compras'!AJ43</f>
        <v>0</v>
      </c>
      <c r="H43" s="7"/>
      <c r="I43" s="7" t="s">
        <v>56</v>
      </c>
      <c r="J43" s="7" t="str">
        <f t="shared" ref="J43:M43" si="62">+J42</f>
        <v xml:space="preserve"> </v>
      </c>
      <c r="K43" s="5">
        <f t="shared" si="62"/>
        <v>0</v>
      </c>
      <c r="L43" s="1">
        <f t="shared" si="62"/>
        <v>0</v>
      </c>
      <c r="M43" s="1">
        <f t="shared" si="62"/>
        <v>0</v>
      </c>
      <c r="N43" s="7" t="s">
        <v>57</v>
      </c>
    </row>
    <row r="44" spans="1:14" x14ac:dyDescent="0.25">
      <c r="A44" s="9">
        <f t="shared" si="6"/>
        <v>11</v>
      </c>
      <c r="B44" s="5" t="e">
        <f>+'libro compras'!P43</f>
        <v>#N/A</v>
      </c>
      <c r="C44" s="1" t="str">
        <f t="shared" ref="C44:E44" si="63">+C43</f>
        <v>103</v>
      </c>
      <c r="D44" s="1">
        <f t="shared" si="63"/>
        <v>0</v>
      </c>
      <c r="E44" s="12" t="str">
        <f t="shared" si="63"/>
        <v/>
      </c>
      <c r="F44" s="7"/>
      <c r="G44" s="2">
        <f>-'libro compras'!AI43</f>
        <v>0</v>
      </c>
      <c r="H44" s="7"/>
      <c r="I44" s="7" t="s">
        <v>36</v>
      </c>
      <c r="J44" s="7" t="str">
        <f>+CONCATENATE('libro compras'!C43," ",'libro compras'!D43)</f>
        <v xml:space="preserve"> </v>
      </c>
      <c r="K44" s="5">
        <f t="shared" ref="K44:M44" si="64">+K43</f>
        <v>0</v>
      </c>
      <c r="L44" s="1">
        <f t="shared" si="64"/>
        <v>0</v>
      </c>
      <c r="M44" s="1">
        <f t="shared" si="64"/>
        <v>0</v>
      </c>
      <c r="N44" s="7" t="s">
        <v>57</v>
      </c>
    </row>
    <row r="45" spans="1:14" x14ac:dyDescent="0.25">
      <c r="A45" s="9">
        <f t="shared" si="6"/>
        <v>11</v>
      </c>
      <c r="B45" s="2" t="e">
        <f>+VLOOKUP(B44,Hoja1!$A$1:$B$2,2,FALSE)</f>
        <v>#N/A</v>
      </c>
      <c r="C45" s="1" t="str">
        <f t="shared" ref="C45:E45" si="65">+C44</f>
        <v>103</v>
      </c>
      <c r="D45" s="1">
        <f t="shared" si="65"/>
        <v>0</v>
      </c>
      <c r="E45" s="12" t="str">
        <f t="shared" si="65"/>
        <v/>
      </c>
      <c r="F45" s="7"/>
      <c r="G45" s="2">
        <f>-'libro compras'!AB43</f>
        <v>0</v>
      </c>
      <c r="H45" s="7"/>
      <c r="I45" s="7" t="s">
        <v>36</v>
      </c>
      <c r="J45" s="7" t="str">
        <f>+CONCATENATE('libro compras'!C43," ",'libro compras'!D43)</f>
        <v xml:space="preserve"> </v>
      </c>
      <c r="K45" s="5">
        <f t="shared" ref="K45:M45" si="66">+K44</f>
        <v>0</v>
      </c>
      <c r="L45" s="1">
        <f t="shared" si="66"/>
        <v>0</v>
      </c>
      <c r="M45" s="1">
        <f t="shared" si="66"/>
        <v>0</v>
      </c>
      <c r="N45" s="7" t="s">
        <v>57</v>
      </c>
    </row>
    <row r="46" spans="1:14" x14ac:dyDescent="0.25">
      <c r="A46" s="9">
        <f t="shared" si="6"/>
        <v>12</v>
      </c>
      <c r="B46" s="5" t="str">
        <f>+'libro compras'!$AI$1</f>
        <v>281110</v>
      </c>
      <c r="C46" s="1" t="str">
        <f>+'libro compras'!Q47</f>
        <v>103</v>
      </c>
      <c r="D46" s="1">
        <f>+'libro compras'!R47</f>
        <v>0</v>
      </c>
      <c r="E46" s="12" t="str">
        <f>+'libro compras'!S47</f>
        <v/>
      </c>
      <c r="F46" s="7"/>
      <c r="G46" s="2">
        <f>+'libro compras'!AK47</f>
        <v>0</v>
      </c>
      <c r="H46" s="7"/>
      <c r="I46" s="7" t="s">
        <v>56</v>
      </c>
      <c r="J46" s="7" t="str">
        <f>+CONCATENATE('libro compras'!C47," ",'libro compras'!D47)</f>
        <v xml:space="preserve"> </v>
      </c>
      <c r="K46" s="5">
        <f>+'libro compras'!F47</f>
        <v>0</v>
      </c>
      <c r="L46" s="1">
        <f>+'libro compras'!C47</f>
        <v>0</v>
      </c>
      <c r="M46" s="5">
        <f>+'libro compras'!D47</f>
        <v>0</v>
      </c>
      <c r="N46" s="7" t="s">
        <v>57</v>
      </c>
    </row>
    <row r="47" spans="1:14" hidden="1" x14ac:dyDescent="0.25">
      <c r="A47" s="9">
        <f t="shared" si="6"/>
        <v>12</v>
      </c>
      <c r="B47" s="5" t="str">
        <f>+'libro compras'!$AJ$1</f>
        <v>401110</v>
      </c>
      <c r="C47" s="1" t="str">
        <f t="shared" ref="C47:E47" si="67">+C46</f>
        <v>103</v>
      </c>
      <c r="D47" s="1">
        <f t="shared" si="67"/>
        <v>0</v>
      </c>
      <c r="E47" s="12" t="str">
        <f t="shared" si="67"/>
        <v/>
      </c>
      <c r="F47" s="7"/>
      <c r="G47" s="2">
        <f>+'libro compras'!AJ47</f>
        <v>0</v>
      </c>
      <c r="H47" s="7"/>
      <c r="I47" s="7" t="s">
        <v>56</v>
      </c>
      <c r="J47" s="7" t="str">
        <f t="shared" ref="J47:M47" si="68">+J46</f>
        <v xml:space="preserve"> </v>
      </c>
      <c r="K47" s="5">
        <f t="shared" si="68"/>
        <v>0</v>
      </c>
      <c r="L47" s="1">
        <f t="shared" si="68"/>
        <v>0</v>
      </c>
      <c r="M47" s="1">
        <f t="shared" si="68"/>
        <v>0</v>
      </c>
      <c r="N47" s="7" t="s">
        <v>57</v>
      </c>
    </row>
    <row r="48" spans="1:14" x14ac:dyDescent="0.25">
      <c r="A48" s="9">
        <f t="shared" si="6"/>
        <v>12</v>
      </c>
      <c r="B48" s="5" t="e">
        <f>+'libro compras'!P47</f>
        <v>#N/A</v>
      </c>
      <c r="C48" s="1" t="str">
        <f t="shared" ref="C48:E48" si="69">+C47</f>
        <v>103</v>
      </c>
      <c r="D48" s="1">
        <f t="shared" si="69"/>
        <v>0</v>
      </c>
      <c r="E48" s="12" t="str">
        <f t="shared" si="69"/>
        <v/>
      </c>
      <c r="F48" s="7"/>
      <c r="G48" s="2">
        <f>-'libro compras'!AI47</f>
        <v>0</v>
      </c>
      <c r="H48" s="7"/>
      <c r="I48" s="7" t="s">
        <v>36</v>
      </c>
      <c r="J48" s="7" t="str">
        <f>+CONCATENATE('libro compras'!C47," ",'libro compras'!D47)</f>
        <v xml:space="preserve"> </v>
      </c>
      <c r="K48" s="5">
        <f t="shared" ref="K48:M48" si="70">+K47</f>
        <v>0</v>
      </c>
      <c r="L48" s="1">
        <f t="shared" si="70"/>
        <v>0</v>
      </c>
      <c r="M48" s="1">
        <f t="shared" si="70"/>
        <v>0</v>
      </c>
      <c r="N48" s="7" t="s">
        <v>57</v>
      </c>
    </row>
    <row r="49" spans="1:14" x14ac:dyDescent="0.25">
      <c r="A49" s="9">
        <f t="shared" si="6"/>
        <v>12</v>
      </c>
      <c r="B49" s="2" t="e">
        <f>+VLOOKUP(B48,Hoja1!$A$1:$B$2,2,FALSE)</f>
        <v>#N/A</v>
      </c>
      <c r="C49" s="1" t="str">
        <f t="shared" ref="C49:E49" si="71">+C48</f>
        <v>103</v>
      </c>
      <c r="D49" s="1">
        <f t="shared" si="71"/>
        <v>0</v>
      </c>
      <c r="E49" s="12" t="str">
        <f t="shared" si="71"/>
        <v/>
      </c>
      <c r="F49" s="7"/>
      <c r="G49" s="2">
        <f>-'libro compras'!AB47</f>
        <v>0</v>
      </c>
      <c r="H49" s="7"/>
      <c r="I49" s="7" t="s">
        <v>36</v>
      </c>
      <c r="J49" s="7" t="str">
        <f>+CONCATENATE('libro compras'!C47," ",'libro compras'!D47)</f>
        <v xml:space="preserve"> </v>
      </c>
      <c r="K49" s="5">
        <f t="shared" ref="K49:M49" si="72">+K48</f>
        <v>0</v>
      </c>
      <c r="L49" s="1">
        <f t="shared" si="72"/>
        <v>0</v>
      </c>
      <c r="M49" s="1">
        <f t="shared" si="72"/>
        <v>0</v>
      </c>
      <c r="N49" s="7" t="s">
        <v>57</v>
      </c>
    </row>
    <row r="50" spans="1:14" x14ac:dyDescent="0.25">
      <c r="A50" s="9">
        <f t="shared" si="6"/>
        <v>13</v>
      </c>
      <c r="B50" s="5" t="str">
        <f>+'libro compras'!$AI$1</f>
        <v>281110</v>
      </c>
      <c r="C50" s="1" t="str">
        <f>+'libro compras'!Q51</f>
        <v>103</v>
      </c>
      <c r="D50" s="1">
        <f>+'libro compras'!R51</f>
        <v>0</v>
      </c>
      <c r="E50" s="12" t="str">
        <f>+'libro compras'!S51</f>
        <v/>
      </c>
      <c r="F50" s="7"/>
      <c r="G50" s="2">
        <f>+'libro compras'!AK51</f>
        <v>0</v>
      </c>
      <c r="H50" s="7"/>
      <c r="I50" s="7" t="s">
        <v>56</v>
      </c>
      <c r="J50" s="7" t="str">
        <f>+CONCATENATE('libro compras'!C51," ",'libro compras'!D51)</f>
        <v xml:space="preserve"> </v>
      </c>
      <c r="K50" s="5">
        <f>+'libro compras'!F51</f>
        <v>0</v>
      </c>
      <c r="L50" s="1">
        <f>+'libro compras'!C51</f>
        <v>0</v>
      </c>
      <c r="M50" s="5">
        <f>+'libro compras'!D51</f>
        <v>0</v>
      </c>
      <c r="N50" s="7" t="s">
        <v>57</v>
      </c>
    </row>
    <row r="51" spans="1:14" hidden="1" x14ac:dyDescent="0.25">
      <c r="A51" s="9">
        <f t="shared" si="6"/>
        <v>13</v>
      </c>
      <c r="B51" s="5" t="str">
        <f>+'libro compras'!$AJ$1</f>
        <v>401110</v>
      </c>
      <c r="C51" s="1" t="str">
        <f t="shared" ref="C51:E51" si="73">+C50</f>
        <v>103</v>
      </c>
      <c r="D51" s="1">
        <f t="shared" si="73"/>
        <v>0</v>
      </c>
      <c r="E51" s="12" t="str">
        <f t="shared" si="73"/>
        <v/>
      </c>
      <c r="F51" s="7"/>
      <c r="G51" s="2">
        <f>+'libro compras'!AJ51</f>
        <v>0</v>
      </c>
      <c r="H51" s="7"/>
      <c r="I51" s="7" t="s">
        <v>56</v>
      </c>
      <c r="J51" s="7" t="str">
        <f t="shared" ref="J51:M51" si="74">+J50</f>
        <v xml:space="preserve"> </v>
      </c>
      <c r="K51" s="5">
        <f t="shared" si="74"/>
        <v>0</v>
      </c>
      <c r="L51" s="1">
        <f t="shared" si="74"/>
        <v>0</v>
      </c>
      <c r="M51" s="1">
        <f t="shared" si="74"/>
        <v>0</v>
      </c>
      <c r="N51" s="7" t="s">
        <v>57</v>
      </c>
    </row>
    <row r="52" spans="1:14" x14ac:dyDescent="0.25">
      <c r="A52" s="9">
        <f t="shared" si="6"/>
        <v>13</v>
      </c>
      <c r="B52" s="5" t="e">
        <f>+'libro compras'!P51</f>
        <v>#N/A</v>
      </c>
      <c r="C52" s="1" t="str">
        <f t="shared" ref="C52:E52" si="75">+C51</f>
        <v>103</v>
      </c>
      <c r="D52" s="1">
        <f t="shared" si="75"/>
        <v>0</v>
      </c>
      <c r="E52" s="12" t="str">
        <f t="shared" si="75"/>
        <v/>
      </c>
      <c r="F52" s="7"/>
      <c r="G52" s="2">
        <f>-'libro compras'!AI51</f>
        <v>0</v>
      </c>
      <c r="H52" s="7"/>
      <c r="I52" s="7" t="s">
        <v>36</v>
      </c>
      <c r="J52" s="7" t="str">
        <f>+CONCATENATE('libro compras'!C51," ",'libro compras'!D51)</f>
        <v xml:space="preserve"> </v>
      </c>
      <c r="K52" s="5">
        <f t="shared" ref="K52:M52" si="76">+K51</f>
        <v>0</v>
      </c>
      <c r="L52" s="1">
        <f t="shared" si="76"/>
        <v>0</v>
      </c>
      <c r="M52" s="1">
        <f t="shared" si="76"/>
        <v>0</v>
      </c>
      <c r="N52" s="7" t="s">
        <v>57</v>
      </c>
    </row>
    <row r="53" spans="1:14" x14ac:dyDescent="0.25">
      <c r="A53" s="9">
        <f t="shared" si="6"/>
        <v>13</v>
      </c>
      <c r="B53" s="2" t="e">
        <f>+VLOOKUP(B52,Hoja1!$A$1:$B$2,2,FALSE)</f>
        <v>#N/A</v>
      </c>
      <c r="C53" s="1" t="str">
        <f t="shared" ref="C53:E53" si="77">+C52</f>
        <v>103</v>
      </c>
      <c r="D53" s="1">
        <f t="shared" si="77"/>
        <v>0</v>
      </c>
      <c r="E53" s="12" t="str">
        <f t="shared" si="77"/>
        <v/>
      </c>
      <c r="F53" s="7"/>
      <c r="G53" s="2">
        <f>-'libro compras'!AB51</f>
        <v>0</v>
      </c>
      <c r="H53" s="7"/>
      <c r="I53" s="7" t="s">
        <v>36</v>
      </c>
      <c r="J53" s="7" t="str">
        <f>+CONCATENATE('libro compras'!C51," ",'libro compras'!D51)</f>
        <v xml:space="preserve"> </v>
      </c>
      <c r="K53" s="5">
        <f t="shared" ref="K53:M53" si="78">+K52</f>
        <v>0</v>
      </c>
      <c r="L53" s="1">
        <f t="shared" si="78"/>
        <v>0</v>
      </c>
      <c r="M53" s="1">
        <f t="shared" si="78"/>
        <v>0</v>
      </c>
      <c r="N53" s="7" t="s">
        <v>57</v>
      </c>
    </row>
    <row r="54" spans="1:14" x14ac:dyDescent="0.25">
      <c r="A54" s="9">
        <f t="shared" si="6"/>
        <v>14</v>
      </c>
      <c r="B54" s="5" t="str">
        <f>+'libro compras'!$AI$1</f>
        <v>281110</v>
      </c>
      <c r="C54" s="1" t="str">
        <f>+'libro compras'!Q55</f>
        <v>103</v>
      </c>
      <c r="D54" s="1">
        <f>+'libro compras'!R55</f>
        <v>0</v>
      </c>
      <c r="E54" s="12" t="str">
        <f>+'libro compras'!S55</f>
        <v/>
      </c>
      <c r="F54" s="7"/>
      <c r="G54" s="2">
        <f>+'libro compras'!AK55</f>
        <v>0</v>
      </c>
      <c r="H54" s="7"/>
      <c r="I54" s="7" t="s">
        <v>56</v>
      </c>
      <c r="J54" s="7" t="str">
        <f>+CONCATENATE('libro compras'!C55," ",'libro compras'!D55)</f>
        <v xml:space="preserve"> </v>
      </c>
      <c r="K54" s="5">
        <f>+'libro compras'!F55</f>
        <v>0</v>
      </c>
      <c r="L54" s="1">
        <f>+'libro compras'!C55</f>
        <v>0</v>
      </c>
      <c r="M54" s="5">
        <f>+'libro compras'!D55</f>
        <v>0</v>
      </c>
      <c r="N54" s="7" t="s">
        <v>57</v>
      </c>
    </row>
    <row r="55" spans="1:14" hidden="1" x14ac:dyDescent="0.25">
      <c r="A55" s="9">
        <f t="shared" si="6"/>
        <v>14</v>
      </c>
      <c r="B55" s="5" t="str">
        <f>+'libro compras'!$AJ$1</f>
        <v>401110</v>
      </c>
      <c r="C55" s="1" t="str">
        <f t="shared" ref="C55:E55" si="79">+C54</f>
        <v>103</v>
      </c>
      <c r="D55" s="1">
        <f t="shared" si="79"/>
        <v>0</v>
      </c>
      <c r="E55" s="12" t="str">
        <f t="shared" si="79"/>
        <v/>
      </c>
      <c r="F55" s="7"/>
      <c r="G55" s="2">
        <f>+'libro compras'!AJ55</f>
        <v>0</v>
      </c>
      <c r="H55" s="7"/>
      <c r="I55" s="7" t="s">
        <v>56</v>
      </c>
      <c r="J55" s="7" t="str">
        <f t="shared" ref="J55:M55" si="80">+J54</f>
        <v xml:space="preserve"> </v>
      </c>
      <c r="K55" s="5">
        <f t="shared" si="80"/>
        <v>0</v>
      </c>
      <c r="L55" s="1">
        <f t="shared" si="80"/>
        <v>0</v>
      </c>
      <c r="M55" s="1">
        <f t="shared" si="80"/>
        <v>0</v>
      </c>
      <c r="N55" s="7" t="s">
        <v>57</v>
      </c>
    </row>
    <row r="56" spans="1:14" x14ac:dyDescent="0.25">
      <c r="A56" s="9">
        <f t="shared" si="6"/>
        <v>14</v>
      </c>
      <c r="B56" s="5" t="e">
        <f>+'libro compras'!P55</f>
        <v>#N/A</v>
      </c>
      <c r="C56" s="1" t="str">
        <f t="shared" ref="C56:E56" si="81">+C55</f>
        <v>103</v>
      </c>
      <c r="D56" s="1">
        <f t="shared" si="81"/>
        <v>0</v>
      </c>
      <c r="E56" s="12" t="str">
        <f t="shared" si="81"/>
        <v/>
      </c>
      <c r="F56" s="7"/>
      <c r="G56" s="2">
        <f>-'libro compras'!AI55</f>
        <v>0</v>
      </c>
      <c r="H56" s="7"/>
      <c r="I56" s="7" t="s">
        <v>36</v>
      </c>
      <c r="J56" s="7" t="str">
        <f>+CONCATENATE('libro compras'!C55," ",'libro compras'!D55)</f>
        <v xml:space="preserve"> </v>
      </c>
      <c r="K56" s="5">
        <f t="shared" ref="K56:M56" si="82">+K55</f>
        <v>0</v>
      </c>
      <c r="L56" s="1">
        <f t="shared" si="82"/>
        <v>0</v>
      </c>
      <c r="M56" s="1">
        <f t="shared" si="82"/>
        <v>0</v>
      </c>
      <c r="N56" s="7" t="s">
        <v>57</v>
      </c>
    </row>
    <row r="57" spans="1:14" x14ac:dyDescent="0.25">
      <c r="A57" s="9">
        <f t="shared" si="6"/>
        <v>14</v>
      </c>
      <c r="B57" s="2" t="e">
        <f>+VLOOKUP(B56,Hoja1!$A$1:$B$2,2,FALSE)</f>
        <v>#N/A</v>
      </c>
      <c r="C57" s="1" t="str">
        <f t="shared" ref="C57:E57" si="83">+C56</f>
        <v>103</v>
      </c>
      <c r="D57" s="1">
        <f t="shared" si="83"/>
        <v>0</v>
      </c>
      <c r="E57" s="12" t="str">
        <f t="shared" si="83"/>
        <v/>
      </c>
      <c r="F57" s="7"/>
      <c r="G57" s="2">
        <f>-'libro compras'!AB55</f>
        <v>0</v>
      </c>
      <c r="H57" s="7"/>
      <c r="I57" s="7" t="s">
        <v>36</v>
      </c>
      <c r="J57" s="7" t="str">
        <f>+CONCATENATE('libro compras'!C55," ",'libro compras'!D55)</f>
        <v xml:space="preserve"> </v>
      </c>
      <c r="K57" s="5">
        <f t="shared" ref="K57:M57" si="84">+K56</f>
        <v>0</v>
      </c>
      <c r="L57" s="1">
        <f t="shared" si="84"/>
        <v>0</v>
      </c>
      <c r="M57" s="1">
        <f t="shared" si="84"/>
        <v>0</v>
      </c>
      <c r="N57" s="7" t="s">
        <v>57</v>
      </c>
    </row>
    <row r="58" spans="1:14" x14ac:dyDescent="0.25">
      <c r="A58" s="9">
        <f t="shared" si="6"/>
        <v>15</v>
      </c>
      <c r="B58" s="5" t="str">
        <f>+'libro compras'!$AI$1</f>
        <v>281110</v>
      </c>
      <c r="C58" s="1" t="str">
        <f>+'libro compras'!Q59</f>
        <v>103</v>
      </c>
      <c r="D58" s="1">
        <f>+'libro compras'!R59</f>
        <v>0</v>
      </c>
      <c r="E58" s="12" t="str">
        <f>+'libro compras'!S59</f>
        <v/>
      </c>
      <c r="F58" s="7"/>
      <c r="G58" s="2">
        <f>+'libro compras'!AK59</f>
        <v>0</v>
      </c>
      <c r="H58" s="7"/>
      <c r="I58" s="7" t="s">
        <v>56</v>
      </c>
      <c r="J58" s="7" t="str">
        <f>+CONCATENATE('libro compras'!C59," ",'libro compras'!D59)</f>
        <v xml:space="preserve"> </v>
      </c>
      <c r="K58" s="5">
        <f>+'libro compras'!F59</f>
        <v>0</v>
      </c>
      <c r="L58" s="1">
        <f>+'libro compras'!C59</f>
        <v>0</v>
      </c>
      <c r="M58" s="5">
        <f>+'libro compras'!D59</f>
        <v>0</v>
      </c>
      <c r="N58" s="7" t="s">
        <v>57</v>
      </c>
    </row>
    <row r="59" spans="1:14" hidden="1" x14ac:dyDescent="0.25">
      <c r="A59" s="9">
        <f t="shared" si="6"/>
        <v>15</v>
      </c>
      <c r="B59" s="5" t="str">
        <f>+'libro compras'!$AJ$1</f>
        <v>401110</v>
      </c>
      <c r="C59" s="1" t="str">
        <f t="shared" ref="C59:E59" si="85">+C58</f>
        <v>103</v>
      </c>
      <c r="D59" s="1">
        <f t="shared" si="85"/>
        <v>0</v>
      </c>
      <c r="E59" s="12" t="str">
        <f t="shared" si="85"/>
        <v/>
      </c>
      <c r="F59" s="7"/>
      <c r="G59" s="2">
        <f>+'libro compras'!AJ59</f>
        <v>0</v>
      </c>
      <c r="H59" s="7"/>
      <c r="I59" s="7" t="s">
        <v>56</v>
      </c>
      <c r="J59" s="7" t="str">
        <f t="shared" ref="J59:M59" si="86">+J58</f>
        <v xml:space="preserve"> </v>
      </c>
      <c r="K59" s="5">
        <f t="shared" si="86"/>
        <v>0</v>
      </c>
      <c r="L59" s="1">
        <f t="shared" si="86"/>
        <v>0</v>
      </c>
      <c r="M59" s="1">
        <f t="shared" si="86"/>
        <v>0</v>
      </c>
      <c r="N59" s="7" t="s">
        <v>57</v>
      </c>
    </row>
    <row r="60" spans="1:14" x14ac:dyDescent="0.25">
      <c r="A60" s="9">
        <f t="shared" si="6"/>
        <v>15</v>
      </c>
      <c r="B60" s="5" t="e">
        <f>+'libro compras'!P59</f>
        <v>#N/A</v>
      </c>
      <c r="C60" s="1" t="str">
        <f t="shared" ref="C60:E60" si="87">+C59</f>
        <v>103</v>
      </c>
      <c r="D60" s="1">
        <f t="shared" si="87"/>
        <v>0</v>
      </c>
      <c r="E60" s="12" t="str">
        <f t="shared" si="87"/>
        <v/>
      </c>
      <c r="F60" s="7"/>
      <c r="G60" s="2">
        <f>-'libro compras'!AI59</f>
        <v>0</v>
      </c>
      <c r="H60" s="7"/>
      <c r="I60" s="7" t="s">
        <v>36</v>
      </c>
      <c r="J60" s="7" t="str">
        <f>+CONCATENATE('libro compras'!C59," ",'libro compras'!D59)</f>
        <v xml:space="preserve"> </v>
      </c>
      <c r="K60" s="5">
        <f t="shared" ref="K60:M60" si="88">+K59</f>
        <v>0</v>
      </c>
      <c r="L60" s="1">
        <f t="shared" si="88"/>
        <v>0</v>
      </c>
      <c r="M60" s="1">
        <f t="shared" si="88"/>
        <v>0</v>
      </c>
      <c r="N60" s="7" t="s">
        <v>57</v>
      </c>
    </row>
    <row r="61" spans="1:14" x14ac:dyDescent="0.25">
      <c r="A61" s="9">
        <f t="shared" si="6"/>
        <v>15</v>
      </c>
      <c r="B61" s="2" t="e">
        <f>+VLOOKUP(B60,Hoja1!$A$1:$B$2,2,FALSE)</f>
        <v>#N/A</v>
      </c>
      <c r="C61" s="1" t="str">
        <f t="shared" ref="C61:E61" si="89">+C60</f>
        <v>103</v>
      </c>
      <c r="D61" s="1">
        <f t="shared" si="89"/>
        <v>0</v>
      </c>
      <c r="E61" s="12" t="str">
        <f t="shared" si="89"/>
        <v/>
      </c>
      <c r="F61" s="7"/>
      <c r="G61" s="2">
        <f>-'libro compras'!AB59</f>
        <v>0</v>
      </c>
      <c r="H61" s="7"/>
      <c r="I61" s="7" t="s">
        <v>36</v>
      </c>
      <c r="J61" s="7" t="str">
        <f>+CONCATENATE('libro compras'!C59," ",'libro compras'!D59)</f>
        <v xml:space="preserve"> </v>
      </c>
      <c r="K61" s="5">
        <f t="shared" ref="K61:M61" si="90">+K60</f>
        <v>0</v>
      </c>
      <c r="L61" s="1">
        <f t="shared" si="90"/>
        <v>0</v>
      </c>
      <c r="M61" s="1">
        <f t="shared" si="90"/>
        <v>0</v>
      </c>
      <c r="N61" s="7" t="s">
        <v>57</v>
      </c>
    </row>
    <row r="62" spans="1:14" x14ac:dyDescent="0.25">
      <c r="A62" s="9">
        <f t="shared" si="6"/>
        <v>16</v>
      </c>
      <c r="B62" s="5" t="str">
        <f>+'libro compras'!$AI$1</f>
        <v>281110</v>
      </c>
      <c r="C62" s="1" t="str">
        <f>+'libro compras'!Q63</f>
        <v>103</v>
      </c>
      <c r="D62" s="1">
        <f>+'libro compras'!R63</f>
        <v>0</v>
      </c>
      <c r="E62" s="12" t="str">
        <f>+'libro compras'!S63</f>
        <v/>
      </c>
      <c r="F62" s="7"/>
      <c r="G62" s="2">
        <f>+'libro compras'!AK63</f>
        <v>0</v>
      </c>
      <c r="H62" s="7"/>
      <c r="I62" s="7" t="s">
        <v>56</v>
      </c>
      <c r="J62" s="7" t="str">
        <f>+CONCATENATE('libro compras'!C63," ",'libro compras'!D63)</f>
        <v xml:space="preserve"> </v>
      </c>
      <c r="K62" s="5">
        <f>+'libro compras'!F63</f>
        <v>0</v>
      </c>
      <c r="L62" s="1">
        <f>+'libro compras'!C63</f>
        <v>0</v>
      </c>
      <c r="M62" s="5">
        <f>+'libro compras'!D63</f>
        <v>0</v>
      </c>
      <c r="N62" s="7" t="s">
        <v>57</v>
      </c>
    </row>
    <row r="63" spans="1:14" hidden="1" x14ac:dyDescent="0.25">
      <c r="A63" s="9">
        <f t="shared" si="6"/>
        <v>16</v>
      </c>
      <c r="B63" s="5" t="str">
        <f>+'libro compras'!$AJ$1</f>
        <v>401110</v>
      </c>
      <c r="C63" s="1" t="str">
        <f t="shared" ref="C63:E63" si="91">+C62</f>
        <v>103</v>
      </c>
      <c r="D63" s="1">
        <f t="shared" si="91"/>
        <v>0</v>
      </c>
      <c r="E63" s="12" t="str">
        <f t="shared" si="91"/>
        <v/>
      </c>
      <c r="F63" s="7"/>
      <c r="G63" s="2">
        <f>+'libro compras'!AJ63</f>
        <v>0</v>
      </c>
      <c r="H63" s="7"/>
      <c r="I63" s="7" t="s">
        <v>56</v>
      </c>
      <c r="J63" s="7" t="str">
        <f t="shared" ref="J63:M63" si="92">+J62</f>
        <v xml:space="preserve"> </v>
      </c>
      <c r="K63" s="5">
        <f t="shared" si="92"/>
        <v>0</v>
      </c>
      <c r="L63" s="1">
        <f t="shared" si="92"/>
        <v>0</v>
      </c>
      <c r="M63" s="1">
        <f t="shared" si="92"/>
        <v>0</v>
      </c>
      <c r="N63" s="7" t="s">
        <v>57</v>
      </c>
    </row>
    <row r="64" spans="1:14" x14ac:dyDescent="0.25">
      <c r="A64" s="9">
        <f t="shared" si="6"/>
        <v>16</v>
      </c>
      <c r="B64" s="5" t="e">
        <f>+'libro compras'!P63</f>
        <v>#N/A</v>
      </c>
      <c r="C64" s="1" t="str">
        <f t="shared" ref="C64:E64" si="93">+C63</f>
        <v>103</v>
      </c>
      <c r="D64" s="1">
        <f t="shared" si="93"/>
        <v>0</v>
      </c>
      <c r="E64" s="12" t="str">
        <f t="shared" si="93"/>
        <v/>
      </c>
      <c r="F64" s="7"/>
      <c r="G64" s="2">
        <f>-'libro compras'!AI63</f>
        <v>0</v>
      </c>
      <c r="H64" s="7"/>
      <c r="I64" s="7" t="s">
        <v>36</v>
      </c>
      <c r="J64" s="7" t="str">
        <f>+CONCATENATE('libro compras'!C63," ",'libro compras'!D63)</f>
        <v xml:space="preserve"> </v>
      </c>
      <c r="K64" s="5">
        <f t="shared" ref="K64:M64" si="94">+K63</f>
        <v>0</v>
      </c>
      <c r="L64" s="1">
        <f t="shared" si="94"/>
        <v>0</v>
      </c>
      <c r="M64" s="1">
        <f t="shared" si="94"/>
        <v>0</v>
      </c>
      <c r="N64" s="7" t="s">
        <v>57</v>
      </c>
    </row>
    <row r="65" spans="1:14" x14ac:dyDescent="0.25">
      <c r="A65" s="9">
        <f t="shared" si="6"/>
        <v>16</v>
      </c>
      <c r="B65" s="2" t="e">
        <f>+VLOOKUP(B64,Hoja1!$A$1:$B$2,2,FALSE)</f>
        <v>#N/A</v>
      </c>
      <c r="C65" s="1" t="str">
        <f t="shared" ref="C65:E65" si="95">+C64</f>
        <v>103</v>
      </c>
      <c r="D65" s="1">
        <f t="shared" si="95"/>
        <v>0</v>
      </c>
      <c r="E65" s="12" t="str">
        <f t="shared" si="95"/>
        <v/>
      </c>
      <c r="F65" s="7"/>
      <c r="G65" s="2">
        <f>-'libro compras'!AB63</f>
        <v>0</v>
      </c>
      <c r="H65" s="7"/>
      <c r="I65" s="7" t="s">
        <v>36</v>
      </c>
      <c r="J65" s="7" t="str">
        <f>+CONCATENATE('libro compras'!C63," ",'libro compras'!D63)</f>
        <v xml:space="preserve"> </v>
      </c>
      <c r="K65" s="5">
        <f t="shared" ref="K65:M65" si="96">+K64</f>
        <v>0</v>
      </c>
      <c r="L65" s="1">
        <f t="shared" si="96"/>
        <v>0</v>
      </c>
      <c r="M65" s="1">
        <f t="shared" si="96"/>
        <v>0</v>
      </c>
      <c r="N65" s="7" t="s">
        <v>57</v>
      </c>
    </row>
    <row r="66" spans="1:14" x14ac:dyDescent="0.25">
      <c r="A66" s="9">
        <f t="shared" si="6"/>
        <v>17</v>
      </c>
      <c r="B66" s="5" t="str">
        <f>+'libro compras'!$AI$1</f>
        <v>281110</v>
      </c>
      <c r="C66" s="1" t="str">
        <f>+'libro compras'!Q67</f>
        <v>103</v>
      </c>
      <c r="D66" s="1">
        <f>+'libro compras'!R67</f>
        <v>0</v>
      </c>
      <c r="E66" s="12" t="str">
        <f>+'libro compras'!S67</f>
        <v/>
      </c>
      <c r="F66" s="7"/>
      <c r="G66" s="2">
        <f>+'libro compras'!AK67</f>
        <v>0</v>
      </c>
      <c r="H66" s="7"/>
      <c r="I66" s="7" t="s">
        <v>56</v>
      </c>
      <c r="J66" s="7" t="str">
        <f>+CONCATENATE('libro compras'!C67," ",'libro compras'!D67)</f>
        <v xml:space="preserve"> </v>
      </c>
      <c r="K66" s="5">
        <f>+'libro compras'!F67</f>
        <v>0</v>
      </c>
      <c r="L66" s="1">
        <f>+'libro compras'!C67</f>
        <v>0</v>
      </c>
      <c r="M66" s="5">
        <f>+'libro compras'!D67</f>
        <v>0</v>
      </c>
      <c r="N66" s="7" t="s">
        <v>57</v>
      </c>
    </row>
    <row r="67" spans="1:14" hidden="1" x14ac:dyDescent="0.25">
      <c r="A67" s="9">
        <f t="shared" si="6"/>
        <v>17</v>
      </c>
      <c r="B67" s="5" t="str">
        <f>+'libro compras'!$AJ$1</f>
        <v>401110</v>
      </c>
      <c r="C67" s="1" t="str">
        <f t="shared" ref="C67:E67" si="97">+C66</f>
        <v>103</v>
      </c>
      <c r="D67" s="1">
        <f t="shared" si="97"/>
        <v>0</v>
      </c>
      <c r="E67" s="12" t="str">
        <f t="shared" si="97"/>
        <v/>
      </c>
      <c r="F67" s="7"/>
      <c r="G67" s="2">
        <f>+'libro compras'!AJ67</f>
        <v>0</v>
      </c>
      <c r="H67" s="7"/>
      <c r="I67" s="7" t="s">
        <v>56</v>
      </c>
      <c r="J67" s="7" t="str">
        <f t="shared" ref="J67:M67" si="98">+J66</f>
        <v xml:space="preserve"> </v>
      </c>
      <c r="K67" s="5">
        <f t="shared" si="98"/>
        <v>0</v>
      </c>
      <c r="L67" s="1">
        <f t="shared" si="98"/>
        <v>0</v>
      </c>
      <c r="M67" s="1">
        <f t="shared" si="98"/>
        <v>0</v>
      </c>
      <c r="N67" s="7" t="s">
        <v>57</v>
      </c>
    </row>
    <row r="68" spans="1:14" x14ac:dyDescent="0.25">
      <c r="A68" s="9">
        <f t="shared" si="6"/>
        <v>17</v>
      </c>
      <c r="B68" s="5" t="e">
        <f>+'libro compras'!P67</f>
        <v>#N/A</v>
      </c>
      <c r="C68" s="1" t="str">
        <f t="shared" ref="C68:E68" si="99">+C67</f>
        <v>103</v>
      </c>
      <c r="D68" s="1">
        <f t="shared" si="99"/>
        <v>0</v>
      </c>
      <c r="E68" s="12" t="str">
        <f t="shared" si="99"/>
        <v/>
      </c>
      <c r="F68" s="7"/>
      <c r="G68" s="2">
        <f>-'libro compras'!AI67</f>
        <v>0</v>
      </c>
      <c r="H68" s="7"/>
      <c r="I68" s="7" t="s">
        <v>36</v>
      </c>
      <c r="J68" s="7" t="str">
        <f>+CONCATENATE('libro compras'!C67," ",'libro compras'!D67)</f>
        <v xml:space="preserve"> </v>
      </c>
      <c r="K68" s="5">
        <f t="shared" ref="K68:M68" si="100">+K67</f>
        <v>0</v>
      </c>
      <c r="L68" s="1">
        <f t="shared" si="100"/>
        <v>0</v>
      </c>
      <c r="M68" s="1">
        <f t="shared" si="100"/>
        <v>0</v>
      </c>
      <c r="N68" s="7" t="s">
        <v>57</v>
      </c>
    </row>
    <row r="69" spans="1:14" x14ac:dyDescent="0.25">
      <c r="A69" s="9">
        <f t="shared" si="6"/>
        <v>17</v>
      </c>
      <c r="B69" s="2" t="e">
        <f>+VLOOKUP(B68,Hoja1!$A$1:$B$2,2,FALSE)</f>
        <v>#N/A</v>
      </c>
      <c r="C69" s="1" t="str">
        <f t="shared" ref="C69:E69" si="101">+C68</f>
        <v>103</v>
      </c>
      <c r="D69" s="1">
        <f t="shared" si="101"/>
        <v>0</v>
      </c>
      <c r="E69" s="12" t="str">
        <f t="shared" si="101"/>
        <v/>
      </c>
      <c r="F69" s="7"/>
      <c r="G69" s="2">
        <f>-'libro compras'!AB67</f>
        <v>0</v>
      </c>
      <c r="H69" s="7"/>
      <c r="I69" s="7" t="s">
        <v>36</v>
      </c>
      <c r="J69" s="7" t="str">
        <f>+CONCATENATE('libro compras'!C67," ",'libro compras'!D67)</f>
        <v xml:space="preserve"> </v>
      </c>
      <c r="K69" s="5">
        <f t="shared" ref="K69:M69" si="102">+K68</f>
        <v>0</v>
      </c>
      <c r="L69" s="1">
        <f t="shared" si="102"/>
        <v>0</v>
      </c>
      <c r="M69" s="1">
        <f t="shared" si="102"/>
        <v>0</v>
      </c>
      <c r="N69" s="7" t="s">
        <v>57</v>
      </c>
    </row>
    <row r="70" spans="1:14" x14ac:dyDescent="0.25">
      <c r="A70" s="9">
        <f t="shared" ref="A70:A133" si="103">1+A66</f>
        <v>18</v>
      </c>
      <c r="B70" s="5" t="str">
        <f>+'libro compras'!$AI$1</f>
        <v>281110</v>
      </c>
      <c r="C70" s="1" t="str">
        <f>+'libro compras'!Q71</f>
        <v>103</v>
      </c>
      <c r="D70" s="1">
        <f>+'libro compras'!R71</f>
        <v>0</v>
      </c>
      <c r="E70" s="12" t="str">
        <f>+'libro compras'!S71</f>
        <v/>
      </c>
      <c r="F70" s="7"/>
      <c r="G70" s="2">
        <f>+'libro compras'!AK71</f>
        <v>0</v>
      </c>
      <c r="H70" s="7"/>
      <c r="I70" s="7" t="s">
        <v>56</v>
      </c>
      <c r="J70" s="7" t="str">
        <f>+CONCATENATE('libro compras'!C71," ",'libro compras'!D71)</f>
        <v xml:space="preserve"> </v>
      </c>
      <c r="K70" s="5">
        <f>+'libro compras'!F71</f>
        <v>0</v>
      </c>
      <c r="L70" s="1">
        <f>+'libro compras'!C71</f>
        <v>0</v>
      </c>
      <c r="M70" s="5">
        <f>+'libro compras'!D71</f>
        <v>0</v>
      </c>
      <c r="N70" s="7" t="s">
        <v>57</v>
      </c>
    </row>
    <row r="71" spans="1:14" hidden="1" x14ac:dyDescent="0.25">
      <c r="A71" s="9">
        <f t="shared" si="103"/>
        <v>18</v>
      </c>
      <c r="B71" s="5" t="str">
        <f>+'libro compras'!$AJ$1</f>
        <v>401110</v>
      </c>
      <c r="C71" s="1" t="str">
        <f t="shared" ref="C71:E71" si="104">+C70</f>
        <v>103</v>
      </c>
      <c r="D71" s="1">
        <f t="shared" si="104"/>
        <v>0</v>
      </c>
      <c r="E71" s="12" t="str">
        <f t="shared" si="104"/>
        <v/>
      </c>
      <c r="F71" s="7"/>
      <c r="G71" s="2">
        <f>+'libro compras'!AJ71</f>
        <v>0</v>
      </c>
      <c r="H71" s="7"/>
      <c r="I71" s="7" t="s">
        <v>56</v>
      </c>
      <c r="J71" s="7" t="str">
        <f t="shared" ref="J71:M71" si="105">+J70</f>
        <v xml:space="preserve"> </v>
      </c>
      <c r="K71" s="5">
        <f t="shared" si="105"/>
        <v>0</v>
      </c>
      <c r="L71" s="1">
        <f t="shared" si="105"/>
        <v>0</v>
      </c>
      <c r="M71" s="1">
        <f t="shared" si="105"/>
        <v>0</v>
      </c>
      <c r="N71" s="7" t="s">
        <v>57</v>
      </c>
    </row>
    <row r="72" spans="1:14" x14ac:dyDescent="0.25">
      <c r="A72" s="9">
        <f t="shared" si="103"/>
        <v>18</v>
      </c>
      <c r="B72" s="5" t="e">
        <f>+'libro compras'!P71</f>
        <v>#N/A</v>
      </c>
      <c r="C72" s="1" t="str">
        <f t="shared" ref="C72:E72" si="106">+C71</f>
        <v>103</v>
      </c>
      <c r="D72" s="1">
        <f t="shared" si="106"/>
        <v>0</v>
      </c>
      <c r="E72" s="12" t="str">
        <f t="shared" si="106"/>
        <v/>
      </c>
      <c r="F72" s="7"/>
      <c r="G72" s="2">
        <f>-'libro compras'!AI71</f>
        <v>0</v>
      </c>
      <c r="H72" s="7"/>
      <c r="I72" s="7" t="s">
        <v>36</v>
      </c>
      <c r="J72" s="7" t="str">
        <f>+CONCATENATE('libro compras'!C71," ",'libro compras'!D71)</f>
        <v xml:space="preserve"> </v>
      </c>
      <c r="K72" s="5">
        <f t="shared" ref="K72:M72" si="107">+K71</f>
        <v>0</v>
      </c>
      <c r="L72" s="1">
        <f t="shared" si="107"/>
        <v>0</v>
      </c>
      <c r="M72" s="1">
        <f t="shared" si="107"/>
        <v>0</v>
      </c>
      <c r="N72" s="7" t="s">
        <v>57</v>
      </c>
    </row>
    <row r="73" spans="1:14" x14ac:dyDescent="0.25">
      <c r="A73" s="9">
        <f t="shared" si="103"/>
        <v>18</v>
      </c>
      <c r="B73" s="2" t="e">
        <f>+VLOOKUP(B72,Hoja1!$A$1:$B$2,2,FALSE)</f>
        <v>#N/A</v>
      </c>
      <c r="C73" s="1" t="str">
        <f t="shared" ref="C73:E73" si="108">+C72</f>
        <v>103</v>
      </c>
      <c r="D73" s="1">
        <f t="shared" si="108"/>
        <v>0</v>
      </c>
      <c r="E73" s="12" t="str">
        <f t="shared" si="108"/>
        <v/>
      </c>
      <c r="F73" s="7"/>
      <c r="G73" s="2">
        <f>-'libro compras'!AB71</f>
        <v>0</v>
      </c>
      <c r="H73" s="7"/>
      <c r="I73" s="7" t="s">
        <v>36</v>
      </c>
      <c r="J73" s="7" t="str">
        <f>+CONCATENATE('libro compras'!C71," ",'libro compras'!D71)</f>
        <v xml:space="preserve"> </v>
      </c>
      <c r="K73" s="5">
        <f t="shared" ref="K73:M73" si="109">+K72</f>
        <v>0</v>
      </c>
      <c r="L73" s="1">
        <f t="shared" si="109"/>
        <v>0</v>
      </c>
      <c r="M73" s="1">
        <f t="shared" si="109"/>
        <v>0</v>
      </c>
      <c r="N73" s="7" t="s">
        <v>57</v>
      </c>
    </row>
    <row r="74" spans="1:14" x14ac:dyDescent="0.25">
      <c r="A74" s="9">
        <f t="shared" si="103"/>
        <v>19</v>
      </c>
      <c r="B74" s="5" t="str">
        <f>+'libro compras'!$AI$1</f>
        <v>281110</v>
      </c>
      <c r="C74" s="1" t="str">
        <f>+'libro compras'!Q75</f>
        <v>103</v>
      </c>
      <c r="D74" s="1">
        <f>+'libro compras'!R75</f>
        <v>0</v>
      </c>
      <c r="E74" s="12" t="str">
        <f>+'libro compras'!S75</f>
        <v/>
      </c>
      <c r="F74" s="7"/>
      <c r="G74" s="2">
        <f>+'libro compras'!AK75</f>
        <v>0</v>
      </c>
      <c r="H74" s="7"/>
      <c r="I74" s="7" t="s">
        <v>56</v>
      </c>
      <c r="J74" s="7" t="str">
        <f>+CONCATENATE('libro compras'!C75," ",'libro compras'!D75)</f>
        <v xml:space="preserve"> </v>
      </c>
      <c r="K74" s="5">
        <f>+'libro compras'!F75</f>
        <v>0</v>
      </c>
      <c r="L74" s="1">
        <f>+'libro compras'!C75</f>
        <v>0</v>
      </c>
      <c r="M74" s="5">
        <f>+'libro compras'!D75</f>
        <v>0</v>
      </c>
      <c r="N74" s="7" t="s">
        <v>57</v>
      </c>
    </row>
    <row r="75" spans="1:14" hidden="1" x14ac:dyDescent="0.25">
      <c r="A75" s="9">
        <f t="shared" si="103"/>
        <v>19</v>
      </c>
      <c r="B75" s="5" t="str">
        <f>+'libro compras'!$AJ$1</f>
        <v>401110</v>
      </c>
      <c r="C75" s="1" t="str">
        <f t="shared" ref="C75:E75" si="110">+C74</f>
        <v>103</v>
      </c>
      <c r="D75" s="1">
        <f t="shared" si="110"/>
        <v>0</v>
      </c>
      <c r="E75" s="12" t="str">
        <f t="shared" si="110"/>
        <v/>
      </c>
      <c r="F75" s="7"/>
      <c r="G75" s="2">
        <f>+'libro compras'!AJ75</f>
        <v>0</v>
      </c>
      <c r="H75" s="7"/>
      <c r="I75" s="7" t="s">
        <v>56</v>
      </c>
      <c r="J75" s="7" t="str">
        <f t="shared" ref="J75:M75" si="111">+J74</f>
        <v xml:space="preserve"> </v>
      </c>
      <c r="K75" s="5">
        <f t="shared" si="111"/>
        <v>0</v>
      </c>
      <c r="L75" s="1">
        <f t="shared" si="111"/>
        <v>0</v>
      </c>
      <c r="M75" s="1">
        <f t="shared" si="111"/>
        <v>0</v>
      </c>
      <c r="N75" s="7" t="s">
        <v>57</v>
      </c>
    </row>
    <row r="76" spans="1:14" x14ac:dyDescent="0.25">
      <c r="A76" s="9">
        <f t="shared" si="103"/>
        <v>19</v>
      </c>
      <c r="B76" s="5" t="e">
        <f>+'libro compras'!P75</f>
        <v>#N/A</v>
      </c>
      <c r="C76" s="1" t="str">
        <f t="shared" ref="C76:E76" si="112">+C75</f>
        <v>103</v>
      </c>
      <c r="D76" s="1">
        <f t="shared" si="112"/>
        <v>0</v>
      </c>
      <c r="E76" s="12" t="str">
        <f t="shared" si="112"/>
        <v/>
      </c>
      <c r="F76" s="7"/>
      <c r="G76" s="2">
        <f>-'libro compras'!AI75</f>
        <v>0</v>
      </c>
      <c r="H76" s="7"/>
      <c r="I76" s="7" t="s">
        <v>36</v>
      </c>
      <c r="J76" s="7" t="str">
        <f>+CONCATENATE('libro compras'!C75," ",'libro compras'!D75)</f>
        <v xml:space="preserve"> </v>
      </c>
      <c r="K76" s="5">
        <f t="shared" ref="K76:M76" si="113">+K75</f>
        <v>0</v>
      </c>
      <c r="L76" s="1">
        <f t="shared" si="113"/>
        <v>0</v>
      </c>
      <c r="M76" s="1">
        <f t="shared" si="113"/>
        <v>0</v>
      </c>
      <c r="N76" s="7" t="s">
        <v>57</v>
      </c>
    </row>
    <row r="77" spans="1:14" x14ac:dyDescent="0.25">
      <c r="A77" s="9">
        <f t="shared" si="103"/>
        <v>19</v>
      </c>
      <c r="B77" s="2" t="e">
        <f>+VLOOKUP(B76,Hoja1!$A$1:$B$2,2,FALSE)</f>
        <v>#N/A</v>
      </c>
      <c r="C77" s="1" t="str">
        <f t="shared" ref="C77:E77" si="114">+C76</f>
        <v>103</v>
      </c>
      <c r="D77" s="1">
        <f t="shared" si="114"/>
        <v>0</v>
      </c>
      <c r="E77" s="12" t="str">
        <f t="shared" si="114"/>
        <v/>
      </c>
      <c r="F77" s="7"/>
      <c r="G77" s="2">
        <f>-'libro compras'!AB75</f>
        <v>0</v>
      </c>
      <c r="H77" s="7"/>
      <c r="I77" s="7" t="s">
        <v>36</v>
      </c>
      <c r="J77" s="7" t="str">
        <f>+CONCATENATE('libro compras'!C75," ",'libro compras'!D75)</f>
        <v xml:space="preserve"> </v>
      </c>
      <c r="K77" s="5">
        <f t="shared" ref="K77:M77" si="115">+K76</f>
        <v>0</v>
      </c>
      <c r="L77" s="1">
        <f t="shared" si="115"/>
        <v>0</v>
      </c>
      <c r="M77" s="1">
        <f t="shared" si="115"/>
        <v>0</v>
      </c>
      <c r="N77" s="7" t="s">
        <v>57</v>
      </c>
    </row>
    <row r="78" spans="1:14" x14ac:dyDescent="0.25">
      <c r="A78" s="9">
        <f t="shared" si="103"/>
        <v>20</v>
      </c>
      <c r="B78" s="5" t="str">
        <f>+'libro compras'!$AI$1</f>
        <v>281110</v>
      </c>
      <c r="C78" s="1" t="str">
        <f>+'libro compras'!Q79</f>
        <v>103</v>
      </c>
      <c r="D78" s="1">
        <f>+'libro compras'!R79</f>
        <v>0</v>
      </c>
      <c r="E78" s="12" t="str">
        <f>+'libro compras'!S79</f>
        <v/>
      </c>
      <c r="F78" s="7"/>
      <c r="G78" s="2">
        <f>+'libro compras'!AK79</f>
        <v>0</v>
      </c>
      <c r="H78" s="7"/>
      <c r="I78" s="7" t="s">
        <v>56</v>
      </c>
      <c r="J78" s="7" t="str">
        <f>+CONCATENATE('libro compras'!C79," ",'libro compras'!D79)</f>
        <v xml:space="preserve"> </v>
      </c>
      <c r="K78" s="5">
        <f>+'libro compras'!F79</f>
        <v>0</v>
      </c>
      <c r="L78" s="1">
        <f>+'libro compras'!C79</f>
        <v>0</v>
      </c>
      <c r="M78" s="5">
        <f>+'libro compras'!D79</f>
        <v>0</v>
      </c>
      <c r="N78" s="7" t="s">
        <v>57</v>
      </c>
    </row>
    <row r="79" spans="1:14" hidden="1" x14ac:dyDescent="0.25">
      <c r="A79" s="9">
        <f t="shared" si="103"/>
        <v>20</v>
      </c>
      <c r="B79" s="5" t="str">
        <f>+'libro compras'!$AJ$1</f>
        <v>401110</v>
      </c>
      <c r="C79" s="1" t="str">
        <f t="shared" ref="C79:E79" si="116">+C78</f>
        <v>103</v>
      </c>
      <c r="D79" s="1">
        <f t="shared" si="116"/>
        <v>0</v>
      </c>
      <c r="E79" s="12" t="str">
        <f t="shared" si="116"/>
        <v/>
      </c>
      <c r="F79" s="7"/>
      <c r="G79" s="2">
        <f>+'libro compras'!AJ79</f>
        <v>0</v>
      </c>
      <c r="H79" s="7"/>
      <c r="I79" s="7" t="s">
        <v>56</v>
      </c>
      <c r="J79" s="7" t="str">
        <f t="shared" ref="J79:M79" si="117">+J78</f>
        <v xml:space="preserve"> </v>
      </c>
      <c r="K79" s="5">
        <f t="shared" si="117"/>
        <v>0</v>
      </c>
      <c r="L79" s="1">
        <f t="shared" si="117"/>
        <v>0</v>
      </c>
      <c r="M79" s="1">
        <f t="shared" si="117"/>
        <v>0</v>
      </c>
      <c r="N79" s="7" t="s">
        <v>57</v>
      </c>
    </row>
    <row r="80" spans="1:14" x14ac:dyDescent="0.25">
      <c r="A80" s="9">
        <f t="shared" si="103"/>
        <v>20</v>
      </c>
      <c r="B80" s="5" t="e">
        <f>+'libro compras'!P79</f>
        <v>#N/A</v>
      </c>
      <c r="C80" s="1" t="str">
        <f t="shared" ref="C80:E80" si="118">+C79</f>
        <v>103</v>
      </c>
      <c r="D80" s="1">
        <f t="shared" si="118"/>
        <v>0</v>
      </c>
      <c r="E80" s="12" t="str">
        <f t="shared" si="118"/>
        <v/>
      </c>
      <c r="F80" s="7"/>
      <c r="G80" s="2">
        <f>-'libro compras'!AI79</f>
        <v>0</v>
      </c>
      <c r="H80" s="7"/>
      <c r="I80" s="7" t="s">
        <v>36</v>
      </c>
      <c r="J80" s="7" t="str">
        <f>+CONCATENATE('libro compras'!C79," ",'libro compras'!D79)</f>
        <v xml:space="preserve"> </v>
      </c>
      <c r="K80" s="5">
        <f t="shared" ref="K80:M80" si="119">+K79</f>
        <v>0</v>
      </c>
      <c r="L80" s="1">
        <f t="shared" si="119"/>
        <v>0</v>
      </c>
      <c r="M80" s="1">
        <f t="shared" si="119"/>
        <v>0</v>
      </c>
      <c r="N80" s="7" t="s">
        <v>57</v>
      </c>
    </row>
    <row r="81" spans="1:14" x14ac:dyDescent="0.25">
      <c r="A81" s="9">
        <f t="shared" si="103"/>
        <v>20</v>
      </c>
      <c r="B81" s="2" t="e">
        <f>+VLOOKUP(B80,Hoja1!$A$1:$B$2,2,FALSE)</f>
        <v>#N/A</v>
      </c>
      <c r="C81" s="1" t="str">
        <f t="shared" ref="C81:E81" si="120">+C80</f>
        <v>103</v>
      </c>
      <c r="D81" s="1">
        <f t="shared" si="120"/>
        <v>0</v>
      </c>
      <c r="E81" s="12" t="str">
        <f t="shared" si="120"/>
        <v/>
      </c>
      <c r="F81" s="7"/>
      <c r="G81" s="2">
        <f>-'libro compras'!AB79</f>
        <v>0</v>
      </c>
      <c r="H81" s="7"/>
      <c r="I81" s="7" t="s">
        <v>36</v>
      </c>
      <c r="J81" s="7" t="str">
        <f>+CONCATENATE('libro compras'!C79," ",'libro compras'!D79)</f>
        <v xml:space="preserve"> </v>
      </c>
      <c r="K81" s="5">
        <f t="shared" ref="K81:M81" si="121">+K80</f>
        <v>0</v>
      </c>
      <c r="L81" s="1">
        <f t="shared" si="121"/>
        <v>0</v>
      </c>
      <c r="M81" s="1">
        <f t="shared" si="121"/>
        <v>0</v>
      </c>
      <c r="N81" s="7" t="s">
        <v>57</v>
      </c>
    </row>
    <row r="82" spans="1:14" x14ac:dyDescent="0.25">
      <c r="A82" s="9">
        <f t="shared" si="103"/>
        <v>21</v>
      </c>
      <c r="B82" s="5" t="str">
        <f>+'libro compras'!$AI$1</f>
        <v>281110</v>
      </c>
      <c r="C82" s="1" t="str">
        <f>+'libro compras'!Q83</f>
        <v>103</v>
      </c>
      <c r="D82" s="1">
        <f>+'libro compras'!R83</f>
        <v>0</v>
      </c>
      <c r="E82" s="12" t="str">
        <f>+'libro compras'!S83</f>
        <v/>
      </c>
      <c r="F82" s="7"/>
      <c r="G82" s="2">
        <f>+'libro compras'!AK83</f>
        <v>0</v>
      </c>
      <c r="H82" s="7"/>
      <c r="I82" s="7" t="s">
        <v>56</v>
      </c>
      <c r="J82" s="7" t="str">
        <f>+CONCATENATE('libro compras'!C83," ",'libro compras'!D83)</f>
        <v xml:space="preserve"> </v>
      </c>
      <c r="K82" s="5">
        <f>+'libro compras'!F83</f>
        <v>0</v>
      </c>
      <c r="L82" s="1">
        <f>+'libro compras'!C83</f>
        <v>0</v>
      </c>
      <c r="M82" s="5">
        <f>+'libro compras'!D83</f>
        <v>0</v>
      </c>
      <c r="N82" s="7" t="s">
        <v>57</v>
      </c>
    </row>
    <row r="83" spans="1:14" hidden="1" x14ac:dyDescent="0.25">
      <c r="A83" s="9">
        <f t="shared" si="103"/>
        <v>21</v>
      </c>
      <c r="B83" s="5" t="str">
        <f>+'libro compras'!$AJ$1</f>
        <v>401110</v>
      </c>
      <c r="C83" s="1" t="str">
        <f t="shared" ref="C83:E83" si="122">+C82</f>
        <v>103</v>
      </c>
      <c r="D83" s="1">
        <f t="shared" si="122"/>
        <v>0</v>
      </c>
      <c r="E83" s="12" t="str">
        <f t="shared" si="122"/>
        <v/>
      </c>
      <c r="F83" s="7"/>
      <c r="G83" s="2">
        <f>+'libro compras'!AJ83</f>
        <v>0</v>
      </c>
      <c r="H83" s="7"/>
      <c r="I83" s="7" t="s">
        <v>56</v>
      </c>
      <c r="J83" s="7" t="str">
        <f t="shared" ref="J83:M83" si="123">+J82</f>
        <v xml:space="preserve"> </v>
      </c>
      <c r="K83" s="5">
        <f t="shared" si="123"/>
        <v>0</v>
      </c>
      <c r="L83" s="1">
        <f t="shared" si="123"/>
        <v>0</v>
      </c>
      <c r="M83" s="1">
        <f t="shared" si="123"/>
        <v>0</v>
      </c>
      <c r="N83" s="7" t="s">
        <v>57</v>
      </c>
    </row>
    <row r="84" spans="1:14" x14ac:dyDescent="0.25">
      <c r="A84" s="9">
        <f t="shared" si="103"/>
        <v>21</v>
      </c>
      <c r="B84" s="5" t="e">
        <f>+'libro compras'!P83</f>
        <v>#N/A</v>
      </c>
      <c r="C84" s="1" t="str">
        <f t="shared" ref="C84:E84" si="124">+C83</f>
        <v>103</v>
      </c>
      <c r="D84" s="1">
        <f t="shared" si="124"/>
        <v>0</v>
      </c>
      <c r="E84" s="12" t="str">
        <f t="shared" si="124"/>
        <v/>
      </c>
      <c r="F84" s="7"/>
      <c r="G84" s="2">
        <f>-'libro compras'!AI83</f>
        <v>0</v>
      </c>
      <c r="H84" s="7"/>
      <c r="I84" s="7" t="s">
        <v>36</v>
      </c>
      <c r="J84" s="7" t="str">
        <f>+CONCATENATE('libro compras'!C83," ",'libro compras'!D83)</f>
        <v xml:space="preserve"> </v>
      </c>
      <c r="K84" s="5">
        <f t="shared" ref="K84:M84" si="125">+K83</f>
        <v>0</v>
      </c>
      <c r="L84" s="1">
        <f t="shared" si="125"/>
        <v>0</v>
      </c>
      <c r="M84" s="1">
        <f t="shared" si="125"/>
        <v>0</v>
      </c>
      <c r="N84" s="7" t="s">
        <v>57</v>
      </c>
    </row>
    <row r="85" spans="1:14" x14ac:dyDescent="0.25">
      <c r="A85" s="9">
        <f t="shared" si="103"/>
        <v>21</v>
      </c>
      <c r="B85" s="2" t="e">
        <f>+VLOOKUP(B84,Hoja1!$A$1:$B$2,2,FALSE)</f>
        <v>#N/A</v>
      </c>
      <c r="C85" s="1" t="str">
        <f t="shared" ref="C85:E85" si="126">+C84</f>
        <v>103</v>
      </c>
      <c r="D85" s="1">
        <f t="shared" si="126"/>
        <v>0</v>
      </c>
      <c r="E85" s="12" t="str">
        <f t="shared" si="126"/>
        <v/>
      </c>
      <c r="F85" s="7"/>
      <c r="G85" s="2">
        <f>-'libro compras'!AB83</f>
        <v>0</v>
      </c>
      <c r="H85" s="7"/>
      <c r="I85" s="7" t="s">
        <v>36</v>
      </c>
      <c r="J85" s="7" t="str">
        <f>+CONCATENATE('libro compras'!C83," ",'libro compras'!D83)</f>
        <v xml:space="preserve"> </v>
      </c>
      <c r="K85" s="5">
        <f t="shared" ref="K85:M85" si="127">+K84</f>
        <v>0</v>
      </c>
      <c r="L85" s="1">
        <f t="shared" si="127"/>
        <v>0</v>
      </c>
      <c r="M85" s="1">
        <f t="shared" si="127"/>
        <v>0</v>
      </c>
      <c r="N85" s="7" t="s">
        <v>57</v>
      </c>
    </row>
    <row r="86" spans="1:14" x14ac:dyDescent="0.25">
      <c r="A86" s="9">
        <f t="shared" si="103"/>
        <v>22</v>
      </c>
      <c r="B86" s="5" t="str">
        <f>+'libro compras'!$AI$1</f>
        <v>281110</v>
      </c>
      <c r="C86" s="1" t="str">
        <f>+'libro compras'!Q87</f>
        <v>103</v>
      </c>
      <c r="D86" s="1">
        <f>+'libro compras'!R87</f>
        <v>0</v>
      </c>
      <c r="E86" s="12" t="str">
        <f>+'libro compras'!S87</f>
        <v/>
      </c>
      <c r="F86" s="7"/>
      <c r="G86" s="2">
        <f>+'libro compras'!AK87</f>
        <v>0</v>
      </c>
      <c r="H86" s="7"/>
      <c r="I86" s="7" t="s">
        <v>56</v>
      </c>
      <c r="J86" s="7" t="str">
        <f>+CONCATENATE('libro compras'!C87," ",'libro compras'!D87)</f>
        <v xml:space="preserve"> </v>
      </c>
      <c r="K86" s="5">
        <f>+'libro compras'!F87</f>
        <v>0</v>
      </c>
      <c r="L86" s="1">
        <f>+'libro compras'!C87</f>
        <v>0</v>
      </c>
      <c r="M86" s="5">
        <f>+'libro compras'!D87</f>
        <v>0</v>
      </c>
      <c r="N86" s="7" t="s">
        <v>57</v>
      </c>
    </row>
    <row r="87" spans="1:14" hidden="1" x14ac:dyDescent="0.25">
      <c r="A87" s="9">
        <f t="shared" si="103"/>
        <v>22</v>
      </c>
      <c r="B87" s="5" t="str">
        <f>+'libro compras'!$AJ$1</f>
        <v>401110</v>
      </c>
      <c r="C87" s="1" t="str">
        <f t="shared" ref="C87:E87" si="128">+C86</f>
        <v>103</v>
      </c>
      <c r="D87" s="1">
        <f t="shared" si="128"/>
        <v>0</v>
      </c>
      <c r="E87" s="12" t="str">
        <f t="shared" si="128"/>
        <v/>
      </c>
      <c r="F87" s="7"/>
      <c r="G87" s="2">
        <f>+'libro compras'!AJ87</f>
        <v>0</v>
      </c>
      <c r="H87" s="7"/>
      <c r="I87" s="7" t="s">
        <v>56</v>
      </c>
      <c r="J87" s="7" t="str">
        <f t="shared" ref="J87:M87" si="129">+J86</f>
        <v xml:space="preserve"> </v>
      </c>
      <c r="K87" s="5">
        <f t="shared" si="129"/>
        <v>0</v>
      </c>
      <c r="L87" s="1">
        <f t="shared" si="129"/>
        <v>0</v>
      </c>
      <c r="M87" s="1">
        <f t="shared" si="129"/>
        <v>0</v>
      </c>
      <c r="N87" s="7" t="s">
        <v>57</v>
      </c>
    </row>
    <row r="88" spans="1:14" x14ac:dyDescent="0.25">
      <c r="A88" s="9">
        <f t="shared" si="103"/>
        <v>22</v>
      </c>
      <c r="B88" s="5" t="e">
        <f>+'libro compras'!P87</f>
        <v>#N/A</v>
      </c>
      <c r="C88" s="1" t="str">
        <f t="shared" ref="C88:E88" si="130">+C87</f>
        <v>103</v>
      </c>
      <c r="D88" s="1">
        <f t="shared" si="130"/>
        <v>0</v>
      </c>
      <c r="E88" s="12" t="str">
        <f t="shared" si="130"/>
        <v/>
      </c>
      <c r="F88" s="7"/>
      <c r="G88" s="2">
        <f>-'libro compras'!AI87</f>
        <v>0</v>
      </c>
      <c r="H88" s="7"/>
      <c r="I88" s="7" t="s">
        <v>36</v>
      </c>
      <c r="J88" s="7" t="str">
        <f>+CONCATENATE('libro compras'!C87," ",'libro compras'!D87)</f>
        <v xml:space="preserve"> </v>
      </c>
      <c r="K88" s="5">
        <f t="shared" ref="K88:M88" si="131">+K87</f>
        <v>0</v>
      </c>
      <c r="L88" s="1">
        <f t="shared" si="131"/>
        <v>0</v>
      </c>
      <c r="M88" s="1">
        <f t="shared" si="131"/>
        <v>0</v>
      </c>
      <c r="N88" s="7" t="s">
        <v>57</v>
      </c>
    </row>
    <row r="89" spans="1:14" x14ac:dyDescent="0.25">
      <c r="A89" s="9">
        <f t="shared" si="103"/>
        <v>22</v>
      </c>
      <c r="B89" s="2" t="e">
        <f>+VLOOKUP(B88,Hoja1!$A$1:$B$2,2,FALSE)</f>
        <v>#N/A</v>
      </c>
      <c r="C89" s="1" t="str">
        <f t="shared" ref="C89:E89" si="132">+C88</f>
        <v>103</v>
      </c>
      <c r="D89" s="1">
        <f t="shared" si="132"/>
        <v>0</v>
      </c>
      <c r="E89" s="12" t="str">
        <f t="shared" si="132"/>
        <v/>
      </c>
      <c r="F89" s="7"/>
      <c r="G89" s="2">
        <f>-'libro compras'!AB87</f>
        <v>0</v>
      </c>
      <c r="H89" s="7"/>
      <c r="I89" s="7" t="s">
        <v>36</v>
      </c>
      <c r="J89" s="7" t="str">
        <f>+CONCATENATE('libro compras'!C87," ",'libro compras'!D87)</f>
        <v xml:space="preserve"> </v>
      </c>
      <c r="K89" s="5">
        <f t="shared" ref="K89:M89" si="133">+K88</f>
        <v>0</v>
      </c>
      <c r="L89" s="1">
        <f t="shared" si="133"/>
        <v>0</v>
      </c>
      <c r="M89" s="1">
        <f t="shared" si="133"/>
        <v>0</v>
      </c>
      <c r="N89" s="7" t="s">
        <v>57</v>
      </c>
    </row>
    <row r="90" spans="1:14" x14ac:dyDescent="0.25">
      <c r="A90" s="9">
        <f t="shared" si="103"/>
        <v>23</v>
      </c>
      <c r="B90" s="5" t="str">
        <f>+'libro compras'!$AI$1</f>
        <v>281110</v>
      </c>
      <c r="C90" s="1" t="str">
        <f>+'libro compras'!Q91</f>
        <v>103</v>
      </c>
      <c r="D90" s="1">
        <f>+'libro compras'!R91</f>
        <v>0</v>
      </c>
      <c r="E90" s="12" t="str">
        <f>+'libro compras'!S91</f>
        <v/>
      </c>
      <c r="F90" s="7"/>
      <c r="G90" s="2">
        <f>+'libro compras'!AK91</f>
        <v>0</v>
      </c>
      <c r="H90" s="7"/>
      <c r="I90" s="7" t="s">
        <v>56</v>
      </c>
      <c r="J90" s="7" t="str">
        <f>+CONCATENATE('libro compras'!C91," ",'libro compras'!D91)</f>
        <v xml:space="preserve"> </v>
      </c>
      <c r="K90" s="5">
        <f>+'libro compras'!F91</f>
        <v>0</v>
      </c>
      <c r="L90" s="1">
        <f>+'libro compras'!C91</f>
        <v>0</v>
      </c>
      <c r="M90" s="5">
        <f>+'libro compras'!D91</f>
        <v>0</v>
      </c>
      <c r="N90" s="7" t="s">
        <v>57</v>
      </c>
    </row>
    <row r="91" spans="1:14" hidden="1" x14ac:dyDescent="0.25">
      <c r="A91" s="9">
        <f t="shared" si="103"/>
        <v>23</v>
      </c>
      <c r="B91" s="5" t="str">
        <f>+'libro compras'!$AJ$1</f>
        <v>401110</v>
      </c>
      <c r="C91" s="1" t="str">
        <f t="shared" ref="C91:E91" si="134">+C90</f>
        <v>103</v>
      </c>
      <c r="D91" s="1">
        <f t="shared" si="134"/>
        <v>0</v>
      </c>
      <c r="E91" s="12" t="str">
        <f t="shared" si="134"/>
        <v/>
      </c>
      <c r="F91" s="7"/>
      <c r="G91" s="2">
        <f>+'libro compras'!AJ91</f>
        <v>0</v>
      </c>
      <c r="H91" s="7"/>
      <c r="I91" s="7" t="s">
        <v>56</v>
      </c>
      <c r="J91" s="7" t="str">
        <f t="shared" ref="J91:M91" si="135">+J90</f>
        <v xml:space="preserve"> </v>
      </c>
      <c r="K91" s="5">
        <f t="shared" si="135"/>
        <v>0</v>
      </c>
      <c r="L91" s="1">
        <f t="shared" si="135"/>
        <v>0</v>
      </c>
      <c r="M91" s="1">
        <f t="shared" si="135"/>
        <v>0</v>
      </c>
      <c r="N91" s="7" t="s">
        <v>57</v>
      </c>
    </row>
    <row r="92" spans="1:14" x14ac:dyDescent="0.25">
      <c r="A92" s="9">
        <f t="shared" si="103"/>
        <v>23</v>
      </c>
      <c r="B92" s="5" t="e">
        <f>+'libro compras'!P91</f>
        <v>#N/A</v>
      </c>
      <c r="C92" s="1" t="str">
        <f t="shared" ref="C92:E92" si="136">+C91</f>
        <v>103</v>
      </c>
      <c r="D92" s="1">
        <f t="shared" si="136"/>
        <v>0</v>
      </c>
      <c r="E92" s="12" t="str">
        <f t="shared" si="136"/>
        <v/>
      </c>
      <c r="F92" s="7"/>
      <c r="G92" s="2">
        <f>-'libro compras'!AI91</f>
        <v>0</v>
      </c>
      <c r="H92" s="7"/>
      <c r="I92" s="7" t="s">
        <v>36</v>
      </c>
      <c r="J92" s="7" t="str">
        <f>+CONCATENATE('libro compras'!C91," ",'libro compras'!D91)</f>
        <v xml:space="preserve"> </v>
      </c>
      <c r="K92" s="5">
        <f t="shared" ref="K92:M92" si="137">+K91</f>
        <v>0</v>
      </c>
      <c r="L92" s="1">
        <f t="shared" si="137"/>
        <v>0</v>
      </c>
      <c r="M92" s="1">
        <f t="shared" si="137"/>
        <v>0</v>
      </c>
      <c r="N92" s="7" t="s">
        <v>57</v>
      </c>
    </row>
    <row r="93" spans="1:14" x14ac:dyDescent="0.25">
      <c r="A93" s="9">
        <f t="shared" si="103"/>
        <v>23</v>
      </c>
      <c r="B93" s="2" t="e">
        <f>+VLOOKUP(B92,Hoja1!$A$1:$B$2,2,FALSE)</f>
        <v>#N/A</v>
      </c>
      <c r="C93" s="1" t="str">
        <f t="shared" ref="C93:E93" si="138">+C92</f>
        <v>103</v>
      </c>
      <c r="D93" s="1">
        <f t="shared" si="138"/>
        <v>0</v>
      </c>
      <c r="E93" s="12" t="str">
        <f t="shared" si="138"/>
        <v/>
      </c>
      <c r="F93" s="7"/>
      <c r="G93" s="2">
        <f>-'libro compras'!AB91</f>
        <v>0</v>
      </c>
      <c r="H93" s="7"/>
      <c r="I93" s="7" t="s">
        <v>36</v>
      </c>
      <c r="J93" s="7" t="str">
        <f>+CONCATENATE('libro compras'!C91," ",'libro compras'!D91)</f>
        <v xml:space="preserve"> </v>
      </c>
      <c r="K93" s="5">
        <f t="shared" ref="K93:M93" si="139">+K92</f>
        <v>0</v>
      </c>
      <c r="L93" s="1">
        <f t="shared" si="139"/>
        <v>0</v>
      </c>
      <c r="M93" s="1">
        <f t="shared" si="139"/>
        <v>0</v>
      </c>
      <c r="N93" s="7" t="s">
        <v>57</v>
      </c>
    </row>
    <row r="94" spans="1:14" x14ac:dyDescent="0.25">
      <c r="A94" s="9">
        <f t="shared" si="103"/>
        <v>24</v>
      </c>
      <c r="B94" s="5" t="str">
        <f>+'libro compras'!$AI$1</f>
        <v>281110</v>
      </c>
      <c r="C94" s="1" t="str">
        <f>+'libro compras'!Q95</f>
        <v>103</v>
      </c>
      <c r="D94" s="1">
        <f>+'libro compras'!R95</f>
        <v>0</v>
      </c>
      <c r="E94" s="12" t="str">
        <f>+'libro compras'!S95</f>
        <v/>
      </c>
      <c r="F94" s="7"/>
      <c r="G94" s="2">
        <f>+'libro compras'!AK95</f>
        <v>0</v>
      </c>
      <c r="H94" s="7"/>
      <c r="I94" s="7" t="s">
        <v>56</v>
      </c>
      <c r="J94" s="7" t="str">
        <f>+CONCATENATE('libro compras'!C95," ",'libro compras'!D95)</f>
        <v xml:space="preserve"> </v>
      </c>
      <c r="K94" s="5">
        <f>+'libro compras'!F95</f>
        <v>0</v>
      </c>
      <c r="L94" s="1">
        <f>+'libro compras'!C95</f>
        <v>0</v>
      </c>
      <c r="M94" s="5">
        <f>+'libro compras'!D95</f>
        <v>0</v>
      </c>
      <c r="N94" s="7" t="s">
        <v>57</v>
      </c>
    </row>
    <row r="95" spans="1:14" hidden="1" x14ac:dyDescent="0.25">
      <c r="A95" s="9">
        <f t="shared" si="103"/>
        <v>24</v>
      </c>
      <c r="B95" s="5" t="str">
        <f>+'libro compras'!$AJ$1</f>
        <v>401110</v>
      </c>
      <c r="C95" s="1" t="str">
        <f t="shared" ref="C95:E95" si="140">+C94</f>
        <v>103</v>
      </c>
      <c r="D95" s="1">
        <f t="shared" si="140"/>
        <v>0</v>
      </c>
      <c r="E95" s="12" t="str">
        <f t="shared" si="140"/>
        <v/>
      </c>
      <c r="F95" s="7"/>
      <c r="G95" s="2">
        <f>+'libro compras'!AJ95</f>
        <v>0</v>
      </c>
      <c r="H95" s="7"/>
      <c r="I95" s="7" t="s">
        <v>56</v>
      </c>
      <c r="J95" s="7" t="str">
        <f t="shared" ref="J95:M95" si="141">+J94</f>
        <v xml:space="preserve"> </v>
      </c>
      <c r="K95" s="5">
        <f t="shared" si="141"/>
        <v>0</v>
      </c>
      <c r="L95" s="1">
        <f t="shared" si="141"/>
        <v>0</v>
      </c>
      <c r="M95" s="1">
        <f t="shared" si="141"/>
        <v>0</v>
      </c>
      <c r="N95" s="7" t="s">
        <v>57</v>
      </c>
    </row>
    <row r="96" spans="1:14" x14ac:dyDescent="0.25">
      <c r="A96" s="9">
        <f t="shared" si="103"/>
        <v>24</v>
      </c>
      <c r="B96" s="5" t="e">
        <f>+'libro compras'!P95</f>
        <v>#N/A</v>
      </c>
      <c r="C96" s="1" t="str">
        <f t="shared" ref="C96:E96" si="142">+C95</f>
        <v>103</v>
      </c>
      <c r="D96" s="1">
        <f t="shared" si="142"/>
        <v>0</v>
      </c>
      <c r="E96" s="12" t="str">
        <f t="shared" si="142"/>
        <v/>
      </c>
      <c r="F96" s="7"/>
      <c r="G96" s="2">
        <f>-'libro compras'!AI95</f>
        <v>0</v>
      </c>
      <c r="H96" s="7"/>
      <c r="I96" s="7" t="s">
        <v>36</v>
      </c>
      <c r="J96" s="7" t="str">
        <f>+CONCATENATE('libro compras'!C95," ",'libro compras'!D95)</f>
        <v xml:space="preserve"> </v>
      </c>
      <c r="K96" s="5">
        <f t="shared" ref="K96:M96" si="143">+K95</f>
        <v>0</v>
      </c>
      <c r="L96" s="1">
        <f t="shared" si="143"/>
        <v>0</v>
      </c>
      <c r="M96" s="1">
        <f t="shared" si="143"/>
        <v>0</v>
      </c>
      <c r="N96" s="7" t="s">
        <v>57</v>
      </c>
    </row>
    <row r="97" spans="1:14" x14ac:dyDescent="0.25">
      <c r="A97" s="9">
        <f t="shared" si="103"/>
        <v>24</v>
      </c>
      <c r="B97" s="2" t="e">
        <f>+VLOOKUP(B96,Hoja1!$A$1:$B$2,2,FALSE)</f>
        <v>#N/A</v>
      </c>
      <c r="C97" s="1" t="str">
        <f t="shared" ref="C97:E97" si="144">+C96</f>
        <v>103</v>
      </c>
      <c r="D97" s="1">
        <f t="shared" si="144"/>
        <v>0</v>
      </c>
      <c r="E97" s="12" t="str">
        <f t="shared" si="144"/>
        <v/>
      </c>
      <c r="F97" s="7"/>
      <c r="G97" s="2">
        <f>-'libro compras'!AB95</f>
        <v>0</v>
      </c>
      <c r="H97" s="7"/>
      <c r="I97" s="7" t="s">
        <v>36</v>
      </c>
      <c r="J97" s="7" t="str">
        <f>+CONCATENATE('libro compras'!C95," ",'libro compras'!D95)</f>
        <v xml:space="preserve"> </v>
      </c>
      <c r="K97" s="5">
        <f t="shared" ref="K97:M97" si="145">+K96</f>
        <v>0</v>
      </c>
      <c r="L97" s="1">
        <f t="shared" si="145"/>
        <v>0</v>
      </c>
      <c r="M97" s="1">
        <f t="shared" si="145"/>
        <v>0</v>
      </c>
      <c r="N97" s="7" t="s">
        <v>57</v>
      </c>
    </row>
    <row r="98" spans="1:14" x14ac:dyDescent="0.25">
      <c r="A98" s="9">
        <f t="shared" si="103"/>
        <v>25</v>
      </c>
      <c r="B98" s="5" t="str">
        <f>+'libro compras'!$AI$1</f>
        <v>281110</v>
      </c>
      <c r="C98" s="1" t="str">
        <f>+'libro compras'!Q99</f>
        <v>103</v>
      </c>
      <c r="D98" s="1">
        <f>+'libro compras'!R99</f>
        <v>0</v>
      </c>
      <c r="E98" s="12" t="str">
        <f>+'libro compras'!S99</f>
        <v/>
      </c>
      <c r="F98" s="7"/>
      <c r="G98" s="2">
        <f>+'libro compras'!AK99</f>
        <v>0</v>
      </c>
      <c r="H98" s="7"/>
      <c r="I98" s="7" t="s">
        <v>56</v>
      </c>
      <c r="J98" s="7" t="str">
        <f>+CONCATENATE('libro compras'!C99," ",'libro compras'!D99)</f>
        <v xml:space="preserve"> </v>
      </c>
      <c r="K98" s="5">
        <f>+'libro compras'!F99</f>
        <v>0</v>
      </c>
      <c r="L98" s="1">
        <f>+'libro compras'!C99</f>
        <v>0</v>
      </c>
      <c r="M98" s="5">
        <f>+'libro compras'!D99</f>
        <v>0</v>
      </c>
      <c r="N98" s="7" t="s">
        <v>57</v>
      </c>
    </row>
    <row r="99" spans="1:14" hidden="1" x14ac:dyDescent="0.25">
      <c r="A99" s="9">
        <f t="shared" si="103"/>
        <v>25</v>
      </c>
      <c r="B99" s="5" t="str">
        <f>+'libro compras'!$AJ$1</f>
        <v>401110</v>
      </c>
      <c r="C99" s="1" t="str">
        <f t="shared" ref="C99:E99" si="146">+C98</f>
        <v>103</v>
      </c>
      <c r="D99" s="1">
        <f t="shared" si="146"/>
        <v>0</v>
      </c>
      <c r="E99" s="12" t="str">
        <f t="shared" si="146"/>
        <v/>
      </c>
      <c r="F99" s="7"/>
      <c r="G99" s="2">
        <f>+'libro compras'!AJ99</f>
        <v>0</v>
      </c>
      <c r="H99" s="7"/>
      <c r="I99" s="7" t="s">
        <v>56</v>
      </c>
      <c r="J99" s="7" t="str">
        <f t="shared" ref="J99:M99" si="147">+J98</f>
        <v xml:space="preserve"> </v>
      </c>
      <c r="K99" s="5">
        <f t="shared" si="147"/>
        <v>0</v>
      </c>
      <c r="L99" s="1">
        <f t="shared" si="147"/>
        <v>0</v>
      </c>
      <c r="M99" s="1">
        <f t="shared" si="147"/>
        <v>0</v>
      </c>
      <c r="N99" s="7" t="s">
        <v>57</v>
      </c>
    </row>
    <row r="100" spans="1:14" x14ac:dyDescent="0.25">
      <c r="A100" s="9">
        <f t="shared" si="103"/>
        <v>25</v>
      </c>
      <c r="B100" s="5" t="e">
        <f>+'libro compras'!P99</f>
        <v>#N/A</v>
      </c>
      <c r="C100" s="1" t="str">
        <f t="shared" ref="C100:E100" si="148">+C99</f>
        <v>103</v>
      </c>
      <c r="D100" s="1">
        <f t="shared" si="148"/>
        <v>0</v>
      </c>
      <c r="E100" s="12" t="str">
        <f t="shared" si="148"/>
        <v/>
      </c>
      <c r="F100" s="7"/>
      <c r="G100" s="2">
        <f>-'libro compras'!AI99</f>
        <v>0</v>
      </c>
      <c r="H100" s="7"/>
      <c r="I100" s="7" t="s">
        <v>36</v>
      </c>
      <c r="J100" s="7" t="str">
        <f>+CONCATENATE('libro compras'!C99," ",'libro compras'!D99)</f>
        <v xml:space="preserve"> </v>
      </c>
      <c r="K100" s="5">
        <f t="shared" ref="K100:M100" si="149">+K99</f>
        <v>0</v>
      </c>
      <c r="L100" s="1">
        <f t="shared" si="149"/>
        <v>0</v>
      </c>
      <c r="M100" s="1">
        <f t="shared" si="149"/>
        <v>0</v>
      </c>
      <c r="N100" s="7" t="s">
        <v>57</v>
      </c>
    </row>
    <row r="101" spans="1:14" x14ac:dyDescent="0.25">
      <c r="A101" s="9">
        <f t="shared" si="103"/>
        <v>25</v>
      </c>
      <c r="B101" s="2" t="e">
        <f>+VLOOKUP(B100,Hoja1!$A$1:$B$2,2,FALSE)</f>
        <v>#N/A</v>
      </c>
      <c r="C101" s="1" t="str">
        <f t="shared" ref="C101:E101" si="150">+C100</f>
        <v>103</v>
      </c>
      <c r="D101" s="1">
        <f t="shared" si="150"/>
        <v>0</v>
      </c>
      <c r="E101" s="12" t="str">
        <f t="shared" si="150"/>
        <v/>
      </c>
      <c r="F101" s="7"/>
      <c r="G101" s="2">
        <f>-'libro compras'!AB99</f>
        <v>0</v>
      </c>
      <c r="H101" s="7"/>
      <c r="I101" s="7" t="s">
        <v>36</v>
      </c>
      <c r="J101" s="7" t="str">
        <f>+CONCATENATE('libro compras'!C99," ",'libro compras'!D99)</f>
        <v xml:space="preserve"> </v>
      </c>
      <c r="K101" s="5">
        <f t="shared" ref="K101:M101" si="151">+K100</f>
        <v>0</v>
      </c>
      <c r="L101" s="1">
        <f t="shared" si="151"/>
        <v>0</v>
      </c>
      <c r="M101" s="1">
        <f t="shared" si="151"/>
        <v>0</v>
      </c>
      <c r="N101" s="7" t="s">
        <v>57</v>
      </c>
    </row>
    <row r="102" spans="1:14" x14ac:dyDescent="0.25">
      <c r="A102" s="9">
        <f t="shared" si="103"/>
        <v>26</v>
      </c>
      <c r="B102" s="5" t="str">
        <f>+'libro compras'!$AI$1</f>
        <v>281110</v>
      </c>
      <c r="C102" s="1" t="str">
        <f>+'libro compras'!Q103</f>
        <v>103</v>
      </c>
      <c r="D102" s="1">
        <f>+'libro compras'!R103</f>
        <v>0</v>
      </c>
      <c r="E102" s="12" t="str">
        <f>+'libro compras'!S103</f>
        <v/>
      </c>
      <c r="F102" s="7"/>
      <c r="G102" s="2">
        <f>+'libro compras'!AK103</f>
        <v>0</v>
      </c>
      <c r="H102" s="7"/>
      <c r="I102" s="7" t="s">
        <v>56</v>
      </c>
      <c r="J102" s="7" t="str">
        <f>+CONCATENATE('libro compras'!C103," ",'libro compras'!D103)</f>
        <v xml:space="preserve"> </v>
      </c>
      <c r="K102" s="5">
        <f>+'libro compras'!F103</f>
        <v>0</v>
      </c>
      <c r="L102" s="1">
        <f>+'libro compras'!C103</f>
        <v>0</v>
      </c>
      <c r="M102" s="5">
        <f>+'libro compras'!D103</f>
        <v>0</v>
      </c>
      <c r="N102" s="7" t="s">
        <v>57</v>
      </c>
    </row>
    <row r="103" spans="1:14" hidden="1" x14ac:dyDescent="0.25">
      <c r="A103" s="9">
        <f t="shared" si="103"/>
        <v>26</v>
      </c>
      <c r="B103" s="5" t="str">
        <f>+'libro compras'!$AJ$1</f>
        <v>401110</v>
      </c>
      <c r="C103" s="1" t="str">
        <f t="shared" ref="C103:E103" si="152">+C102</f>
        <v>103</v>
      </c>
      <c r="D103" s="1">
        <f t="shared" si="152"/>
        <v>0</v>
      </c>
      <c r="E103" s="12" t="str">
        <f t="shared" si="152"/>
        <v/>
      </c>
      <c r="F103" s="7"/>
      <c r="G103" s="2">
        <f>+'libro compras'!AJ103</f>
        <v>0</v>
      </c>
      <c r="H103" s="7"/>
      <c r="I103" s="7" t="s">
        <v>56</v>
      </c>
      <c r="J103" s="7" t="str">
        <f t="shared" ref="J103:M103" si="153">+J102</f>
        <v xml:space="preserve"> </v>
      </c>
      <c r="K103" s="5">
        <f t="shared" si="153"/>
        <v>0</v>
      </c>
      <c r="L103" s="1">
        <f t="shared" si="153"/>
        <v>0</v>
      </c>
      <c r="M103" s="1">
        <f t="shared" si="153"/>
        <v>0</v>
      </c>
      <c r="N103" s="7" t="s">
        <v>57</v>
      </c>
    </row>
    <row r="104" spans="1:14" x14ac:dyDescent="0.25">
      <c r="A104" s="9">
        <f t="shared" si="103"/>
        <v>26</v>
      </c>
      <c r="B104" s="5" t="e">
        <f>+'libro compras'!P103</f>
        <v>#N/A</v>
      </c>
      <c r="C104" s="1" t="str">
        <f t="shared" ref="C104:E104" si="154">+C103</f>
        <v>103</v>
      </c>
      <c r="D104" s="1">
        <f t="shared" si="154"/>
        <v>0</v>
      </c>
      <c r="E104" s="12" t="str">
        <f t="shared" si="154"/>
        <v/>
      </c>
      <c r="F104" s="7"/>
      <c r="G104" s="2">
        <f>-'libro compras'!AI103</f>
        <v>0</v>
      </c>
      <c r="H104" s="7"/>
      <c r="I104" s="7" t="s">
        <v>36</v>
      </c>
      <c r="J104" s="7" t="str">
        <f>+CONCATENATE('libro compras'!C103," ",'libro compras'!D103)</f>
        <v xml:space="preserve"> </v>
      </c>
      <c r="K104" s="5">
        <f t="shared" ref="K104:M104" si="155">+K103</f>
        <v>0</v>
      </c>
      <c r="L104" s="1">
        <f t="shared" si="155"/>
        <v>0</v>
      </c>
      <c r="M104" s="1">
        <f t="shared" si="155"/>
        <v>0</v>
      </c>
      <c r="N104" s="7" t="s">
        <v>57</v>
      </c>
    </row>
    <row r="105" spans="1:14" x14ac:dyDescent="0.25">
      <c r="A105" s="9">
        <f t="shared" si="103"/>
        <v>26</v>
      </c>
      <c r="B105" s="2" t="e">
        <f>+VLOOKUP(B104,Hoja1!$A$1:$B$2,2,FALSE)</f>
        <v>#N/A</v>
      </c>
      <c r="C105" s="1" t="str">
        <f t="shared" ref="C105:E105" si="156">+C104</f>
        <v>103</v>
      </c>
      <c r="D105" s="1">
        <f t="shared" si="156"/>
        <v>0</v>
      </c>
      <c r="E105" s="12" t="str">
        <f t="shared" si="156"/>
        <v/>
      </c>
      <c r="F105" s="7"/>
      <c r="G105" s="2">
        <f>-'libro compras'!AB103</f>
        <v>0</v>
      </c>
      <c r="H105" s="7"/>
      <c r="I105" s="7" t="s">
        <v>36</v>
      </c>
      <c r="J105" s="7" t="str">
        <f>+CONCATENATE('libro compras'!C103," ",'libro compras'!D103)</f>
        <v xml:space="preserve"> </v>
      </c>
      <c r="K105" s="5">
        <f t="shared" ref="K105:M105" si="157">+K104</f>
        <v>0</v>
      </c>
      <c r="L105" s="1">
        <f t="shared" si="157"/>
        <v>0</v>
      </c>
      <c r="M105" s="1">
        <f t="shared" si="157"/>
        <v>0</v>
      </c>
      <c r="N105" s="7" t="s">
        <v>57</v>
      </c>
    </row>
    <row r="106" spans="1:14" x14ac:dyDescent="0.25">
      <c r="A106" s="9">
        <f t="shared" si="103"/>
        <v>27</v>
      </c>
      <c r="B106" s="5" t="str">
        <f>+'libro compras'!$AI$1</f>
        <v>281110</v>
      </c>
      <c r="C106" s="1" t="str">
        <f>+'libro compras'!Q107</f>
        <v>103</v>
      </c>
      <c r="D106" s="1">
        <f>+'libro compras'!R107</f>
        <v>0</v>
      </c>
      <c r="E106" s="12" t="str">
        <f>+'libro compras'!S107</f>
        <v/>
      </c>
      <c r="F106" s="7"/>
      <c r="G106" s="2">
        <f>+'libro compras'!AK107</f>
        <v>0</v>
      </c>
      <c r="H106" s="7"/>
      <c r="I106" s="7" t="s">
        <v>56</v>
      </c>
      <c r="J106" s="7" t="str">
        <f>+CONCATENATE('libro compras'!C107," ",'libro compras'!D107)</f>
        <v xml:space="preserve"> </v>
      </c>
      <c r="K106" s="5">
        <f>+'libro compras'!F107</f>
        <v>0</v>
      </c>
      <c r="L106" s="1">
        <f>+'libro compras'!C107</f>
        <v>0</v>
      </c>
      <c r="M106" s="5">
        <f>+'libro compras'!D107</f>
        <v>0</v>
      </c>
      <c r="N106" s="7" t="s">
        <v>57</v>
      </c>
    </row>
    <row r="107" spans="1:14" hidden="1" x14ac:dyDescent="0.25">
      <c r="A107" s="9">
        <f t="shared" si="103"/>
        <v>27</v>
      </c>
      <c r="B107" s="5" t="str">
        <f>+'libro compras'!$AJ$1</f>
        <v>401110</v>
      </c>
      <c r="C107" s="1" t="str">
        <f t="shared" ref="C107:E107" si="158">+C106</f>
        <v>103</v>
      </c>
      <c r="D107" s="1">
        <f t="shared" si="158"/>
        <v>0</v>
      </c>
      <c r="E107" s="12" t="str">
        <f t="shared" si="158"/>
        <v/>
      </c>
      <c r="F107" s="7"/>
      <c r="G107" s="2">
        <f>+'libro compras'!AJ107</f>
        <v>0</v>
      </c>
      <c r="H107" s="7"/>
      <c r="I107" s="7" t="s">
        <v>56</v>
      </c>
      <c r="J107" s="7" t="str">
        <f t="shared" ref="J107:M107" si="159">+J106</f>
        <v xml:space="preserve"> </v>
      </c>
      <c r="K107" s="5">
        <f t="shared" si="159"/>
        <v>0</v>
      </c>
      <c r="L107" s="1">
        <f t="shared" si="159"/>
        <v>0</v>
      </c>
      <c r="M107" s="1">
        <f t="shared" si="159"/>
        <v>0</v>
      </c>
      <c r="N107" s="7" t="s">
        <v>57</v>
      </c>
    </row>
    <row r="108" spans="1:14" x14ac:dyDescent="0.25">
      <c r="A108" s="9">
        <f t="shared" si="103"/>
        <v>27</v>
      </c>
      <c r="B108" s="5" t="e">
        <f>+'libro compras'!P107</f>
        <v>#N/A</v>
      </c>
      <c r="C108" s="1" t="str">
        <f t="shared" ref="C108:E108" si="160">+C107</f>
        <v>103</v>
      </c>
      <c r="D108" s="1">
        <f t="shared" si="160"/>
        <v>0</v>
      </c>
      <c r="E108" s="12" t="str">
        <f t="shared" si="160"/>
        <v/>
      </c>
      <c r="F108" s="7"/>
      <c r="G108" s="2">
        <f>-'libro compras'!AI107</f>
        <v>0</v>
      </c>
      <c r="H108" s="7"/>
      <c r="I108" s="7" t="s">
        <v>36</v>
      </c>
      <c r="J108" s="7" t="str">
        <f>+CONCATENATE('libro compras'!C107," ",'libro compras'!D107)</f>
        <v xml:space="preserve"> </v>
      </c>
      <c r="K108" s="5">
        <f t="shared" ref="K108:M108" si="161">+K107</f>
        <v>0</v>
      </c>
      <c r="L108" s="1">
        <f t="shared" si="161"/>
        <v>0</v>
      </c>
      <c r="M108" s="1">
        <f t="shared" si="161"/>
        <v>0</v>
      </c>
      <c r="N108" s="7" t="s">
        <v>57</v>
      </c>
    </row>
    <row r="109" spans="1:14" x14ac:dyDescent="0.25">
      <c r="A109" s="9">
        <f t="shared" si="103"/>
        <v>27</v>
      </c>
      <c r="B109" s="2" t="e">
        <f>+VLOOKUP(B108,Hoja1!$A$1:$B$2,2,FALSE)</f>
        <v>#N/A</v>
      </c>
      <c r="C109" s="1" t="str">
        <f t="shared" ref="C109:E109" si="162">+C108</f>
        <v>103</v>
      </c>
      <c r="D109" s="1">
        <f t="shared" si="162"/>
        <v>0</v>
      </c>
      <c r="E109" s="12" t="str">
        <f t="shared" si="162"/>
        <v/>
      </c>
      <c r="F109" s="7"/>
      <c r="G109" s="2">
        <f>-'libro compras'!AB107</f>
        <v>0</v>
      </c>
      <c r="H109" s="7"/>
      <c r="I109" s="7" t="s">
        <v>36</v>
      </c>
      <c r="J109" s="7" t="str">
        <f>+CONCATENATE('libro compras'!C107," ",'libro compras'!D107)</f>
        <v xml:space="preserve"> </v>
      </c>
      <c r="K109" s="5">
        <f t="shared" ref="K109:M109" si="163">+K108</f>
        <v>0</v>
      </c>
      <c r="L109" s="1">
        <f t="shared" si="163"/>
        <v>0</v>
      </c>
      <c r="M109" s="1">
        <f t="shared" si="163"/>
        <v>0</v>
      </c>
      <c r="N109" s="7" t="s">
        <v>57</v>
      </c>
    </row>
    <row r="110" spans="1:14" x14ac:dyDescent="0.25">
      <c r="A110" s="9">
        <f t="shared" si="103"/>
        <v>28</v>
      </c>
      <c r="B110" s="5" t="str">
        <f>+'libro compras'!$AI$1</f>
        <v>281110</v>
      </c>
      <c r="C110" s="1" t="str">
        <f>+'libro compras'!Q111</f>
        <v>103</v>
      </c>
      <c r="D110" s="1">
        <f>+'libro compras'!R111</f>
        <v>0</v>
      </c>
      <c r="E110" s="12" t="str">
        <f>+'libro compras'!S111</f>
        <v/>
      </c>
      <c r="F110" s="7"/>
      <c r="G110" s="2">
        <f>+'libro compras'!AK111</f>
        <v>0</v>
      </c>
      <c r="H110" s="7"/>
      <c r="I110" s="7" t="s">
        <v>56</v>
      </c>
      <c r="J110" s="7" t="str">
        <f>+CONCATENATE('libro compras'!C111," ",'libro compras'!D111)</f>
        <v xml:space="preserve"> </v>
      </c>
      <c r="K110" s="5">
        <f>+'libro compras'!F111</f>
        <v>0</v>
      </c>
      <c r="L110" s="1">
        <f>+'libro compras'!C111</f>
        <v>0</v>
      </c>
      <c r="M110" s="5">
        <f>+'libro compras'!D111</f>
        <v>0</v>
      </c>
      <c r="N110" s="7" t="s">
        <v>57</v>
      </c>
    </row>
    <row r="111" spans="1:14" hidden="1" x14ac:dyDescent="0.25">
      <c r="A111" s="9">
        <f t="shared" si="103"/>
        <v>28</v>
      </c>
      <c r="B111" s="5" t="str">
        <f>+'libro compras'!$AJ$1</f>
        <v>401110</v>
      </c>
      <c r="C111" s="1" t="str">
        <f t="shared" ref="C111:E111" si="164">+C110</f>
        <v>103</v>
      </c>
      <c r="D111" s="1">
        <f t="shared" si="164"/>
        <v>0</v>
      </c>
      <c r="E111" s="12" t="str">
        <f t="shared" si="164"/>
        <v/>
      </c>
      <c r="F111" s="7"/>
      <c r="G111" s="2">
        <f>+'libro compras'!AJ111</f>
        <v>0</v>
      </c>
      <c r="H111" s="7"/>
      <c r="I111" s="7" t="s">
        <v>56</v>
      </c>
      <c r="J111" s="7" t="str">
        <f t="shared" ref="J111:M111" si="165">+J110</f>
        <v xml:space="preserve"> </v>
      </c>
      <c r="K111" s="5">
        <f t="shared" si="165"/>
        <v>0</v>
      </c>
      <c r="L111" s="1">
        <f t="shared" si="165"/>
        <v>0</v>
      </c>
      <c r="M111" s="1">
        <f t="shared" si="165"/>
        <v>0</v>
      </c>
      <c r="N111" s="7" t="s">
        <v>57</v>
      </c>
    </row>
    <row r="112" spans="1:14" x14ac:dyDescent="0.25">
      <c r="A112" s="9">
        <f t="shared" si="103"/>
        <v>28</v>
      </c>
      <c r="B112" s="5" t="e">
        <f>+'libro compras'!P111</f>
        <v>#N/A</v>
      </c>
      <c r="C112" s="1" t="str">
        <f t="shared" ref="C112:E112" si="166">+C111</f>
        <v>103</v>
      </c>
      <c r="D112" s="1">
        <f t="shared" si="166"/>
        <v>0</v>
      </c>
      <c r="E112" s="12" t="str">
        <f t="shared" si="166"/>
        <v/>
      </c>
      <c r="F112" s="7"/>
      <c r="G112" s="2">
        <f>-'libro compras'!AI111</f>
        <v>0</v>
      </c>
      <c r="H112" s="7"/>
      <c r="I112" s="7" t="s">
        <v>36</v>
      </c>
      <c r="J112" s="7" t="str">
        <f>+CONCATENATE('libro compras'!C111," ",'libro compras'!D111)</f>
        <v xml:space="preserve"> </v>
      </c>
      <c r="K112" s="5">
        <f t="shared" ref="K112:M112" si="167">+K111</f>
        <v>0</v>
      </c>
      <c r="L112" s="1">
        <f t="shared" si="167"/>
        <v>0</v>
      </c>
      <c r="M112" s="1">
        <f t="shared" si="167"/>
        <v>0</v>
      </c>
      <c r="N112" s="7" t="s">
        <v>57</v>
      </c>
    </row>
    <row r="113" spans="1:14" x14ac:dyDescent="0.25">
      <c r="A113" s="9">
        <f t="shared" si="103"/>
        <v>28</v>
      </c>
      <c r="B113" s="2" t="e">
        <f>+VLOOKUP(B112,Hoja1!$A$1:$B$2,2,FALSE)</f>
        <v>#N/A</v>
      </c>
      <c r="C113" s="1" t="str">
        <f t="shared" ref="C113:E113" si="168">+C112</f>
        <v>103</v>
      </c>
      <c r="D113" s="1">
        <f t="shared" si="168"/>
        <v>0</v>
      </c>
      <c r="E113" s="12" t="str">
        <f t="shared" si="168"/>
        <v/>
      </c>
      <c r="F113" s="7"/>
      <c r="G113" s="2">
        <f>-'libro compras'!AB111</f>
        <v>0</v>
      </c>
      <c r="H113" s="7"/>
      <c r="I113" s="7" t="s">
        <v>36</v>
      </c>
      <c r="J113" s="7" t="str">
        <f>+CONCATENATE('libro compras'!C111," ",'libro compras'!D111)</f>
        <v xml:space="preserve"> </v>
      </c>
      <c r="K113" s="5">
        <f t="shared" ref="K113:M113" si="169">+K112</f>
        <v>0</v>
      </c>
      <c r="L113" s="1">
        <f t="shared" si="169"/>
        <v>0</v>
      </c>
      <c r="M113" s="1">
        <f t="shared" si="169"/>
        <v>0</v>
      </c>
      <c r="N113" s="7" t="s">
        <v>57</v>
      </c>
    </row>
    <row r="114" spans="1:14" x14ac:dyDescent="0.25">
      <c r="A114" s="9">
        <f t="shared" si="103"/>
        <v>29</v>
      </c>
      <c r="B114" s="5" t="str">
        <f>+'libro compras'!$AI$1</f>
        <v>281110</v>
      </c>
      <c r="C114" s="1" t="str">
        <f>+'libro compras'!Q115</f>
        <v>103</v>
      </c>
      <c r="D114" s="1">
        <f>+'libro compras'!R115</f>
        <v>0</v>
      </c>
      <c r="E114" s="12" t="str">
        <f>+'libro compras'!S115</f>
        <v/>
      </c>
      <c r="F114" s="7"/>
      <c r="G114" s="2">
        <f>+'libro compras'!AK115</f>
        <v>0</v>
      </c>
      <c r="H114" s="7"/>
      <c r="I114" s="7" t="s">
        <v>56</v>
      </c>
      <c r="J114" s="7" t="str">
        <f>+CONCATENATE('libro compras'!C115," ",'libro compras'!D115)</f>
        <v xml:space="preserve"> </v>
      </c>
      <c r="K114" s="5">
        <f>+'libro compras'!F115</f>
        <v>0</v>
      </c>
      <c r="L114" s="1">
        <f>+'libro compras'!C115</f>
        <v>0</v>
      </c>
      <c r="M114" s="5">
        <f>+'libro compras'!D115</f>
        <v>0</v>
      </c>
      <c r="N114" s="7" t="s">
        <v>57</v>
      </c>
    </row>
    <row r="115" spans="1:14" hidden="1" x14ac:dyDescent="0.25">
      <c r="A115" s="9">
        <f t="shared" si="103"/>
        <v>29</v>
      </c>
      <c r="B115" s="5" t="str">
        <f>+'libro compras'!$AJ$1</f>
        <v>401110</v>
      </c>
      <c r="C115" s="1" t="str">
        <f t="shared" ref="C115:E115" si="170">+C114</f>
        <v>103</v>
      </c>
      <c r="D115" s="1">
        <f t="shared" si="170"/>
        <v>0</v>
      </c>
      <c r="E115" s="12" t="str">
        <f t="shared" si="170"/>
        <v/>
      </c>
      <c r="F115" s="7"/>
      <c r="G115" s="2">
        <f>+'libro compras'!AJ115</f>
        <v>0</v>
      </c>
      <c r="H115" s="7"/>
      <c r="I115" s="7" t="s">
        <v>56</v>
      </c>
      <c r="J115" s="7" t="str">
        <f t="shared" ref="J115:M115" si="171">+J114</f>
        <v xml:space="preserve"> </v>
      </c>
      <c r="K115" s="5">
        <f t="shared" si="171"/>
        <v>0</v>
      </c>
      <c r="L115" s="1">
        <f t="shared" si="171"/>
        <v>0</v>
      </c>
      <c r="M115" s="1">
        <f t="shared" si="171"/>
        <v>0</v>
      </c>
      <c r="N115" s="7" t="s">
        <v>57</v>
      </c>
    </row>
    <row r="116" spans="1:14" x14ac:dyDescent="0.25">
      <c r="A116" s="9">
        <f t="shared" si="103"/>
        <v>29</v>
      </c>
      <c r="B116" s="5" t="e">
        <f>+'libro compras'!P115</f>
        <v>#N/A</v>
      </c>
      <c r="C116" s="1" t="str">
        <f t="shared" ref="C116:E116" si="172">+C115</f>
        <v>103</v>
      </c>
      <c r="D116" s="1">
        <f t="shared" si="172"/>
        <v>0</v>
      </c>
      <c r="E116" s="12" t="str">
        <f t="shared" si="172"/>
        <v/>
      </c>
      <c r="F116" s="7"/>
      <c r="G116" s="2">
        <f>-'libro compras'!AI115</f>
        <v>0</v>
      </c>
      <c r="H116" s="7"/>
      <c r="I116" s="7" t="s">
        <v>36</v>
      </c>
      <c r="J116" s="7" t="str">
        <f>+CONCATENATE('libro compras'!C115," ",'libro compras'!D115)</f>
        <v xml:space="preserve"> </v>
      </c>
      <c r="K116" s="5">
        <f t="shared" ref="K116:M116" si="173">+K115</f>
        <v>0</v>
      </c>
      <c r="L116" s="1">
        <f t="shared" si="173"/>
        <v>0</v>
      </c>
      <c r="M116" s="1">
        <f t="shared" si="173"/>
        <v>0</v>
      </c>
      <c r="N116" s="7" t="s">
        <v>57</v>
      </c>
    </row>
    <row r="117" spans="1:14" x14ac:dyDescent="0.25">
      <c r="A117" s="9">
        <f t="shared" si="103"/>
        <v>29</v>
      </c>
      <c r="B117" s="2" t="e">
        <f>+VLOOKUP(B116,Hoja1!$A$1:$B$2,2,FALSE)</f>
        <v>#N/A</v>
      </c>
      <c r="C117" s="1" t="str">
        <f t="shared" ref="C117:E117" si="174">+C116</f>
        <v>103</v>
      </c>
      <c r="D117" s="1">
        <f t="shared" si="174"/>
        <v>0</v>
      </c>
      <c r="E117" s="12" t="str">
        <f t="shared" si="174"/>
        <v/>
      </c>
      <c r="F117" s="7"/>
      <c r="G117" s="2">
        <f>-'libro compras'!AB115</f>
        <v>0</v>
      </c>
      <c r="H117" s="7"/>
      <c r="I117" s="7" t="s">
        <v>36</v>
      </c>
      <c r="J117" s="7" t="str">
        <f>+CONCATENATE('libro compras'!C115," ",'libro compras'!D115)</f>
        <v xml:space="preserve"> </v>
      </c>
      <c r="K117" s="5">
        <f t="shared" ref="K117:M117" si="175">+K116</f>
        <v>0</v>
      </c>
      <c r="L117" s="1">
        <f t="shared" si="175"/>
        <v>0</v>
      </c>
      <c r="M117" s="1">
        <f t="shared" si="175"/>
        <v>0</v>
      </c>
      <c r="N117" s="7" t="s">
        <v>57</v>
      </c>
    </row>
    <row r="118" spans="1:14" x14ac:dyDescent="0.25">
      <c r="A118" s="9">
        <f t="shared" si="103"/>
        <v>30</v>
      </c>
      <c r="B118" s="5" t="str">
        <f>+'libro compras'!$AI$1</f>
        <v>281110</v>
      </c>
      <c r="C118" s="1" t="str">
        <f>+'libro compras'!Q119</f>
        <v>103</v>
      </c>
      <c r="D118" s="1">
        <f>+'libro compras'!R119</f>
        <v>0</v>
      </c>
      <c r="E118" s="12" t="str">
        <f>+'libro compras'!S119</f>
        <v/>
      </c>
      <c r="F118" s="7"/>
      <c r="G118" s="2">
        <f>+'libro compras'!AK119</f>
        <v>0</v>
      </c>
      <c r="H118" s="7"/>
      <c r="I118" s="7" t="s">
        <v>56</v>
      </c>
      <c r="J118" s="7" t="str">
        <f>+CONCATENATE('libro compras'!C119," ",'libro compras'!D119)</f>
        <v xml:space="preserve"> </v>
      </c>
      <c r="K118" s="5">
        <f>+'libro compras'!F119</f>
        <v>0</v>
      </c>
      <c r="L118" s="1">
        <f>+'libro compras'!C119</f>
        <v>0</v>
      </c>
      <c r="M118" s="5">
        <f>+'libro compras'!D119</f>
        <v>0</v>
      </c>
      <c r="N118" s="7" t="s">
        <v>57</v>
      </c>
    </row>
    <row r="119" spans="1:14" hidden="1" x14ac:dyDescent="0.25">
      <c r="A119" s="9">
        <f t="shared" si="103"/>
        <v>30</v>
      </c>
      <c r="B119" s="5" t="str">
        <f>+'libro compras'!$AJ$1</f>
        <v>401110</v>
      </c>
      <c r="C119" s="1" t="str">
        <f t="shared" ref="C119:E119" si="176">+C118</f>
        <v>103</v>
      </c>
      <c r="D119" s="1">
        <f t="shared" si="176"/>
        <v>0</v>
      </c>
      <c r="E119" s="12" t="str">
        <f t="shared" si="176"/>
        <v/>
      </c>
      <c r="F119" s="7"/>
      <c r="G119" s="2">
        <f>+'libro compras'!AJ119</f>
        <v>0</v>
      </c>
      <c r="H119" s="7"/>
      <c r="I119" s="7" t="s">
        <v>56</v>
      </c>
      <c r="J119" s="7" t="str">
        <f t="shared" ref="J119:M119" si="177">+J118</f>
        <v xml:space="preserve"> </v>
      </c>
      <c r="K119" s="5">
        <f t="shared" si="177"/>
        <v>0</v>
      </c>
      <c r="L119" s="1">
        <f t="shared" si="177"/>
        <v>0</v>
      </c>
      <c r="M119" s="1">
        <f t="shared" si="177"/>
        <v>0</v>
      </c>
      <c r="N119" s="7" t="s">
        <v>57</v>
      </c>
    </row>
    <row r="120" spans="1:14" x14ac:dyDescent="0.25">
      <c r="A120" s="9">
        <f t="shared" si="103"/>
        <v>30</v>
      </c>
      <c r="B120" s="5" t="e">
        <f>+'libro compras'!P119</f>
        <v>#N/A</v>
      </c>
      <c r="C120" s="1" t="str">
        <f t="shared" ref="C120:E120" si="178">+C119</f>
        <v>103</v>
      </c>
      <c r="D120" s="1">
        <f t="shared" si="178"/>
        <v>0</v>
      </c>
      <c r="E120" s="12" t="str">
        <f t="shared" si="178"/>
        <v/>
      </c>
      <c r="F120" s="7"/>
      <c r="G120" s="2">
        <f>-'libro compras'!AI119</f>
        <v>0</v>
      </c>
      <c r="H120" s="7"/>
      <c r="I120" s="7" t="s">
        <v>36</v>
      </c>
      <c r="J120" s="7" t="str">
        <f>+CONCATENATE('libro compras'!C119," ",'libro compras'!D119)</f>
        <v xml:space="preserve"> </v>
      </c>
      <c r="K120" s="5">
        <f t="shared" ref="K120:M120" si="179">+K119</f>
        <v>0</v>
      </c>
      <c r="L120" s="1">
        <f t="shared" si="179"/>
        <v>0</v>
      </c>
      <c r="M120" s="1">
        <f t="shared" si="179"/>
        <v>0</v>
      </c>
      <c r="N120" s="7" t="s">
        <v>57</v>
      </c>
    </row>
    <row r="121" spans="1:14" x14ac:dyDescent="0.25">
      <c r="A121" s="9">
        <f t="shared" si="103"/>
        <v>30</v>
      </c>
      <c r="B121" s="2" t="e">
        <f>+VLOOKUP(B120,Hoja1!$A$1:$B$2,2,FALSE)</f>
        <v>#N/A</v>
      </c>
      <c r="C121" s="1" t="str">
        <f t="shared" ref="C121:E121" si="180">+C120</f>
        <v>103</v>
      </c>
      <c r="D121" s="1">
        <f t="shared" si="180"/>
        <v>0</v>
      </c>
      <c r="E121" s="12" t="str">
        <f t="shared" si="180"/>
        <v/>
      </c>
      <c r="F121" s="7"/>
      <c r="G121" s="2">
        <f>-'libro compras'!AB119</f>
        <v>0</v>
      </c>
      <c r="H121" s="7"/>
      <c r="I121" s="7" t="s">
        <v>36</v>
      </c>
      <c r="J121" s="7" t="str">
        <f>+CONCATENATE('libro compras'!C119," ",'libro compras'!D119)</f>
        <v xml:space="preserve"> </v>
      </c>
      <c r="K121" s="5">
        <f t="shared" ref="K121:M121" si="181">+K120</f>
        <v>0</v>
      </c>
      <c r="L121" s="1">
        <f t="shared" si="181"/>
        <v>0</v>
      </c>
      <c r="M121" s="1">
        <f t="shared" si="181"/>
        <v>0</v>
      </c>
      <c r="N121" s="7" t="s">
        <v>57</v>
      </c>
    </row>
    <row r="122" spans="1:14" x14ac:dyDescent="0.25">
      <c r="A122" s="9">
        <f t="shared" si="103"/>
        <v>31</v>
      </c>
      <c r="B122" s="5" t="str">
        <f>+'libro compras'!$AI$1</f>
        <v>281110</v>
      </c>
      <c r="C122" s="1" t="str">
        <f>+'libro compras'!Q123</f>
        <v>103</v>
      </c>
      <c r="D122" s="1">
        <f>+'libro compras'!R123</f>
        <v>0</v>
      </c>
      <c r="E122" s="12" t="str">
        <f>+'libro compras'!S123</f>
        <v/>
      </c>
      <c r="F122" s="7"/>
      <c r="G122" s="2">
        <f>+'libro compras'!AK123</f>
        <v>0</v>
      </c>
      <c r="H122" s="7"/>
      <c r="I122" s="7" t="s">
        <v>56</v>
      </c>
      <c r="J122" s="7" t="str">
        <f>+CONCATENATE('libro compras'!C123," ",'libro compras'!D123)</f>
        <v xml:space="preserve"> </v>
      </c>
      <c r="K122" s="5">
        <f>+'libro compras'!F123</f>
        <v>0</v>
      </c>
      <c r="L122" s="1">
        <f>+'libro compras'!C123</f>
        <v>0</v>
      </c>
      <c r="M122" s="5">
        <f>+'libro compras'!D123</f>
        <v>0</v>
      </c>
      <c r="N122" s="7" t="s">
        <v>57</v>
      </c>
    </row>
    <row r="123" spans="1:14" hidden="1" x14ac:dyDescent="0.25">
      <c r="A123" s="9">
        <f t="shared" si="103"/>
        <v>31</v>
      </c>
      <c r="B123" s="5" t="str">
        <f>+'libro compras'!$AJ$1</f>
        <v>401110</v>
      </c>
      <c r="C123" s="1" t="str">
        <f t="shared" ref="C123:E123" si="182">+C122</f>
        <v>103</v>
      </c>
      <c r="D123" s="1">
        <f t="shared" si="182"/>
        <v>0</v>
      </c>
      <c r="E123" s="12" t="str">
        <f t="shared" si="182"/>
        <v/>
      </c>
      <c r="F123" s="7"/>
      <c r="G123" s="2">
        <f>+'libro compras'!AJ123</f>
        <v>0</v>
      </c>
      <c r="H123" s="7"/>
      <c r="I123" s="7" t="s">
        <v>56</v>
      </c>
      <c r="J123" s="7" t="str">
        <f t="shared" ref="J123:M123" si="183">+J122</f>
        <v xml:space="preserve"> </v>
      </c>
      <c r="K123" s="5">
        <f t="shared" si="183"/>
        <v>0</v>
      </c>
      <c r="L123" s="1">
        <f t="shared" si="183"/>
        <v>0</v>
      </c>
      <c r="M123" s="1">
        <f t="shared" si="183"/>
        <v>0</v>
      </c>
      <c r="N123" s="7" t="s">
        <v>57</v>
      </c>
    </row>
    <row r="124" spans="1:14" x14ac:dyDescent="0.25">
      <c r="A124" s="9">
        <f t="shared" si="103"/>
        <v>31</v>
      </c>
      <c r="B124" s="5" t="e">
        <f>+'libro compras'!P123</f>
        <v>#N/A</v>
      </c>
      <c r="C124" s="1" t="str">
        <f t="shared" ref="C124:E124" si="184">+C123</f>
        <v>103</v>
      </c>
      <c r="D124" s="1">
        <f t="shared" si="184"/>
        <v>0</v>
      </c>
      <c r="E124" s="12" t="str">
        <f t="shared" si="184"/>
        <v/>
      </c>
      <c r="F124" s="7"/>
      <c r="G124" s="2">
        <f>-'libro compras'!AI123</f>
        <v>0</v>
      </c>
      <c r="H124" s="7"/>
      <c r="I124" s="7" t="s">
        <v>36</v>
      </c>
      <c r="J124" s="7" t="str">
        <f>+CONCATENATE('libro compras'!C123," ",'libro compras'!D123)</f>
        <v xml:space="preserve"> </v>
      </c>
      <c r="K124" s="5">
        <f t="shared" ref="K124:M124" si="185">+K123</f>
        <v>0</v>
      </c>
      <c r="L124" s="1">
        <f t="shared" si="185"/>
        <v>0</v>
      </c>
      <c r="M124" s="1">
        <f t="shared" si="185"/>
        <v>0</v>
      </c>
      <c r="N124" s="7" t="s">
        <v>57</v>
      </c>
    </row>
    <row r="125" spans="1:14" x14ac:dyDescent="0.25">
      <c r="A125" s="9">
        <f t="shared" si="103"/>
        <v>31</v>
      </c>
      <c r="B125" s="2" t="e">
        <f>+VLOOKUP(B124,Hoja1!$A$1:$B$2,2,FALSE)</f>
        <v>#N/A</v>
      </c>
      <c r="C125" s="1" t="str">
        <f t="shared" ref="C125:E125" si="186">+C124</f>
        <v>103</v>
      </c>
      <c r="D125" s="1">
        <f t="shared" si="186"/>
        <v>0</v>
      </c>
      <c r="E125" s="12" t="str">
        <f t="shared" si="186"/>
        <v/>
      </c>
      <c r="F125" s="7"/>
      <c r="G125" s="2">
        <f>-'libro compras'!AB123</f>
        <v>0</v>
      </c>
      <c r="H125" s="7"/>
      <c r="I125" s="7" t="s">
        <v>36</v>
      </c>
      <c r="J125" s="7" t="str">
        <f>+CONCATENATE('libro compras'!C123," ",'libro compras'!D123)</f>
        <v xml:space="preserve"> </v>
      </c>
      <c r="K125" s="5">
        <f t="shared" ref="K125:M125" si="187">+K124</f>
        <v>0</v>
      </c>
      <c r="L125" s="1">
        <f t="shared" si="187"/>
        <v>0</v>
      </c>
      <c r="M125" s="1">
        <f t="shared" si="187"/>
        <v>0</v>
      </c>
      <c r="N125" s="7" t="s">
        <v>57</v>
      </c>
    </row>
    <row r="126" spans="1:14" x14ac:dyDescent="0.25">
      <c r="A126" s="9">
        <f t="shared" si="103"/>
        <v>32</v>
      </c>
      <c r="B126" s="5" t="str">
        <f>+'libro compras'!$AI$1</f>
        <v>281110</v>
      </c>
      <c r="C126" s="1" t="str">
        <f>+'libro compras'!Q127</f>
        <v>103</v>
      </c>
      <c r="D126" s="1">
        <f>+'libro compras'!R127</f>
        <v>0</v>
      </c>
      <c r="E126" s="12" t="str">
        <f>+'libro compras'!S127</f>
        <v/>
      </c>
      <c r="F126" s="7"/>
      <c r="G126" s="2">
        <f>+'libro compras'!AK127</f>
        <v>0</v>
      </c>
      <c r="H126" s="7"/>
      <c r="I126" s="7" t="s">
        <v>56</v>
      </c>
      <c r="J126" s="7" t="str">
        <f>+CONCATENATE('libro compras'!C127," ",'libro compras'!D127)</f>
        <v xml:space="preserve"> </v>
      </c>
      <c r="K126" s="5">
        <f>+'libro compras'!F127</f>
        <v>0</v>
      </c>
      <c r="L126" s="1">
        <f>+'libro compras'!C127</f>
        <v>0</v>
      </c>
      <c r="M126" s="5">
        <f>+'libro compras'!D127</f>
        <v>0</v>
      </c>
      <c r="N126" s="7" t="s">
        <v>57</v>
      </c>
    </row>
    <row r="127" spans="1:14" hidden="1" x14ac:dyDescent="0.25">
      <c r="A127" s="9">
        <f t="shared" si="103"/>
        <v>32</v>
      </c>
      <c r="B127" s="5" t="str">
        <f>+'libro compras'!$AJ$1</f>
        <v>401110</v>
      </c>
      <c r="C127" s="1" t="str">
        <f t="shared" ref="C127:E127" si="188">+C126</f>
        <v>103</v>
      </c>
      <c r="D127" s="1">
        <f t="shared" si="188"/>
        <v>0</v>
      </c>
      <c r="E127" s="12" t="str">
        <f t="shared" si="188"/>
        <v/>
      </c>
      <c r="F127" s="7"/>
      <c r="G127" s="2">
        <f>+'libro compras'!AJ127</f>
        <v>0</v>
      </c>
      <c r="H127" s="7"/>
      <c r="I127" s="7" t="s">
        <v>56</v>
      </c>
      <c r="J127" s="7" t="str">
        <f t="shared" ref="J127:M127" si="189">+J126</f>
        <v xml:space="preserve"> </v>
      </c>
      <c r="K127" s="5">
        <f t="shared" si="189"/>
        <v>0</v>
      </c>
      <c r="L127" s="1">
        <f t="shared" si="189"/>
        <v>0</v>
      </c>
      <c r="M127" s="1">
        <f t="shared" si="189"/>
        <v>0</v>
      </c>
      <c r="N127" s="7" t="s">
        <v>57</v>
      </c>
    </row>
    <row r="128" spans="1:14" x14ac:dyDescent="0.25">
      <c r="A128" s="9">
        <f t="shared" si="103"/>
        <v>32</v>
      </c>
      <c r="B128" s="5" t="e">
        <f>+'libro compras'!P127</f>
        <v>#N/A</v>
      </c>
      <c r="C128" s="1" t="str">
        <f t="shared" ref="C128:E128" si="190">+C127</f>
        <v>103</v>
      </c>
      <c r="D128" s="1">
        <f t="shared" si="190"/>
        <v>0</v>
      </c>
      <c r="E128" s="12" t="str">
        <f t="shared" si="190"/>
        <v/>
      </c>
      <c r="F128" s="7"/>
      <c r="G128" s="2">
        <f>-'libro compras'!AI127</f>
        <v>0</v>
      </c>
      <c r="H128" s="7"/>
      <c r="I128" s="7" t="s">
        <v>36</v>
      </c>
      <c r="J128" s="7" t="str">
        <f>+CONCATENATE('libro compras'!C127," ",'libro compras'!D127)</f>
        <v xml:space="preserve"> </v>
      </c>
      <c r="K128" s="5">
        <f t="shared" ref="K128:M128" si="191">+K127</f>
        <v>0</v>
      </c>
      <c r="L128" s="1">
        <f t="shared" si="191"/>
        <v>0</v>
      </c>
      <c r="M128" s="1">
        <f t="shared" si="191"/>
        <v>0</v>
      </c>
      <c r="N128" s="7" t="s">
        <v>57</v>
      </c>
    </row>
    <row r="129" spans="1:14" x14ac:dyDescent="0.25">
      <c r="A129" s="9">
        <f t="shared" si="103"/>
        <v>32</v>
      </c>
      <c r="B129" s="2" t="e">
        <f>+VLOOKUP(B128,Hoja1!$A$1:$B$2,2,FALSE)</f>
        <v>#N/A</v>
      </c>
      <c r="C129" s="1" t="str">
        <f t="shared" ref="C129:E129" si="192">+C128</f>
        <v>103</v>
      </c>
      <c r="D129" s="1">
        <f t="shared" si="192"/>
        <v>0</v>
      </c>
      <c r="E129" s="12" t="str">
        <f t="shared" si="192"/>
        <v/>
      </c>
      <c r="F129" s="7"/>
      <c r="G129" s="2">
        <f>-'libro compras'!AB127</f>
        <v>0</v>
      </c>
      <c r="H129" s="7"/>
      <c r="I129" s="7" t="s">
        <v>36</v>
      </c>
      <c r="J129" s="7" t="str">
        <f>+CONCATENATE('libro compras'!C127," ",'libro compras'!D127)</f>
        <v xml:space="preserve"> </v>
      </c>
      <c r="K129" s="5">
        <f t="shared" ref="K129:M129" si="193">+K128</f>
        <v>0</v>
      </c>
      <c r="L129" s="1">
        <f t="shared" si="193"/>
        <v>0</v>
      </c>
      <c r="M129" s="1">
        <f t="shared" si="193"/>
        <v>0</v>
      </c>
      <c r="N129" s="7" t="s">
        <v>57</v>
      </c>
    </row>
    <row r="130" spans="1:14" x14ac:dyDescent="0.25">
      <c r="A130" s="9">
        <f t="shared" si="103"/>
        <v>33</v>
      </c>
      <c r="B130" s="5" t="str">
        <f>+'libro compras'!$AI$1</f>
        <v>281110</v>
      </c>
      <c r="C130" s="1" t="str">
        <f>+'libro compras'!Q131</f>
        <v>103</v>
      </c>
      <c r="D130" s="1">
        <f>+'libro compras'!R131</f>
        <v>0</v>
      </c>
      <c r="E130" s="12" t="str">
        <f>+'libro compras'!S131</f>
        <v/>
      </c>
      <c r="F130" s="7"/>
      <c r="G130" s="2">
        <f>+'libro compras'!AK131</f>
        <v>0</v>
      </c>
      <c r="H130" s="7"/>
      <c r="I130" s="7" t="s">
        <v>56</v>
      </c>
      <c r="J130" s="7" t="str">
        <f>+CONCATENATE('libro compras'!C131," ",'libro compras'!D131)</f>
        <v xml:space="preserve"> </v>
      </c>
      <c r="K130" s="5">
        <f>+'libro compras'!F131</f>
        <v>0</v>
      </c>
      <c r="L130" s="1">
        <f>+'libro compras'!C131</f>
        <v>0</v>
      </c>
      <c r="M130" s="5">
        <f>+'libro compras'!D131</f>
        <v>0</v>
      </c>
      <c r="N130" s="7" t="s">
        <v>57</v>
      </c>
    </row>
    <row r="131" spans="1:14" hidden="1" x14ac:dyDescent="0.25">
      <c r="A131" s="9">
        <f t="shared" si="103"/>
        <v>33</v>
      </c>
      <c r="B131" s="5" t="str">
        <f>+'libro compras'!$AJ$1</f>
        <v>401110</v>
      </c>
      <c r="C131" s="1" t="str">
        <f t="shared" ref="C131:E131" si="194">+C130</f>
        <v>103</v>
      </c>
      <c r="D131" s="1">
        <f t="shared" si="194"/>
        <v>0</v>
      </c>
      <c r="E131" s="12" t="str">
        <f t="shared" si="194"/>
        <v/>
      </c>
      <c r="F131" s="7"/>
      <c r="G131" s="2">
        <f>+'libro compras'!AJ131</f>
        <v>0</v>
      </c>
      <c r="H131" s="7"/>
      <c r="I131" s="7" t="s">
        <v>56</v>
      </c>
      <c r="J131" s="7" t="str">
        <f t="shared" ref="J131:M131" si="195">+J130</f>
        <v xml:space="preserve"> </v>
      </c>
      <c r="K131" s="5">
        <f t="shared" si="195"/>
        <v>0</v>
      </c>
      <c r="L131" s="1">
        <f t="shared" si="195"/>
        <v>0</v>
      </c>
      <c r="M131" s="1">
        <f t="shared" si="195"/>
        <v>0</v>
      </c>
      <c r="N131" s="7" t="s">
        <v>57</v>
      </c>
    </row>
    <row r="132" spans="1:14" x14ac:dyDescent="0.25">
      <c r="A132" s="9">
        <f t="shared" si="103"/>
        <v>33</v>
      </c>
      <c r="B132" s="5" t="e">
        <f>+'libro compras'!P131</f>
        <v>#N/A</v>
      </c>
      <c r="C132" s="1" t="str">
        <f t="shared" ref="C132:E132" si="196">+C131</f>
        <v>103</v>
      </c>
      <c r="D132" s="1">
        <f t="shared" si="196"/>
        <v>0</v>
      </c>
      <c r="E132" s="12" t="str">
        <f t="shared" si="196"/>
        <v/>
      </c>
      <c r="F132" s="7"/>
      <c r="G132" s="2">
        <f>-'libro compras'!AI131</f>
        <v>0</v>
      </c>
      <c r="H132" s="7"/>
      <c r="I132" s="7" t="s">
        <v>36</v>
      </c>
      <c r="J132" s="7" t="str">
        <f>+CONCATENATE('libro compras'!C131," ",'libro compras'!D131)</f>
        <v xml:space="preserve"> </v>
      </c>
      <c r="K132" s="5">
        <f t="shared" ref="K132:M132" si="197">+K131</f>
        <v>0</v>
      </c>
      <c r="L132" s="1">
        <f t="shared" si="197"/>
        <v>0</v>
      </c>
      <c r="M132" s="1">
        <f t="shared" si="197"/>
        <v>0</v>
      </c>
      <c r="N132" s="7" t="s">
        <v>57</v>
      </c>
    </row>
    <row r="133" spans="1:14" x14ac:dyDescent="0.25">
      <c r="A133" s="9">
        <f t="shared" si="103"/>
        <v>33</v>
      </c>
      <c r="B133" s="2" t="e">
        <f>+VLOOKUP(B132,Hoja1!$A$1:$B$2,2,FALSE)</f>
        <v>#N/A</v>
      </c>
      <c r="C133" s="1" t="str">
        <f t="shared" ref="C133:E133" si="198">+C132</f>
        <v>103</v>
      </c>
      <c r="D133" s="1">
        <f t="shared" si="198"/>
        <v>0</v>
      </c>
      <c r="E133" s="12" t="str">
        <f t="shared" si="198"/>
        <v/>
      </c>
      <c r="F133" s="7"/>
      <c r="G133" s="2">
        <f>-'libro compras'!AB131</f>
        <v>0</v>
      </c>
      <c r="H133" s="7"/>
      <c r="I133" s="7" t="s">
        <v>36</v>
      </c>
      <c r="J133" s="7" t="str">
        <f>+CONCATENATE('libro compras'!C131," ",'libro compras'!D131)</f>
        <v xml:space="preserve"> </v>
      </c>
      <c r="K133" s="5">
        <f t="shared" ref="K133:M133" si="199">+K132</f>
        <v>0</v>
      </c>
      <c r="L133" s="1">
        <f t="shared" si="199"/>
        <v>0</v>
      </c>
      <c r="M133" s="1">
        <f t="shared" si="199"/>
        <v>0</v>
      </c>
      <c r="N133" s="7" t="s">
        <v>57</v>
      </c>
    </row>
    <row r="134" spans="1:14" x14ac:dyDescent="0.25">
      <c r="A134" s="9">
        <f t="shared" ref="A134:A197" si="200">1+A130</f>
        <v>34</v>
      </c>
      <c r="B134" s="5" t="str">
        <f>+'libro compras'!$AI$1</f>
        <v>281110</v>
      </c>
      <c r="C134" s="1" t="str">
        <f>+'libro compras'!Q135</f>
        <v>103</v>
      </c>
      <c r="D134" s="1">
        <f>+'libro compras'!R135</f>
        <v>0</v>
      </c>
      <c r="E134" s="12" t="str">
        <f>+'libro compras'!S135</f>
        <v/>
      </c>
      <c r="F134" s="7"/>
      <c r="G134" s="2">
        <f>+'libro compras'!AK135</f>
        <v>0</v>
      </c>
      <c r="H134" s="7"/>
      <c r="I134" s="7" t="s">
        <v>56</v>
      </c>
      <c r="J134" s="7" t="str">
        <f>+CONCATENATE('libro compras'!C135," ",'libro compras'!D135)</f>
        <v xml:space="preserve"> </v>
      </c>
      <c r="K134" s="5">
        <f>+'libro compras'!F135</f>
        <v>0</v>
      </c>
      <c r="L134" s="1">
        <f>+'libro compras'!C135</f>
        <v>0</v>
      </c>
      <c r="M134" s="5">
        <f>+'libro compras'!D135</f>
        <v>0</v>
      </c>
      <c r="N134" s="7" t="s">
        <v>57</v>
      </c>
    </row>
    <row r="135" spans="1:14" hidden="1" x14ac:dyDescent="0.25">
      <c r="A135" s="9">
        <f t="shared" si="200"/>
        <v>34</v>
      </c>
      <c r="B135" s="5" t="str">
        <f>+'libro compras'!$AJ$1</f>
        <v>401110</v>
      </c>
      <c r="C135" s="1" t="str">
        <f t="shared" ref="C135:E135" si="201">+C134</f>
        <v>103</v>
      </c>
      <c r="D135" s="1">
        <f t="shared" si="201"/>
        <v>0</v>
      </c>
      <c r="E135" s="12" t="str">
        <f t="shared" si="201"/>
        <v/>
      </c>
      <c r="F135" s="7"/>
      <c r="G135" s="2">
        <f>+'libro compras'!AJ135</f>
        <v>0</v>
      </c>
      <c r="H135" s="7"/>
      <c r="I135" s="7" t="s">
        <v>56</v>
      </c>
      <c r="J135" s="7" t="str">
        <f t="shared" ref="J135:M135" si="202">+J134</f>
        <v xml:space="preserve"> </v>
      </c>
      <c r="K135" s="5">
        <f t="shared" si="202"/>
        <v>0</v>
      </c>
      <c r="L135" s="1">
        <f t="shared" si="202"/>
        <v>0</v>
      </c>
      <c r="M135" s="1">
        <f t="shared" si="202"/>
        <v>0</v>
      </c>
      <c r="N135" s="7" t="s">
        <v>57</v>
      </c>
    </row>
    <row r="136" spans="1:14" x14ac:dyDescent="0.25">
      <c r="A136" s="9">
        <f t="shared" si="200"/>
        <v>34</v>
      </c>
      <c r="B136" s="5" t="e">
        <f>+'libro compras'!P135</f>
        <v>#N/A</v>
      </c>
      <c r="C136" s="1" t="str">
        <f t="shared" ref="C136:E136" si="203">+C135</f>
        <v>103</v>
      </c>
      <c r="D136" s="1">
        <f t="shared" si="203"/>
        <v>0</v>
      </c>
      <c r="E136" s="12" t="str">
        <f t="shared" si="203"/>
        <v/>
      </c>
      <c r="F136" s="7"/>
      <c r="G136" s="2">
        <f>-'libro compras'!AI135</f>
        <v>0</v>
      </c>
      <c r="H136" s="7"/>
      <c r="I136" s="7" t="s">
        <v>36</v>
      </c>
      <c r="J136" s="7" t="str">
        <f>+CONCATENATE('libro compras'!C135," ",'libro compras'!D135)</f>
        <v xml:space="preserve"> </v>
      </c>
      <c r="K136" s="5">
        <f t="shared" ref="K136:M136" si="204">+K135</f>
        <v>0</v>
      </c>
      <c r="L136" s="1">
        <f t="shared" si="204"/>
        <v>0</v>
      </c>
      <c r="M136" s="1">
        <f t="shared" si="204"/>
        <v>0</v>
      </c>
      <c r="N136" s="7" t="s">
        <v>57</v>
      </c>
    </row>
    <row r="137" spans="1:14" x14ac:dyDescent="0.25">
      <c r="A137" s="9">
        <f t="shared" si="200"/>
        <v>34</v>
      </c>
      <c r="B137" s="2" t="e">
        <f>+VLOOKUP(B136,Hoja1!$A$1:$B$2,2,FALSE)</f>
        <v>#N/A</v>
      </c>
      <c r="C137" s="1" t="str">
        <f t="shared" ref="C137:E137" si="205">+C136</f>
        <v>103</v>
      </c>
      <c r="D137" s="1">
        <f t="shared" si="205"/>
        <v>0</v>
      </c>
      <c r="E137" s="12" t="str">
        <f t="shared" si="205"/>
        <v/>
      </c>
      <c r="F137" s="7"/>
      <c r="G137" s="2">
        <f>-'libro compras'!AB135</f>
        <v>0</v>
      </c>
      <c r="H137" s="7"/>
      <c r="I137" s="7" t="s">
        <v>36</v>
      </c>
      <c r="J137" s="7" t="str">
        <f>+CONCATENATE('libro compras'!C135," ",'libro compras'!D135)</f>
        <v xml:space="preserve"> </v>
      </c>
      <c r="K137" s="5">
        <f t="shared" ref="K137:M137" si="206">+K136</f>
        <v>0</v>
      </c>
      <c r="L137" s="1">
        <f t="shared" si="206"/>
        <v>0</v>
      </c>
      <c r="M137" s="1">
        <f t="shared" si="206"/>
        <v>0</v>
      </c>
      <c r="N137" s="7" t="s">
        <v>57</v>
      </c>
    </row>
    <row r="138" spans="1:14" x14ac:dyDescent="0.25">
      <c r="A138" s="9">
        <f t="shared" si="200"/>
        <v>35</v>
      </c>
      <c r="B138" s="5" t="str">
        <f>+'libro compras'!$AI$1</f>
        <v>281110</v>
      </c>
      <c r="C138" s="1" t="str">
        <f>+'libro compras'!Q139</f>
        <v>103</v>
      </c>
      <c r="D138" s="1">
        <f>+'libro compras'!R139</f>
        <v>0</v>
      </c>
      <c r="E138" s="12" t="str">
        <f>+'libro compras'!S139</f>
        <v/>
      </c>
      <c r="F138" s="7"/>
      <c r="G138" s="2">
        <f>+'libro compras'!AK139</f>
        <v>0</v>
      </c>
      <c r="H138" s="7"/>
      <c r="I138" s="7" t="s">
        <v>56</v>
      </c>
      <c r="J138" s="7" t="str">
        <f>+CONCATENATE('libro compras'!C139," ",'libro compras'!D139)</f>
        <v xml:space="preserve"> </v>
      </c>
      <c r="K138" s="5">
        <f>+'libro compras'!F139</f>
        <v>0</v>
      </c>
      <c r="L138" s="1">
        <f>+'libro compras'!C139</f>
        <v>0</v>
      </c>
      <c r="M138" s="5">
        <f>+'libro compras'!D139</f>
        <v>0</v>
      </c>
      <c r="N138" s="7" t="s">
        <v>57</v>
      </c>
    </row>
    <row r="139" spans="1:14" hidden="1" x14ac:dyDescent="0.25">
      <c r="A139" s="9">
        <f t="shared" si="200"/>
        <v>35</v>
      </c>
      <c r="B139" s="5" t="str">
        <f>+'libro compras'!$AJ$1</f>
        <v>401110</v>
      </c>
      <c r="C139" s="1" t="str">
        <f t="shared" ref="C139:E139" si="207">+C138</f>
        <v>103</v>
      </c>
      <c r="D139" s="1">
        <f t="shared" si="207"/>
        <v>0</v>
      </c>
      <c r="E139" s="12" t="str">
        <f t="shared" si="207"/>
        <v/>
      </c>
      <c r="F139" s="7"/>
      <c r="G139" s="2">
        <f>+'libro compras'!AJ139</f>
        <v>0</v>
      </c>
      <c r="H139" s="7"/>
      <c r="I139" s="7" t="s">
        <v>56</v>
      </c>
      <c r="J139" s="7" t="str">
        <f t="shared" ref="J139:M139" si="208">+J138</f>
        <v xml:space="preserve"> </v>
      </c>
      <c r="K139" s="5">
        <f t="shared" si="208"/>
        <v>0</v>
      </c>
      <c r="L139" s="1">
        <f t="shared" si="208"/>
        <v>0</v>
      </c>
      <c r="M139" s="1">
        <f t="shared" si="208"/>
        <v>0</v>
      </c>
      <c r="N139" s="7" t="s">
        <v>57</v>
      </c>
    </row>
    <row r="140" spans="1:14" x14ac:dyDescent="0.25">
      <c r="A140" s="9">
        <f t="shared" si="200"/>
        <v>35</v>
      </c>
      <c r="B140" s="5" t="e">
        <f>+'libro compras'!P139</f>
        <v>#N/A</v>
      </c>
      <c r="C140" s="1" t="str">
        <f t="shared" ref="C140:E140" si="209">+C139</f>
        <v>103</v>
      </c>
      <c r="D140" s="1">
        <f t="shared" si="209"/>
        <v>0</v>
      </c>
      <c r="E140" s="12" t="str">
        <f t="shared" si="209"/>
        <v/>
      </c>
      <c r="F140" s="7"/>
      <c r="G140" s="2">
        <f>-'libro compras'!AI139</f>
        <v>0</v>
      </c>
      <c r="H140" s="7"/>
      <c r="I140" s="7" t="s">
        <v>36</v>
      </c>
      <c r="J140" s="7" t="str">
        <f>+CONCATENATE('libro compras'!C139," ",'libro compras'!D139)</f>
        <v xml:space="preserve"> </v>
      </c>
      <c r="K140" s="5">
        <f t="shared" ref="K140:M140" si="210">+K139</f>
        <v>0</v>
      </c>
      <c r="L140" s="1">
        <f t="shared" si="210"/>
        <v>0</v>
      </c>
      <c r="M140" s="1">
        <f t="shared" si="210"/>
        <v>0</v>
      </c>
      <c r="N140" s="7" t="s">
        <v>57</v>
      </c>
    </row>
    <row r="141" spans="1:14" x14ac:dyDescent="0.25">
      <c r="A141" s="9">
        <f t="shared" si="200"/>
        <v>35</v>
      </c>
      <c r="B141" s="2" t="e">
        <f>+VLOOKUP(B140,Hoja1!$A$1:$B$2,2,FALSE)</f>
        <v>#N/A</v>
      </c>
      <c r="C141" s="1" t="str">
        <f t="shared" ref="C141:E141" si="211">+C140</f>
        <v>103</v>
      </c>
      <c r="D141" s="1">
        <f t="shared" si="211"/>
        <v>0</v>
      </c>
      <c r="E141" s="12" t="str">
        <f t="shared" si="211"/>
        <v/>
      </c>
      <c r="F141" s="7"/>
      <c r="G141" s="2">
        <f>-'libro compras'!AB139</f>
        <v>0</v>
      </c>
      <c r="H141" s="7"/>
      <c r="I141" s="7" t="s">
        <v>36</v>
      </c>
      <c r="J141" s="7" t="str">
        <f>+CONCATENATE('libro compras'!C139," ",'libro compras'!D139)</f>
        <v xml:space="preserve"> </v>
      </c>
      <c r="K141" s="5">
        <f t="shared" ref="K141:M141" si="212">+K140</f>
        <v>0</v>
      </c>
      <c r="L141" s="1">
        <f t="shared" si="212"/>
        <v>0</v>
      </c>
      <c r="M141" s="1">
        <f t="shared" si="212"/>
        <v>0</v>
      </c>
      <c r="N141" s="7" t="s">
        <v>57</v>
      </c>
    </row>
    <row r="142" spans="1:14" x14ac:dyDescent="0.25">
      <c r="A142" s="9">
        <f t="shared" si="200"/>
        <v>36</v>
      </c>
      <c r="B142" s="5" t="str">
        <f>+'libro compras'!$AI$1</f>
        <v>281110</v>
      </c>
      <c r="C142" s="1" t="str">
        <f>+'libro compras'!Q143</f>
        <v>103</v>
      </c>
      <c r="D142" s="1">
        <f>+'libro compras'!R143</f>
        <v>0</v>
      </c>
      <c r="E142" s="12" t="str">
        <f>+'libro compras'!S143</f>
        <v/>
      </c>
      <c r="F142" s="7"/>
      <c r="G142" s="2">
        <f>+'libro compras'!AK143</f>
        <v>0</v>
      </c>
      <c r="H142" s="7"/>
      <c r="I142" s="7" t="s">
        <v>56</v>
      </c>
      <c r="J142" s="7" t="str">
        <f>+CONCATENATE('libro compras'!C143," ",'libro compras'!D143)</f>
        <v xml:space="preserve"> </v>
      </c>
      <c r="K142" s="5">
        <f>+'libro compras'!F143</f>
        <v>0</v>
      </c>
      <c r="L142" s="1">
        <f>+'libro compras'!C143</f>
        <v>0</v>
      </c>
      <c r="M142" s="5">
        <f>+'libro compras'!D143</f>
        <v>0</v>
      </c>
      <c r="N142" s="7" t="s">
        <v>57</v>
      </c>
    </row>
    <row r="143" spans="1:14" hidden="1" x14ac:dyDescent="0.25">
      <c r="A143" s="9">
        <f t="shared" si="200"/>
        <v>36</v>
      </c>
      <c r="B143" s="5" t="str">
        <f>+'libro compras'!$AJ$1</f>
        <v>401110</v>
      </c>
      <c r="C143" s="1" t="str">
        <f t="shared" ref="C143:E143" si="213">+C142</f>
        <v>103</v>
      </c>
      <c r="D143" s="1">
        <f t="shared" si="213"/>
        <v>0</v>
      </c>
      <c r="E143" s="12" t="str">
        <f t="shared" si="213"/>
        <v/>
      </c>
      <c r="F143" s="7"/>
      <c r="G143" s="2">
        <f>+'libro compras'!AJ143</f>
        <v>0</v>
      </c>
      <c r="H143" s="7"/>
      <c r="I143" s="7" t="s">
        <v>56</v>
      </c>
      <c r="J143" s="7" t="str">
        <f t="shared" ref="J143:M143" si="214">+J142</f>
        <v xml:space="preserve"> </v>
      </c>
      <c r="K143" s="5">
        <f t="shared" si="214"/>
        <v>0</v>
      </c>
      <c r="L143" s="1">
        <f t="shared" si="214"/>
        <v>0</v>
      </c>
      <c r="M143" s="1">
        <f t="shared" si="214"/>
        <v>0</v>
      </c>
      <c r="N143" s="7" t="s">
        <v>57</v>
      </c>
    </row>
    <row r="144" spans="1:14" x14ac:dyDescent="0.25">
      <c r="A144" s="9">
        <f t="shared" si="200"/>
        <v>36</v>
      </c>
      <c r="B144" s="5" t="e">
        <f>+'libro compras'!P143</f>
        <v>#N/A</v>
      </c>
      <c r="C144" s="1" t="str">
        <f t="shared" ref="C144:E144" si="215">+C143</f>
        <v>103</v>
      </c>
      <c r="D144" s="1">
        <f t="shared" si="215"/>
        <v>0</v>
      </c>
      <c r="E144" s="12" t="str">
        <f t="shared" si="215"/>
        <v/>
      </c>
      <c r="F144" s="7"/>
      <c r="G144" s="2">
        <f>-'libro compras'!AI143</f>
        <v>0</v>
      </c>
      <c r="H144" s="7"/>
      <c r="I144" s="7" t="s">
        <v>36</v>
      </c>
      <c r="J144" s="7" t="str">
        <f>+CONCATENATE('libro compras'!C143," ",'libro compras'!D143)</f>
        <v xml:space="preserve"> </v>
      </c>
      <c r="K144" s="5">
        <f t="shared" ref="K144:M144" si="216">+K143</f>
        <v>0</v>
      </c>
      <c r="L144" s="1">
        <f t="shared" si="216"/>
        <v>0</v>
      </c>
      <c r="M144" s="1">
        <f t="shared" si="216"/>
        <v>0</v>
      </c>
      <c r="N144" s="7" t="s">
        <v>57</v>
      </c>
    </row>
    <row r="145" spans="1:14" x14ac:dyDescent="0.25">
      <c r="A145" s="9">
        <f t="shared" si="200"/>
        <v>36</v>
      </c>
      <c r="B145" s="2" t="e">
        <f>+VLOOKUP(B144,Hoja1!$A$1:$B$2,2,FALSE)</f>
        <v>#N/A</v>
      </c>
      <c r="C145" s="1" t="str">
        <f t="shared" ref="C145:E145" si="217">+C144</f>
        <v>103</v>
      </c>
      <c r="D145" s="1">
        <f t="shared" si="217"/>
        <v>0</v>
      </c>
      <c r="E145" s="12" t="str">
        <f t="shared" si="217"/>
        <v/>
      </c>
      <c r="F145" s="7"/>
      <c r="G145" s="2">
        <f>-'libro compras'!AB143</f>
        <v>0</v>
      </c>
      <c r="H145" s="7"/>
      <c r="I145" s="7" t="s">
        <v>36</v>
      </c>
      <c r="J145" s="7" t="str">
        <f>+CONCATENATE('libro compras'!C143," ",'libro compras'!D143)</f>
        <v xml:space="preserve"> </v>
      </c>
      <c r="K145" s="5">
        <f t="shared" ref="K145:M145" si="218">+K144</f>
        <v>0</v>
      </c>
      <c r="L145" s="1">
        <f t="shared" si="218"/>
        <v>0</v>
      </c>
      <c r="M145" s="1">
        <f t="shared" si="218"/>
        <v>0</v>
      </c>
      <c r="N145" s="7" t="s">
        <v>57</v>
      </c>
    </row>
    <row r="146" spans="1:14" x14ac:dyDescent="0.25">
      <c r="A146" s="9">
        <f t="shared" si="200"/>
        <v>37</v>
      </c>
      <c r="B146" s="5" t="str">
        <f>+'libro compras'!$AI$1</f>
        <v>281110</v>
      </c>
      <c r="C146" s="1" t="str">
        <f>+'libro compras'!Q147</f>
        <v>103</v>
      </c>
      <c r="D146" s="1">
        <f>+'libro compras'!R147</f>
        <v>0</v>
      </c>
      <c r="E146" s="12" t="str">
        <f>+'libro compras'!S147</f>
        <v/>
      </c>
      <c r="F146" s="7"/>
      <c r="G146" s="2">
        <f>+'libro compras'!AK147</f>
        <v>0</v>
      </c>
      <c r="H146" s="7"/>
      <c r="I146" s="7" t="s">
        <v>56</v>
      </c>
      <c r="J146" s="7" t="str">
        <f>+CONCATENATE('libro compras'!C147," ",'libro compras'!D147)</f>
        <v xml:space="preserve"> </v>
      </c>
      <c r="K146" s="5">
        <f>+'libro compras'!F147</f>
        <v>0</v>
      </c>
      <c r="L146" s="1">
        <f>+'libro compras'!C147</f>
        <v>0</v>
      </c>
      <c r="M146" s="5">
        <f>+'libro compras'!D147</f>
        <v>0</v>
      </c>
      <c r="N146" s="7" t="s">
        <v>57</v>
      </c>
    </row>
    <row r="147" spans="1:14" hidden="1" x14ac:dyDescent="0.25">
      <c r="A147" s="9">
        <f t="shared" si="200"/>
        <v>37</v>
      </c>
      <c r="B147" s="5" t="str">
        <f>+'libro compras'!$AJ$1</f>
        <v>401110</v>
      </c>
      <c r="C147" s="1" t="str">
        <f t="shared" ref="C147:E147" si="219">+C146</f>
        <v>103</v>
      </c>
      <c r="D147" s="1">
        <f t="shared" si="219"/>
        <v>0</v>
      </c>
      <c r="E147" s="12" t="str">
        <f t="shared" si="219"/>
        <v/>
      </c>
      <c r="F147" s="7"/>
      <c r="G147" s="2">
        <f>+'libro compras'!AJ147</f>
        <v>0</v>
      </c>
      <c r="H147" s="7"/>
      <c r="I147" s="7" t="s">
        <v>56</v>
      </c>
      <c r="J147" s="7" t="str">
        <f t="shared" ref="J147:M147" si="220">+J146</f>
        <v xml:space="preserve"> </v>
      </c>
      <c r="K147" s="5">
        <f t="shared" si="220"/>
        <v>0</v>
      </c>
      <c r="L147" s="1">
        <f t="shared" si="220"/>
        <v>0</v>
      </c>
      <c r="M147" s="1">
        <f t="shared" si="220"/>
        <v>0</v>
      </c>
      <c r="N147" s="7" t="s">
        <v>57</v>
      </c>
    </row>
    <row r="148" spans="1:14" x14ac:dyDescent="0.25">
      <c r="A148" s="9">
        <f t="shared" si="200"/>
        <v>37</v>
      </c>
      <c r="B148" s="5" t="e">
        <f>+'libro compras'!P147</f>
        <v>#N/A</v>
      </c>
      <c r="C148" s="1" t="str">
        <f t="shared" ref="C148:E148" si="221">+C147</f>
        <v>103</v>
      </c>
      <c r="D148" s="1">
        <f t="shared" si="221"/>
        <v>0</v>
      </c>
      <c r="E148" s="12" t="str">
        <f t="shared" si="221"/>
        <v/>
      </c>
      <c r="F148" s="7"/>
      <c r="G148" s="2">
        <f>-'libro compras'!AI147</f>
        <v>0</v>
      </c>
      <c r="H148" s="7"/>
      <c r="I148" s="7" t="s">
        <v>36</v>
      </c>
      <c r="J148" s="7" t="str">
        <f>+CONCATENATE('libro compras'!C147," ",'libro compras'!D147)</f>
        <v xml:space="preserve"> </v>
      </c>
      <c r="K148" s="5">
        <f t="shared" ref="K148:M148" si="222">+K147</f>
        <v>0</v>
      </c>
      <c r="L148" s="1">
        <f t="shared" si="222"/>
        <v>0</v>
      </c>
      <c r="M148" s="1">
        <f t="shared" si="222"/>
        <v>0</v>
      </c>
      <c r="N148" s="7" t="s">
        <v>57</v>
      </c>
    </row>
    <row r="149" spans="1:14" x14ac:dyDescent="0.25">
      <c r="A149" s="9">
        <f t="shared" si="200"/>
        <v>37</v>
      </c>
      <c r="B149" s="2" t="e">
        <f>+VLOOKUP(B148,Hoja1!$A$1:$B$2,2,FALSE)</f>
        <v>#N/A</v>
      </c>
      <c r="C149" s="1" t="str">
        <f t="shared" ref="C149:E149" si="223">+C148</f>
        <v>103</v>
      </c>
      <c r="D149" s="1">
        <f t="shared" si="223"/>
        <v>0</v>
      </c>
      <c r="E149" s="12" t="str">
        <f t="shared" si="223"/>
        <v/>
      </c>
      <c r="F149" s="7"/>
      <c r="G149" s="2">
        <f>-'libro compras'!AB147</f>
        <v>0</v>
      </c>
      <c r="H149" s="7"/>
      <c r="I149" s="7" t="s">
        <v>36</v>
      </c>
      <c r="J149" s="7" t="str">
        <f>+CONCATENATE('libro compras'!C147," ",'libro compras'!D147)</f>
        <v xml:space="preserve"> </v>
      </c>
      <c r="K149" s="5">
        <f t="shared" ref="K149:M149" si="224">+K148</f>
        <v>0</v>
      </c>
      <c r="L149" s="1">
        <f t="shared" si="224"/>
        <v>0</v>
      </c>
      <c r="M149" s="1">
        <f t="shared" si="224"/>
        <v>0</v>
      </c>
      <c r="N149" s="7" t="s">
        <v>57</v>
      </c>
    </row>
    <row r="150" spans="1:14" x14ac:dyDescent="0.25">
      <c r="A150" s="9">
        <f t="shared" si="200"/>
        <v>38</v>
      </c>
      <c r="B150" s="5" t="str">
        <f>+'libro compras'!$AI$1</f>
        <v>281110</v>
      </c>
      <c r="C150" s="1" t="str">
        <f>+'libro compras'!Q151</f>
        <v>103</v>
      </c>
      <c r="D150" s="1">
        <f>+'libro compras'!R151</f>
        <v>0</v>
      </c>
      <c r="E150" s="12" t="str">
        <f>+'libro compras'!S151</f>
        <v/>
      </c>
      <c r="F150" s="7"/>
      <c r="G150" s="2">
        <f>+'libro compras'!AK151</f>
        <v>0</v>
      </c>
      <c r="H150" s="7"/>
      <c r="I150" s="7" t="s">
        <v>56</v>
      </c>
      <c r="J150" s="7" t="str">
        <f>+CONCATENATE('libro compras'!C151," ",'libro compras'!D151)</f>
        <v xml:space="preserve"> </v>
      </c>
      <c r="K150" s="5">
        <f>+'libro compras'!F151</f>
        <v>0</v>
      </c>
      <c r="L150" s="1">
        <f>+'libro compras'!C151</f>
        <v>0</v>
      </c>
      <c r="M150" s="5">
        <f>+'libro compras'!D151</f>
        <v>0</v>
      </c>
      <c r="N150" s="7" t="s">
        <v>57</v>
      </c>
    </row>
    <row r="151" spans="1:14" hidden="1" x14ac:dyDescent="0.25">
      <c r="A151" s="9">
        <f t="shared" si="200"/>
        <v>38</v>
      </c>
      <c r="B151" s="5" t="str">
        <f>+'libro compras'!$AJ$1</f>
        <v>401110</v>
      </c>
      <c r="C151" s="1" t="str">
        <f t="shared" ref="C151:E151" si="225">+C150</f>
        <v>103</v>
      </c>
      <c r="D151" s="1">
        <f t="shared" si="225"/>
        <v>0</v>
      </c>
      <c r="E151" s="12" t="str">
        <f t="shared" si="225"/>
        <v/>
      </c>
      <c r="F151" s="7"/>
      <c r="G151" s="2">
        <f>+'libro compras'!AJ151</f>
        <v>0</v>
      </c>
      <c r="H151" s="7"/>
      <c r="I151" s="7" t="s">
        <v>56</v>
      </c>
      <c r="J151" s="7" t="str">
        <f t="shared" ref="J151:M151" si="226">+J150</f>
        <v xml:space="preserve"> </v>
      </c>
      <c r="K151" s="5">
        <f t="shared" si="226"/>
        <v>0</v>
      </c>
      <c r="L151" s="1">
        <f t="shared" si="226"/>
        <v>0</v>
      </c>
      <c r="M151" s="1">
        <f t="shared" si="226"/>
        <v>0</v>
      </c>
      <c r="N151" s="7" t="s">
        <v>57</v>
      </c>
    </row>
    <row r="152" spans="1:14" x14ac:dyDescent="0.25">
      <c r="A152" s="9">
        <f t="shared" si="200"/>
        <v>38</v>
      </c>
      <c r="B152" s="5" t="e">
        <f>+'libro compras'!P151</f>
        <v>#N/A</v>
      </c>
      <c r="C152" s="1" t="str">
        <f t="shared" ref="C152:E152" si="227">+C151</f>
        <v>103</v>
      </c>
      <c r="D152" s="1">
        <f t="shared" si="227"/>
        <v>0</v>
      </c>
      <c r="E152" s="12" t="str">
        <f t="shared" si="227"/>
        <v/>
      </c>
      <c r="F152" s="7"/>
      <c r="G152" s="2">
        <f>-'libro compras'!AI151</f>
        <v>0</v>
      </c>
      <c r="H152" s="7"/>
      <c r="I152" s="7" t="s">
        <v>36</v>
      </c>
      <c r="J152" s="7" t="str">
        <f>+CONCATENATE('libro compras'!C151," ",'libro compras'!D151)</f>
        <v xml:space="preserve"> </v>
      </c>
      <c r="K152" s="5">
        <f t="shared" ref="K152:M152" si="228">+K151</f>
        <v>0</v>
      </c>
      <c r="L152" s="1">
        <f t="shared" si="228"/>
        <v>0</v>
      </c>
      <c r="M152" s="1">
        <f t="shared" si="228"/>
        <v>0</v>
      </c>
      <c r="N152" s="7" t="s">
        <v>57</v>
      </c>
    </row>
    <row r="153" spans="1:14" x14ac:dyDescent="0.25">
      <c r="A153" s="9">
        <f t="shared" si="200"/>
        <v>38</v>
      </c>
      <c r="B153" s="2" t="e">
        <f>+VLOOKUP(B152,Hoja1!$A$1:$B$2,2,FALSE)</f>
        <v>#N/A</v>
      </c>
      <c r="C153" s="1" t="str">
        <f t="shared" ref="C153:E153" si="229">+C152</f>
        <v>103</v>
      </c>
      <c r="D153" s="1">
        <f t="shared" si="229"/>
        <v>0</v>
      </c>
      <c r="E153" s="12" t="str">
        <f t="shared" si="229"/>
        <v/>
      </c>
      <c r="F153" s="7"/>
      <c r="G153" s="2">
        <f>-'libro compras'!AB151</f>
        <v>0</v>
      </c>
      <c r="H153" s="7"/>
      <c r="I153" s="7" t="s">
        <v>36</v>
      </c>
      <c r="J153" s="7" t="str">
        <f>+CONCATENATE('libro compras'!C151," ",'libro compras'!D151)</f>
        <v xml:space="preserve"> </v>
      </c>
      <c r="K153" s="5">
        <f t="shared" ref="K153:M153" si="230">+K152</f>
        <v>0</v>
      </c>
      <c r="L153" s="1">
        <f t="shared" si="230"/>
        <v>0</v>
      </c>
      <c r="M153" s="1">
        <f t="shared" si="230"/>
        <v>0</v>
      </c>
      <c r="N153" s="7" t="s">
        <v>57</v>
      </c>
    </row>
    <row r="154" spans="1:14" hidden="1" x14ac:dyDescent="0.25">
      <c r="A154" s="9">
        <f t="shared" si="200"/>
        <v>39</v>
      </c>
      <c r="B154" s="5" t="str">
        <f>+'libro compras'!$AI$1</f>
        <v>281110</v>
      </c>
      <c r="C154" s="1" t="str">
        <f>+'libro compras'!Q155</f>
        <v>103</v>
      </c>
      <c r="D154" s="1">
        <f>+'libro compras'!R155</f>
        <v>0</v>
      </c>
      <c r="E154" s="12" t="str">
        <f>+'libro compras'!S155</f>
        <v/>
      </c>
      <c r="F154" s="7"/>
      <c r="G154" s="2">
        <f>+'libro compras'!AK155</f>
        <v>0</v>
      </c>
      <c r="H154" s="7"/>
      <c r="I154" s="7" t="s">
        <v>56</v>
      </c>
      <c r="J154" s="7" t="str">
        <f>+CONCATENATE('libro compras'!C155," ",'libro compras'!D155)</f>
        <v xml:space="preserve"> </v>
      </c>
      <c r="K154" s="5">
        <f>+'libro compras'!F155</f>
        <v>0</v>
      </c>
      <c r="L154" s="1">
        <f>+'libro compras'!C155</f>
        <v>0</v>
      </c>
      <c r="M154" s="5">
        <f>+'libro compras'!D155</f>
        <v>0</v>
      </c>
      <c r="N154" s="7" t="s">
        <v>57</v>
      </c>
    </row>
    <row r="155" spans="1:14" hidden="1" x14ac:dyDescent="0.25">
      <c r="A155" s="9">
        <f t="shared" si="200"/>
        <v>39</v>
      </c>
      <c r="B155" s="5" t="str">
        <f>+'libro compras'!$AJ$1</f>
        <v>401110</v>
      </c>
      <c r="C155" s="1" t="str">
        <f t="shared" ref="C155:E155" si="231">+C154</f>
        <v>103</v>
      </c>
      <c r="D155" s="1">
        <f t="shared" si="231"/>
        <v>0</v>
      </c>
      <c r="E155" s="12" t="str">
        <f t="shared" si="231"/>
        <v/>
      </c>
      <c r="F155" s="7"/>
      <c r="G155" s="2">
        <f>+'libro compras'!AJ155</f>
        <v>0</v>
      </c>
      <c r="H155" s="7"/>
      <c r="I155" s="7" t="s">
        <v>56</v>
      </c>
      <c r="J155" s="7" t="str">
        <f t="shared" ref="J155:M155" si="232">+J154</f>
        <v xml:space="preserve"> </v>
      </c>
      <c r="K155" s="5">
        <f t="shared" si="232"/>
        <v>0</v>
      </c>
      <c r="L155" s="1">
        <f t="shared" si="232"/>
        <v>0</v>
      </c>
      <c r="M155" s="1">
        <f t="shared" si="232"/>
        <v>0</v>
      </c>
      <c r="N155" s="7" t="s">
        <v>57</v>
      </c>
    </row>
    <row r="156" spans="1:14" hidden="1" x14ac:dyDescent="0.25">
      <c r="A156" s="9">
        <f t="shared" si="200"/>
        <v>39</v>
      </c>
      <c r="B156" s="5" t="e">
        <f>+'libro compras'!P155</f>
        <v>#N/A</v>
      </c>
      <c r="C156" s="1" t="str">
        <f t="shared" ref="C156:E156" si="233">+C155</f>
        <v>103</v>
      </c>
      <c r="D156" s="1">
        <f t="shared" si="233"/>
        <v>0</v>
      </c>
      <c r="E156" s="12" t="str">
        <f t="shared" si="233"/>
        <v/>
      </c>
      <c r="F156" s="7"/>
      <c r="G156" s="2">
        <f>-'libro compras'!AI155</f>
        <v>0</v>
      </c>
      <c r="H156" s="7"/>
      <c r="I156" s="7" t="s">
        <v>36</v>
      </c>
      <c r="J156" s="7" t="str">
        <f>+CONCATENATE('libro compras'!C155," ",'libro compras'!D155)</f>
        <v xml:space="preserve"> </v>
      </c>
      <c r="K156" s="5">
        <f t="shared" ref="K156:M156" si="234">+K155</f>
        <v>0</v>
      </c>
      <c r="L156" s="1">
        <f t="shared" si="234"/>
        <v>0</v>
      </c>
      <c r="M156" s="1">
        <f t="shared" si="234"/>
        <v>0</v>
      </c>
      <c r="N156" s="7" t="s">
        <v>57</v>
      </c>
    </row>
    <row r="157" spans="1:14" hidden="1" x14ac:dyDescent="0.25">
      <c r="A157" s="9">
        <f t="shared" si="200"/>
        <v>39</v>
      </c>
      <c r="B157" s="2" t="e">
        <f>+VLOOKUP(B156,Hoja1!$A$1:$B$2,2,FALSE)</f>
        <v>#N/A</v>
      </c>
      <c r="C157" s="1" t="str">
        <f t="shared" ref="C157:E157" si="235">+C156</f>
        <v>103</v>
      </c>
      <c r="D157" s="1">
        <f t="shared" si="235"/>
        <v>0</v>
      </c>
      <c r="E157" s="12" t="str">
        <f t="shared" si="235"/>
        <v/>
      </c>
      <c r="F157" s="7"/>
      <c r="G157" s="2">
        <f>-'libro compras'!AB155</f>
        <v>0</v>
      </c>
      <c r="H157" s="7"/>
      <c r="I157" s="7" t="s">
        <v>36</v>
      </c>
      <c r="J157" s="7" t="str">
        <f>+CONCATENATE('libro compras'!C155," ",'libro compras'!D155)</f>
        <v xml:space="preserve"> </v>
      </c>
      <c r="K157" s="5">
        <f t="shared" ref="K157:M157" si="236">+K156</f>
        <v>0</v>
      </c>
      <c r="L157" s="1">
        <f t="shared" si="236"/>
        <v>0</v>
      </c>
      <c r="M157" s="1">
        <f t="shared" si="236"/>
        <v>0</v>
      </c>
      <c r="N157" s="7" t="s">
        <v>57</v>
      </c>
    </row>
    <row r="158" spans="1:14" hidden="1" x14ac:dyDescent="0.25">
      <c r="A158" s="9">
        <f t="shared" si="200"/>
        <v>40</v>
      </c>
      <c r="B158" s="5" t="str">
        <f>+'libro compras'!$AI$1</f>
        <v>281110</v>
      </c>
      <c r="C158" s="1" t="str">
        <f>+'libro compras'!Q159</f>
        <v>103</v>
      </c>
      <c r="D158" s="1">
        <f>+'libro compras'!R159</f>
        <v>0</v>
      </c>
      <c r="E158" s="12" t="str">
        <f>+'libro compras'!S159</f>
        <v/>
      </c>
      <c r="F158" s="7"/>
      <c r="G158" s="2">
        <f>+'libro compras'!AK159</f>
        <v>0</v>
      </c>
      <c r="H158" s="7"/>
      <c r="I158" s="7" t="s">
        <v>56</v>
      </c>
      <c r="J158" s="7" t="str">
        <f>+CONCATENATE('libro compras'!C159," ",'libro compras'!D159)</f>
        <v xml:space="preserve"> </v>
      </c>
      <c r="K158" s="5">
        <f>+'libro compras'!F159</f>
        <v>0</v>
      </c>
      <c r="L158" s="1">
        <f>+'libro compras'!C159</f>
        <v>0</v>
      </c>
      <c r="M158" s="5">
        <f>+'libro compras'!D159</f>
        <v>0</v>
      </c>
      <c r="N158" s="7" t="s">
        <v>57</v>
      </c>
    </row>
    <row r="159" spans="1:14" hidden="1" x14ac:dyDescent="0.25">
      <c r="A159" s="9">
        <f t="shared" si="200"/>
        <v>40</v>
      </c>
      <c r="B159" s="5" t="str">
        <f>+'libro compras'!$AJ$1</f>
        <v>401110</v>
      </c>
      <c r="C159" s="1" t="str">
        <f t="shared" ref="C159:E159" si="237">+C158</f>
        <v>103</v>
      </c>
      <c r="D159" s="1">
        <f t="shared" si="237"/>
        <v>0</v>
      </c>
      <c r="E159" s="12" t="str">
        <f t="shared" si="237"/>
        <v/>
      </c>
      <c r="F159" s="7"/>
      <c r="G159" s="2">
        <f>+'libro compras'!AJ159</f>
        <v>0</v>
      </c>
      <c r="H159" s="7"/>
      <c r="I159" s="7" t="s">
        <v>56</v>
      </c>
      <c r="J159" s="7" t="str">
        <f t="shared" ref="J159:M159" si="238">+J158</f>
        <v xml:space="preserve"> </v>
      </c>
      <c r="K159" s="5">
        <f t="shared" si="238"/>
        <v>0</v>
      </c>
      <c r="L159" s="1">
        <f t="shared" si="238"/>
        <v>0</v>
      </c>
      <c r="M159" s="1">
        <f t="shared" si="238"/>
        <v>0</v>
      </c>
      <c r="N159" s="7" t="s">
        <v>57</v>
      </c>
    </row>
    <row r="160" spans="1:14" hidden="1" x14ac:dyDescent="0.25">
      <c r="A160" s="9">
        <f t="shared" si="200"/>
        <v>40</v>
      </c>
      <c r="B160" s="5" t="e">
        <f>+'libro compras'!P159</f>
        <v>#N/A</v>
      </c>
      <c r="C160" s="1" t="str">
        <f t="shared" ref="C160:E160" si="239">+C159</f>
        <v>103</v>
      </c>
      <c r="D160" s="1">
        <f t="shared" si="239"/>
        <v>0</v>
      </c>
      <c r="E160" s="12" t="str">
        <f t="shared" si="239"/>
        <v/>
      </c>
      <c r="F160" s="7"/>
      <c r="G160" s="2">
        <f>-'libro compras'!AI159</f>
        <v>0</v>
      </c>
      <c r="H160" s="7"/>
      <c r="I160" s="7" t="s">
        <v>36</v>
      </c>
      <c r="J160" s="7" t="str">
        <f>+CONCATENATE('libro compras'!C159," ",'libro compras'!D159)</f>
        <v xml:space="preserve"> </v>
      </c>
      <c r="K160" s="5">
        <f t="shared" ref="K160:M160" si="240">+K159</f>
        <v>0</v>
      </c>
      <c r="L160" s="1">
        <f t="shared" si="240"/>
        <v>0</v>
      </c>
      <c r="M160" s="1">
        <f t="shared" si="240"/>
        <v>0</v>
      </c>
      <c r="N160" s="7" t="s">
        <v>57</v>
      </c>
    </row>
    <row r="161" spans="1:14" hidden="1" x14ac:dyDescent="0.25">
      <c r="A161" s="9">
        <f t="shared" si="200"/>
        <v>40</v>
      </c>
      <c r="B161" s="2" t="e">
        <f>+VLOOKUP(B160,Hoja1!$A$1:$B$2,2,FALSE)</f>
        <v>#N/A</v>
      </c>
      <c r="C161" s="1" t="str">
        <f t="shared" ref="C161:E161" si="241">+C160</f>
        <v>103</v>
      </c>
      <c r="D161" s="1">
        <f t="shared" si="241"/>
        <v>0</v>
      </c>
      <c r="E161" s="12" t="str">
        <f t="shared" si="241"/>
        <v/>
      </c>
      <c r="F161" s="7"/>
      <c r="G161" s="2">
        <f>-'libro compras'!AB159</f>
        <v>0</v>
      </c>
      <c r="H161" s="7"/>
      <c r="I161" s="7" t="s">
        <v>36</v>
      </c>
      <c r="J161" s="7" t="str">
        <f>+CONCATENATE('libro compras'!C159," ",'libro compras'!D159)</f>
        <v xml:space="preserve"> </v>
      </c>
      <c r="K161" s="5">
        <f t="shared" ref="K161:M161" si="242">+K160</f>
        <v>0</v>
      </c>
      <c r="L161" s="1">
        <f t="shared" si="242"/>
        <v>0</v>
      </c>
      <c r="M161" s="1">
        <f t="shared" si="242"/>
        <v>0</v>
      </c>
      <c r="N161" s="7" t="s">
        <v>57</v>
      </c>
    </row>
    <row r="162" spans="1:14" x14ac:dyDescent="0.25">
      <c r="A162" s="9">
        <f t="shared" si="200"/>
        <v>41</v>
      </c>
      <c r="B162" s="5" t="str">
        <f>+'libro compras'!$AI$1</f>
        <v>281110</v>
      </c>
      <c r="C162" s="1" t="str">
        <f>+'libro compras'!Q163</f>
        <v>103</v>
      </c>
      <c r="D162" s="1">
        <f>+'libro compras'!R163</f>
        <v>0</v>
      </c>
      <c r="E162" s="12" t="str">
        <f>+'libro compras'!S163</f>
        <v/>
      </c>
      <c r="F162" s="7"/>
      <c r="G162" s="2">
        <f>+'libro compras'!AK163</f>
        <v>0</v>
      </c>
      <c r="H162" s="7"/>
      <c r="I162" s="7" t="s">
        <v>56</v>
      </c>
      <c r="J162" s="7" t="str">
        <f>+CONCATENATE('libro compras'!C163," ",'libro compras'!D163)</f>
        <v xml:space="preserve"> </v>
      </c>
      <c r="K162" s="5">
        <f>+'libro compras'!F163</f>
        <v>0</v>
      </c>
      <c r="L162" s="1">
        <f>+'libro compras'!C163</f>
        <v>0</v>
      </c>
      <c r="M162" s="5">
        <f>+'libro compras'!D163</f>
        <v>0</v>
      </c>
      <c r="N162" s="7" t="s">
        <v>57</v>
      </c>
    </row>
    <row r="163" spans="1:14" hidden="1" x14ac:dyDescent="0.25">
      <c r="A163" s="9">
        <f t="shared" si="200"/>
        <v>41</v>
      </c>
      <c r="B163" s="5" t="str">
        <f>+'libro compras'!$AJ$1</f>
        <v>401110</v>
      </c>
      <c r="C163" s="1" t="str">
        <f t="shared" ref="C163:E163" si="243">+C162</f>
        <v>103</v>
      </c>
      <c r="D163" s="1">
        <f t="shared" si="243"/>
        <v>0</v>
      </c>
      <c r="E163" s="12" t="str">
        <f t="shared" si="243"/>
        <v/>
      </c>
      <c r="F163" s="7"/>
      <c r="G163" s="2">
        <f>+'libro compras'!AJ163</f>
        <v>0</v>
      </c>
      <c r="H163" s="7"/>
      <c r="I163" s="7" t="s">
        <v>56</v>
      </c>
      <c r="J163" s="7" t="str">
        <f t="shared" ref="J163:M163" si="244">+J162</f>
        <v xml:space="preserve"> </v>
      </c>
      <c r="K163" s="5">
        <f t="shared" si="244"/>
        <v>0</v>
      </c>
      <c r="L163" s="1">
        <f t="shared" si="244"/>
        <v>0</v>
      </c>
      <c r="M163" s="1">
        <f t="shared" si="244"/>
        <v>0</v>
      </c>
      <c r="N163" s="7" t="s">
        <v>57</v>
      </c>
    </row>
    <row r="164" spans="1:14" x14ac:dyDescent="0.25">
      <c r="A164" s="9">
        <f t="shared" si="200"/>
        <v>41</v>
      </c>
      <c r="B164" s="5" t="e">
        <f>+'libro compras'!P163</f>
        <v>#N/A</v>
      </c>
      <c r="C164" s="1" t="str">
        <f t="shared" ref="C164:E164" si="245">+C163</f>
        <v>103</v>
      </c>
      <c r="D164" s="1">
        <f t="shared" si="245"/>
        <v>0</v>
      </c>
      <c r="E164" s="12" t="str">
        <f t="shared" si="245"/>
        <v/>
      </c>
      <c r="F164" s="7"/>
      <c r="G164" s="2">
        <f>-'libro compras'!AI163</f>
        <v>0</v>
      </c>
      <c r="H164" s="7"/>
      <c r="I164" s="7" t="s">
        <v>36</v>
      </c>
      <c r="J164" s="7" t="str">
        <f>+CONCATENATE('libro compras'!C163," ",'libro compras'!D163)</f>
        <v xml:space="preserve"> </v>
      </c>
      <c r="K164" s="5">
        <f t="shared" ref="K164:M164" si="246">+K163</f>
        <v>0</v>
      </c>
      <c r="L164" s="1">
        <f t="shared" si="246"/>
        <v>0</v>
      </c>
      <c r="M164" s="1">
        <f t="shared" si="246"/>
        <v>0</v>
      </c>
      <c r="N164" s="7" t="s">
        <v>57</v>
      </c>
    </row>
    <row r="165" spans="1:14" x14ac:dyDescent="0.25">
      <c r="A165" s="9">
        <f t="shared" si="200"/>
        <v>41</v>
      </c>
      <c r="B165" s="2" t="e">
        <f>+VLOOKUP(B164,Hoja1!$A$1:$B$2,2,FALSE)</f>
        <v>#N/A</v>
      </c>
      <c r="C165" s="1" t="str">
        <f t="shared" ref="C165:E165" si="247">+C164</f>
        <v>103</v>
      </c>
      <c r="D165" s="1">
        <f t="shared" si="247"/>
        <v>0</v>
      </c>
      <c r="E165" s="12" t="str">
        <f t="shared" si="247"/>
        <v/>
      </c>
      <c r="F165" s="7"/>
      <c r="G165" s="2">
        <f>-'libro compras'!AB163</f>
        <v>0</v>
      </c>
      <c r="H165" s="7"/>
      <c r="I165" s="7" t="s">
        <v>36</v>
      </c>
      <c r="J165" s="7" t="str">
        <f>+CONCATENATE('libro compras'!C163," ",'libro compras'!D163)</f>
        <v xml:space="preserve"> </v>
      </c>
      <c r="K165" s="5">
        <f t="shared" ref="K165:M165" si="248">+K164</f>
        <v>0</v>
      </c>
      <c r="L165" s="1">
        <f t="shared" si="248"/>
        <v>0</v>
      </c>
      <c r="M165" s="1">
        <f t="shared" si="248"/>
        <v>0</v>
      </c>
      <c r="N165" s="7" t="s">
        <v>57</v>
      </c>
    </row>
    <row r="166" spans="1:14" x14ac:dyDescent="0.25">
      <c r="A166" s="9">
        <f t="shared" si="200"/>
        <v>42</v>
      </c>
      <c r="B166" s="5" t="str">
        <f>+'libro compras'!$AI$1</f>
        <v>281110</v>
      </c>
      <c r="C166" s="1" t="str">
        <f>+'libro compras'!Q167</f>
        <v>103</v>
      </c>
      <c r="D166" s="1">
        <f>+'libro compras'!R167</f>
        <v>0</v>
      </c>
      <c r="E166" s="12" t="str">
        <f>+'libro compras'!S167</f>
        <v/>
      </c>
      <c r="F166" s="7"/>
      <c r="G166" s="2">
        <f>+'libro compras'!AK167</f>
        <v>0</v>
      </c>
      <c r="H166" s="7"/>
      <c r="I166" s="7" t="s">
        <v>56</v>
      </c>
      <c r="J166" s="7" t="str">
        <f>+CONCATENATE('libro compras'!C167," ",'libro compras'!D167)</f>
        <v xml:space="preserve"> </v>
      </c>
      <c r="K166" s="5">
        <f>+'libro compras'!F167</f>
        <v>0</v>
      </c>
      <c r="L166" s="1">
        <f>+'libro compras'!C167</f>
        <v>0</v>
      </c>
      <c r="M166" s="5">
        <f>+'libro compras'!D167</f>
        <v>0</v>
      </c>
      <c r="N166" s="7" t="s">
        <v>57</v>
      </c>
    </row>
    <row r="167" spans="1:14" hidden="1" x14ac:dyDescent="0.25">
      <c r="A167" s="9">
        <f t="shared" si="200"/>
        <v>42</v>
      </c>
      <c r="B167" s="5" t="str">
        <f>+'libro compras'!$AJ$1</f>
        <v>401110</v>
      </c>
      <c r="C167" s="1" t="str">
        <f t="shared" ref="C167:E167" si="249">+C166</f>
        <v>103</v>
      </c>
      <c r="D167" s="1">
        <f t="shared" si="249"/>
        <v>0</v>
      </c>
      <c r="E167" s="12" t="str">
        <f t="shared" si="249"/>
        <v/>
      </c>
      <c r="F167" s="7"/>
      <c r="G167" s="2">
        <f>+'libro compras'!AJ167</f>
        <v>0</v>
      </c>
      <c r="H167" s="7"/>
      <c r="I167" s="7" t="s">
        <v>56</v>
      </c>
      <c r="J167" s="7" t="str">
        <f t="shared" ref="J167:M167" si="250">+J166</f>
        <v xml:space="preserve"> </v>
      </c>
      <c r="K167" s="5">
        <f t="shared" si="250"/>
        <v>0</v>
      </c>
      <c r="L167" s="1">
        <f t="shared" si="250"/>
        <v>0</v>
      </c>
      <c r="M167" s="1">
        <f t="shared" si="250"/>
        <v>0</v>
      </c>
      <c r="N167" s="7" t="s">
        <v>57</v>
      </c>
    </row>
    <row r="168" spans="1:14" x14ac:dyDescent="0.25">
      <c r="A168" s="9">
        <f t="shared" si="200"/>
        <v>42</v>
      </c>
      <c r="B168" s="5" t="e">
        <f>+'libro compras'!P167</f>
        <v>#N/A</v>
      </c>
      <c r="C168" s="1" t="str">
        <f t="shared" ref="C168:E168" si="251">+C167</f>
        <v>103</v>
      </c>
      <c r="D168" s="1">
        <f t="shared" si="251"/>
        <v>0</v>
      </c>
      <c r="E168" s="12" t="str">
        <f t="shared" si="251"/>
        <v/>
      </c>
      <c r="F168" s="7"/>
      <c r="G168" s="2">
        <f>-'libro compras'!AI167</f>
        <v>0</v>
      </c>
      <c r="H168" s="7"/>
      <c r="I168" s="7" t="s">
        <v>36</v>
      </c>
      <c r="J168" s="7" t="str">
        <f>+CONCATENATE('libro compras'!C167," ",'libro compras'!D167)</f>
        <v xml:space="preserve"> </v>
      </c>
      <c r="K168" s="5">
        <f t="shared" ref="K168:M168" si="252">+K167</f>
        <v>0</v>
      </c>
      <c r="L168" s="1">
        <f t="shared" si="252"/>
        <v>0</v>
      </c>
      <c r="M168" s="1">
        <f t="shared" si="252"/>
        <v>0</v>
      </c>
      <c r="N168" s="7" t="s">
        <v>57</v>
      </c>
    </row>
    <row r="169" spans="1:14" x14ac:dyDescent="0.25">
      <c r="A169" s="9">
        <f t="shared" si="200"/>
        <v>42</v>
      </c>
      <c r="B169" s="2" t="e">
        <f>+VLOOKUP(B168,Hoja1!$A$1:$B$2,2,FALSE)</f>
        <v>#N/A</v>
      </c>
      <c r="C169" s="1" t="str">
        <f t="shared" ref="C169:E169" si="253">+C168</f>
        <v>103</v>
      </c>
      <c r="D169" s="1">
        <f t="shared" si="253"/>
        <v>0</v>
      </c>
      <c r="E169" s="12" t="str">
        <f t="shared" si="253"/>
        <v/>
      </c>
      <c r="F169" s="7"/>
      <c r="G169" s="2">
        <f>-'libro compras'!AB167</f>
        <v>0</v>
      </c>
      <c r="H169" s="7"/>
      <c r="I169" s="7" t="s">
        <v>36</v>
      </c>
      <c r="J169" s="7" t="str">
        <f>+CONCATENATE('libro compras'!C167," ",'libro compras'!D167)</f>
        <v xml:space="preserve"> </v>
      </c>
      <c r="K169" s="5">
        <f t="shared" ref="K169:M169" si="254">+K168</f>
        <v>0</v>
      </c>
      <c r="L169" s="1">
        <f t="shared" si="254"/>
        <v>0</v>
      </c>
      <c r="M169" s="1">
        <f t="shared" si="254"/>
        <v>0</v>
      </c>
      <c r="N169" s="7" t="s">
        <v>57</v>
      </c>
    </row>
    <row r="170" spans="1:14" x14ac:dyDescent="0.25">
      <c r="A170" s="9">
        <f t="shared" si="200"/>
        <v>43</v>
      </c>
      <c r="B170" s="5" t="str">
        <f>+'libro compras'!$AI$1</f>
        <v>281110</v>
      </c>
      <c r="C170" s="1" t="str">
        <f>+'libro compras'!Q171</f>
        <v>103</v>
      </c>
      <c r="D170" s="1">
        <f>+'libro compras'!R171</f>
        <v>0</v>
      </c>
      <c r="E170" s="12" t="str">
        <f>+'libro compras'!S171</f>
        <v/>
      </c>
      <c r="F170" s="7"/>
      <c r="G170" s="2">
        <f>+'libro compras'!AK171</f>
        <v>0</v>
      </c>
      <c r="H170" s="7"/>
      <c r="I170" s="7" t="s">
        <v>56</v>
      </c>
      <c r="J170" s="7" t="str">
        <f>+CONCATENATE('libro compras'!C171," ",'libro compras'!D171)</f>
        <v xml:space="preserve"> </v>
      </c>
      <c r="K170" s="5">
        <f>+'libro compras'!F171</f>
        <v>0</v>
      </c>
      <c r="L170" s="1">
        <f>+'libro compras'!C171</f>
        <v>0</v>
      </c>
      <c r="M170" s="5">
        <f>+'libro compras'!D171</f>
        <v>0</v>
      </c>
      <c r="N170" s="7" t="s">
        <v>57</v>
      </c>
    </row>
    <row r="171" spans="1:14" hidden="1" x14ac:dyDescent="0.25">
      <c r="A171" s="9">
        <f t="shared" si="200"/>
        <v>43</v>
      </c>
      <c r="B171" s="5" t="str">
        <f>+'libro compras'!$AJ$1</f>
        <v>401110</v>
      </c>
      <c r="C171" s="1" t="str">
        <f t="shared" ref="C171:E171" si="255">+C170</f>
        <v>103</v>
      </c>
      <c r="D171" s="1">
        <f t="shared" si="255"/>
        <v>0</v>
      </c>
      <c r="E171" s="12" t="str">
        <f t="shared" si="255"/>
        <v/>
      </c>
      <c r="F171" s="7"/>
      <c r="G171" s="2">
        <f>+'libro compras'!AJ171</f>
        <v>0</v>
      </c>
      <c r="H171" s="7"/>
      <c r="I171" s="7" t="s">
        <v>56</v>
      </c>
      <c r="J171" s="7" t="str">
        <f t="shared" ref="J171:M171" si="256">+J170</f>
        <v xml:space="preserve"> </v>
      </c>
      <c r="K171" s="5">
        <f t="shared" si="256"/>
        <v>0</v>
      </c>
      <c r="L171" s="1">
        <f t="shared" si="256"/>
        <v>0</v>
      </c>
      <c r="M171" s="1">
        <f t="shared" si="256"/>
        <v>0</v>
      </c>
      <c r="N171" s="7" t="s">
        <v>57</v>
      </c>
    </row>
    <row r="172" spans="1:14" x14ac:dyDescent="0.25">
      <c r="A172" s="9">
        <f t="shared" si="200"/>
        <v>43</v>
      </c>
      <c r="B172" s="5" t="e">
        <f>+'libro compras'!P171</f>
        <v>#N/A</v>
      </c>
      <c r="C172" s="1" t="str">
        <f t="shared" ref="C172:E172" si="257">+C171</f>
        <v>103</v>
      </c>
      <c r="D172" s="1">
        <f t="shared" si="257"/>
        <v>0</v>
      </c>
      <c r="E172" s="12" t="str">
        <f t="shared" si="257"/>
        <v/>
      </c>
      <c r="F172" s="7"/>
      <c r="G172" s="2">
        <f>-'libro compras'!AI171</f>
        <v>0</v>
      </c>
      <c r="H172" s="7"/>
      <c r="I172" s="7" t="s">
        <v>36</v>
      </c>
      <c r="J172" s="7" t="str">
        <f>+CONCATENATE('libro compras'!C171," ",'libro compras'!D171)</f>
        <v xml:space="preserve"> </v>
      </c>
      <c r="K172" s="5">
        <f t="shared" ref="K172:M172" si="258">+K171</f>
        <v>0</v>
      </c>
      <c r="L172" s="1">
        <f t="shared" si="258"/>
        <v>0</v>
      </c>
      <c r="M172" s="1">
        <f t="shared" si="258"/>
        <v>0</v>
      </c>
      <c r="N172" s="7" t="s">
        <v>57</v>
      </c>
    </row>
    <row r="173" spans="1:14" x14ac:dyDescent="0.25">
      <c r="A173" s="9">
        <f t="shared" si="200"/>
        <v>43</v>
      </c>
      <c r="B173" s="2" t="e">
        <f>+VLOOKUP(B172,Hoja1!$A$1:$B$2,2,FALSE)</f>
        <v>#N/A</v>
      </c>
      <c r="C173" s="1" t="str">
        <f t="shared" ref="C173:E173" si="259">+C172</f>
        <v>103</v>
      </c>
      <c r="D173" s="1">
        <f t="shared" si="259"/>
        <v>0</v>
      </c>
      <c r="E173" s="12" t="str">
        <f t="shared" si="259"/>
        <v/>
      </c>
      <c r="F173" s="7"/>
      <c r="G173" s="2">
        <f>-'libro compras'!AB171</f>
        <v>0</v>
      </c>
      <c r="H173" s="7"/>
      <c r="I173" s="7" t="s">
        <v>36</v>
      </c>
      <c r="J173" s="7" t="str">
        <f>+CONCATENATE('libro compras'!C171," ",'libro compras'!D171)</f>
        <v xml:space="preserve"> </v>
      </c>
      <c r="K173" s="5">
        <f t="shared" ref="K173:M173" si="260">+K172</f>
        <v>0</v>
      </c>
      <c r="L173" s="1">
        <f t="shared" si="260"/>
        <v>0</v>
      </c>
      <c r="M173" s="1">
        <f t="shared" si="260"/>
        <v>0</v>
      </c>
      <c r="N173" s="7" t="s">
        <v>57</v>
      </c>
    </row>
    <row r="174" spans="1:14" x14ac:dyDescent="0.25">
      <c r="A174" s="9">
        <f t="shared" si="200"/>
        <v>44</v>
      </c>
      <c r="B174" s="5" t="str">
        <f>+'libro compras'!$AI$1</f>
        <v>281110</v>
      </c>
      <c r="C174" s="1" t="str">
        <f>+'libro compras'!Q175</f>
        <v>103</v>
      </c>
      <c r="D174" s="1">
        <f>+'libro compras'!R175</f>
        <v>0</v>
      </c>
      <c r="E174" s="12" t="str">
        <f>+'libro compras'!S175</f>
        <v/>
      </c>
      <c r="F174" s="7"/>
      <c r="G174" s="2">
        <f>+'libro compras'!AK175</f>
        <v>0</v>
      </c>
      <c r="H174" s="7"/>
      <c r="I174" s="7" t="s">
        <v>56</v>
      </c>
      <c r="J174" s="7" t="str">
        <f>+CONCATENATE('libro compras'!C175," ",'libro compras'!D175)</f>
        <v xml:space="preserve"> </v>
      </c>
      <c r="K174" s="5">
        <f>+'libro compras'!F175</f>
        <v>0</v>
      </c>
      <c r="L174" s="1">
        <f>+'libro compras'!C175</f>
        <v>0</v>
      </c>
      <c r="M174" s="5">
        <f>+'libro compras'!D175</f>
        <v>0</v>
      </c>
      <c r="N174" s="7" t="s">
        <v>57</v>
      </c>
    </row>
    <row r="175" spans="1:14" hidden="1" x14ac:dyDescent="0.25">
      <c r="A175" s="9">
        <f t="shared" si="200"/>
        <v>44</v>
      </c>
      <c r="B175" s="5" t="str">
        <f>+'libro compras'!$AJ$1</f>
        <v>401110</v>
      </c>
      <c r="C175" s="1" t="str">
        <f t="shared" ref="C175:E175" si="261">+C174</f>
        <v>103</v>
      </c>
      <c r="D175" s="1">
        <f t="shared" si="261"/>
        <v>0</v>
      </c>
      <c r="E175" s="12" t="str">
        <f t="shared" si="261"/>
        <v/>
      </c>
      <c r="F175" s="7"/>
      <c r="G175" s="2">
        <f>+'libro compras'!AJ175</f>
        <v>0</v>
      </c>
      <c r="H175" s="7"/>
      <c r="I175" s="7" t="s">
        <v>56</v>
      </c>
      <c r="J175" s="7" t="str">
        <f t="shared" ref="J175:M175" si="262">+J174</f>
        <v xml:space="preserve"> </v>
      </c>
      <c r="K175" s="5">
        <f t="shared" si="262"/>
        <v>0</v>
      </c>
      <c r="L175" s="1">
        <f t="shared" si="262"/>
        <v>0</v>
      </c>
      <c r="M175" s="1">
        <f t="shared" si="262"/>
        <v>0</v>
      </c>
      <c r="N175" s="7" t="s">
        <v>57</v>
      </c>
    </row>
    <row r="176" spans="1:14" x14ac:dyDescent="0.25">
      <c r="A176" s="9">
        <f t="shared" si="200"/>
        <v>44</v>
      </c>
      <c r="B176" s="5" t="e">
        <f>+'libro compras'!P175</f>
        <v>#N/A</v>
      </c>
      <c r="C176" s="1" t="str">
        <f t="shared" ref="C176:E176" si="263">+C175</f>
        <v>103</v>
      </c>
      <c r="D176" s="1">
        <f t="shared" si="263"/>
        <v>0</v>
      </c>
      <c r="E176" s="12" t="str">
        <f t="shared" si="263"/>
        <v/>
      </c>
      <c r="F176" s="7"/>
      <c r="G176" s="2">
        <f>-'libro compras'!AI175</f>
        <v>0</v>
      </c>
      <c r="H176" s="7"/>
      <c r="I176" s="7" t="s">
        <v>36</v>
      </c>
      <c r="J176" s="7" t="str">
        <f>+CONCATENATE('libro compras'!C175," ",'libro compras'!D175)</f>
        <v xml:space="preserve"> </v>
      </c>
      <c r="K176" s="5">
        <f t="shared" ref="K176:M176" si="264">+K175</f>
        <v>0</v>
      </c>
      <c r="L176" s="1">
        <f t="shared" si="264"/>
        <v>0</v>
      </c>
      <c r="M176" s="1">
        <f t="shared" si="264"/>
        <v>0</v>
      </c>
      <c r="N176" s="7" t="s">
        <v>57</v>
      </c>
    </row>
    <row r="177" spans="1:14" x14ac:dyDescent="0.25">
      <c r="A177" s="9">
        <f t="shared" si="200"/>
        <v>44</v>
      </c>
      <c r="B177" s="2" t="e">
        <f>+VLOOKUP(B176,Hoja1!$A$1:$B$2,2,FALSE)</f>
        <v>#N/A</v>
      </c>
      <c r="C177" s="1" t="str">
        <f t="shared" ref="C177:E177" si="265">+C176</f>
        <v>103</v>
      </c>
      <c r="D177" s="1">
        <f t="shared" si="265"/>
        <v>0</v>
      </c>
      <c r="E177" s="12" t="str">
        <f t="shared" si="265"/>
        <v/>
      </c>
      <c r="F177" s="7"/>
      <c r="G177" s="2">
        <f>-'libro compras'!AB175</f>
        <v>0</v>
      </c>
      <c r="H177" s="7"/>
      <c r="I177" s="7" t="s">
        <v>36</v>
      </c>
      <c r="J177" s="7" t="str">
        <f>+CONCATENATE('libro compras'!C175," ",'libro compras'!D175)</f>
        <v xml:space="preserve"> </v>
      </c>
      <c r="K177" s="5">
        <f t="shared" ref="K177:M177" si="266">+K176</f>
        <v>0</v>
      </c>
      <c r="L177" s="1">
        <f t="shared" si="266"/>
        <v>0</v>
      </c>
      <c r="M177" s="1">
        <f t="shared" si="266"/>
        <v>0</v>
      </c>
      <c r="N177" s="7" t="s">
        <v>57</v>
      </c>
    </row>
    <row r="178" spans="1:14" x14ac:dyDescent="0.25">
      <c r="A178" s="9">
        <f t="shared" si="200"/>
        <v>45</v>
      </c>
      <c r="B178" s="5" t="str">
        <f>+'libro compras'!$AI$1</f>
        <v>281110</v>
      </c>
      <c r="C178" s="1" t="str">
        <f>+'libro compras'!Q179</f>
        <v>103</v>
      </c>
      <c r="D178" s="1">
        <f>+'libro compras'!R179</f>
        <v>0</v>
      </c>
      <c r="E178" s="12" t="str">
        <f>+'libro compras'!S179</f>
        <v/>
      </c>
      <c r="F178" s="7"/>
      <c r="G178" s="2">
        <f>+'libro compras'!AK179</f>
        <v>0</v>
      </c>
      <c r="H178" s="7"/>
      <c r="I178" s="7" t="s">
        <v>56</v>
      </c>
      <c r="J178" s="7" t="str">
        <f>+CONCATENATE('libro compras'!C179," ",'libro compras'!D179)</f>
        <v xml:space="preserve"> </v>
      </c>
      <c r="K178" s="5">
        <f>+'libro compras'!F179</f>
        <v>0</v>
      </c>
      <c r="L178" s="1">
        <f>+'libro compras'!C179</f>
        <v>0</v>
      </c>
      <c r="M178" s="5">
        <f>+'libro compras'!D179</f>
        <v>0</v>
      </c>
      <c r="N178" s="7" t="s">
        <v>57</v>
      </c>
    </row>
    <row r="179" spans="1:14" hidden="1" x14ac:dyDescent="0.25">
      <c r="A179" s="9">
        <f t="shared" si="200"/>
        <v>45</v>
      </c>
      <c r="B179" s="5" t="str">
        <f>+'libro compras'!$AJ$1</f>
        <v>401110</v>
      </c>
      <c r="C179" s="1" t="str">
        <f t="shared" ref="C179:E179" si="267">+C178</f>
        <v>103</v>
      </c>
      <c r="D179" s="1">
        <f t="shared" si="267"/>
        <v>0</v>
      </c>
      <c r="E179" s="12" t="str">
        <f t="shared" si="267"/>
        <v/>
      </c>
      <c r="F179" s="7"/>
      <c r="G179" s="2">
        <f>+'libro compras'!AJ179</f>
        <v>0</v>
      </c>
      <c r="H179" s="7"/>
      <c r="I179" s="7" t="s">
        <v>56</v>
      </c>
      <c r="J179" s="7" t="str">
        <f t="shared" ref="J179:M179" si="268">+J178</f>
        <v xml:space="preserve"> </v>
      </c>
      <c r="K179" s="5">
        <f t="shared" si="268"/>
        <v>0</v>
      </c>
      <c r="L179" s="1">
        <f t="shared" si="268"/>
        <v>0</v>
      </c>
      <c r="M179" s="1">
        <f t="shared" si="268"/>
        <v>0</v>
      </c>
      <c r="N179" s="7" t="s">
        <v>57</v>
      </c>
    </row>
    <row r="180" spans="1:14" x14ac:dyDescent="0.25">
      <c r="A180" s="9">
        <f t="shared" si="200"/>
        <v>45</v>
      </c>
      <c r="B180" s="5" t="e">
        <f>+'libro compras'!P179</f>
        <v>#N/A</v>
      </c>
      <c r="C180" s="1" t="str">
        <f t="shared" ref="C180:E180" si="269">+C179</f>
        <v>103</v>
      </c>
      <c r="D180" s="1">
        <f t="shared" si="269"/>
        <v>0</v>
      </c>
      <c r="E180" s="12" t="str">
        <f t="shared" si="269"/>
        <v/>
      </c>
      <c r="F180" s="7"/>
      <c r="G180" s="2">
        <f>-'libro compras'!AI179</f>
        <v>0</v>
      </c>
      <c r="H180" s="7"/>
      <c r="I180" s="7" t="s">
        <v>36</v>
      </c>
      <c r="J180" s="7" t="str">
        <f>+CONCATENATE('libro compras'!C179," ",'libro compras'!D179)</f>
        <v xml:space="preserve"> </v>
      </c>
      <c r="K180" s="5">
        <f t="shared" ref="K180:M180" si="270">+K179</f>
        <v>0</v>
      </c>
      <c r="L180" s="1">
        <f t="shared" si="270"/>
        <v>0</v>
      </c>
      <c r="M180" s="1">
        <f t="shared" si="270"/>
        <v>0</v>
      </c>
      <c r="N180" s="7" t="s">
        <v>57</v>
      </c>
    </row>
    <row r="181" spans="1:14" x14ac:dyDescent="0.25">
      <c r="A181" s="9">
        <f t="shared" si="200"/>
        <v>45</v>
      </c>
      <c r="B181" s="2" t="e">
        <f>+VLOOKUP(B180,Hoja1!$A$1:$B$2,2,FALSE)</f>
        <v>#N/A</v>
      </c>
      <c r="C181" s="1" t="str">
        <f t="shared" ref="C181:E181" si="271">+C180</f>
        <v>103</v>
      </c>
      <c r="D181" s="1">
        <f t="shared" si="271"/>
        <v>0</v>
      </c>
      <c r="E181" s="12" t="str">
        <f t="shared" si="271"/>
        <v/>
      </c>
      <c r="F181" s="7"/>
      <c r="G181" s="2">
        <f>-'libro compras'!AB179</f>
        <v>0</v>
      </c>
      <c r="H181" s="7"/>
      <c r="I181" s="7" t="s">
        <v>36</v>
      </c>
      <c r="J181" s="7" t="str">
        <f>+CONCATENATE('libro compras'!C179," ",'libro compras'!D179)</f>
        <v xml:space="preserve"> </v>
      </c>
      <c r="K181" s="5">
        <f t="shared" ref="K181:M181" si="272">+K180</f>
        <v>0</v>
      </c>
      <c r="L181" s="1">
        <f t="shared" si="272"/>
        <v>0</v>
      </c>
      <c r="M181" s="1">
        <f t="shared" si="272"/>
        <v>0</v>
      </c>
      <c r="N181" s="7" t="s">
        <v>57</v>
      </c>
    </row>
    <row r="182" spans="1:14" x14ac:dyDescent="0.25">
      <c r="A182" s="9">
        <f t="shared" si="200"/>
        <v>46</v>
      </c>
      <c r="B182" s="5" t="str">
        <f>+'libro compras'!$AI$1</f>
        <v>281110</v>
      </c>
      <c r="C182" s="1" t="str">
        <f>+'libro compras'!Q183</f>
        <v>103</v>
      </c>
      <c r="D182" s="1">
        <f>+'libro compras'!R183</f>
        <v>0</v>
      </c>
      <c r="E182" s="12" t="str">
        <f>+'libro compras'!S183</f>
        <v/>
      </c>
      <c r="F182" s="7"/>
      <c r="G182" s="2">
        <f>+'libro compras'!AK183</f>
        <v>0</v>
      </c>
      <c r="H182" s="7"/>
      <c r="I182" s="7" t="s">
        <v>56</v>
      </c>
      <c r="J182" s="7" t="str">
        <f>+CONCATENATE('libro compras'!C183," ",'libro compras'!D183)</f>
        <v xml:space="preserve"> </v>
      </c>
      <c r="K182" s="5">
        <f>+'libro compras'!F183</f>
        <v>0</v>
      </c>
      <c r="L182" s="1">
        <f>+'libro compras'!C183</f>
        <v>0</v>
      </c>
      <c r="M182" s="5">
        <f>+'libro compras'!D183</f>
        <v>0</v>
      </c>
      <c r="N182" s="7" t="s">
        <v>57</v>
      </c>
    </row>
    <row r="183" spans="1:14" hidden="1" x14ac:dyDescent="0.25">
      <c r="A183" s="9">
        <f t="shared" si="200"/>
        <v>46</v>
      </c>
      <c r="B183" s="5" t="str">
        <f>+'libro compras'!$AJ$1</f>
        <v>401110</v>
      </c>
      <c r="C183" s="1" t="str">
        <f t="shared" ref="C183:E183" si="273">+C182</f>
        <v>103</v>
      </c>
      <c r="D183" s="1">
        <f t="shared" si="273"/>
        <v>0</v>
      </c>
      <c r="E183" s="12" t="str">
        <f t="shared" si="273"/>
        <v/>
      </c>
      <c r="F183" s="7"/>
      <c r="G183" s="2">
        <f>+'libro compras'!AJ183</f>
        <v>0</v>
      </c>
      <c r="H183" s="7"/>
      <c r="I183" s="7" t="s">
        <v>56</v>
      </c>
      <c r="J183" s="7" t="str">
        <f t="shared" ref="J183:M183" si="274">+J182</f>
        <v xml:space="preserve"> </v>
      </c>
      <c r="K183" s="5">
        <f t="shared" si="274"/>
        <v>0</v>
      </c>
      <c r="L183" s="1">
        <f t="shared" si="274"/>
        <v>0</v>
      </c>
      <c r="M183" s="1">
        <f t="shared" si="274"/>
        <v>0</v>
      </c>
      <c r="N183" s="7" t="s">
        <v>57</v>
      </c>
    </row>
    <row r="184" spans="1:14" x14ac:dyDescent="0.25">
      <c r="A184" s="9">
        <f t="shared" si="200"/>
        <v>46</v>
      </c>
      <c r="B184" s="5" t="e">
        <f>+'libro compras'!P183</f>
        <v>#N/A</v>
      </c>
      <c r="C184" s="1" t="str">
        <f t="shared" ref="C184:E184" si="275">+C183</f>
        <v>103</v>
      </c>
      <c r="D184" s="1">
        <f t="shared" si="275"/>
        <v>0</v>
      </c>
      <c r="E184" s="12" t="str">
        <f t="shared" si="275"/>
        <v/>
      </c>
      <c r="F184" s="7"/>
      <c r="G184" s="2">
        <f>-'libro compras'!AI183</f>
        <v>0</v>
      </c>
      <c r="H184" s="7"/>
      <c r="I184" s="7" t="s">
        <v>36</v>
      </c>
      <c r="J184" s="7" t="str">
        <f>+CONCATENATE('libro compras'!C183," ",'libro compras'!D183)</f>
        <v xml:space="preserve"> </v>
      </c>
      <c r="K184" s="5">
        <f t="shared" ref="K184:M184" si="276">+K183</f>
        <v>0</v>
      </c>
      <c r="L184" s="1">
        <f t="shared" si="276"/>
        <v>0</v>
      </c>
      <c r="M184" s="1">
        <f t="shared" si="276"/>
        <v>0</v>
      </c>
      <c r="N184" s="7" t="s">
        <v>57</v>
      </c>
    </row>
    <row r="185" spans="1:14" x14ac:dyDescent="0.25">
      <c r="A185" s="9">
        <f t="shared" si="200"/>
        <v>46</v>
      </c>
      <c r="B185" s="2" t="e">
        <f>+VLOOKUP(B184,Hoja1!$A$1:$B$2,2,FALSE)</f>
        <v>#N/A</v>
      </c>
      <c r="C185" s="1" t="str">
        <f t="shared" ref="C185:E185" si="277">+C184</f>
        <v>103</v>
      </c>
      <c r="D185" s="1">
        <f t="shared" si="277"/>
        <v>0</v>
      </c>
      <c r="E185" s="12" t="str">
        <f t="shared" si="277"/>
        <v/>
      </c>
      <c r="F185" s="7"/>
      <c r="G185" s="2">
        <f>-'libro compras'!AB183</f>
        <v>0</v>
      </c>
      <c r="H185" s="7"/>
      <c r="I185" s="7" t="s">
        <v>36</v>
      </c>
      <c r="J185" s="7" t="str">
        <f>+CONCATENATE('libro compras'!C183," ",'libro compras'!D183)</f>
        <v xml:space="preserve"> </v>
      </c>
      <c r="K185" s="5">
        <f t="shared" ref="K185:M185" si="278">+K184</f>
        <v>0</v>
      </c>
      <c r="L185" s="1">
        <f t="shared" si="278"/>
        <v>0</v>
      </c>
      <c r="M185" s="1">
        <f t="shared" si="278"/>
        <v>0</v>
      </c>
      <c r="N185" s="7" t="s">
        <v>57</v>
      </c>
    </row>
    <row r="186" spans="1:14" x14ac:dyDescent="0.25">
      <c r="A186" s="9">
        <f t="shared" si="200"/>
        <v>47</v>
      </c>
      <c r="B186" s="5" t="str">
        <f>+'libro compras'!$AI$1</f>
        <v>281110</v>
      </c>
      <c r="C186" s="1" t="str">
        <f>+'libro compras'!Q187</f>
        <v>103</v>
      </c>
      <c r="D186" s="1">
        <f>+'libro compras'!R187</f>
        <v>0</v>
      </c>
      <c r="E186" s="12" t="str">
        <f>+'libro compras'!S187</f>
        <v/>
      </c>
      <c r="F186" s="7"/>
      <c r="G186" s="2">
        <f>+'libro compras'!AK187</f>
        <v>0</v>
      </c>
      <c r="H186" s="7"/>
      <c r="I186" s="7" t="s">
        <v>56</v>
      </c>
      <c r="J186" s="7" t="str">
        <f>+CONCATENATE('libro compras'!C187," ",'libro compras'!D187)</f>
        <v xml:space="preserve"> </v>
      </c>
      <c r="K186" s="5">
        <f>+'libro compras'!F187</f>
        <v>0</v>
      </c>
      <c r="L186" s="1">
        <f>+'libro compras'!C187</f>
        <v>0</v>
      </c>
      <c r="M186" s="5">
        <f>+'libro compras'!D187</f>
        <v>0</v>
      </c>
      <c r="N186" s="7" t="s">
        <v>57</v>
      </c>
    </row>
    <row r="187" spans="1:14" hidden="1" x14ac:dyDescent="0.25">
      <c r="A187" s="9">
        <f t="shared" si="200"/>
        <v>47</v>
      </c>
      <c r="B187" s="5" t="str">
        <f>+'libro compras'!$AJ$1</f>
        <v>401110</v>
      </c>
      <c r="C187" s="1" t="str">
        <f t="shared" ref="C187:E187" si="279">+C186</f>
        <v>103</v>
      </c>
      <c r="D187" s="1">
        <f t="shared" si="279"/>
        <v>0</v>
      </c>
      <c r="E187" s="12" t="str">
        <f t="shared" si="279"/>
        <v/>
      </c>
      <c r="F187" s="7"/>
      <c r="G187" s="2">
        <f>+'libro compras'!AJ187</f>
        <v>0</v>
      </c>
      <c r="H187" s="7"/>
      <c r="I187" s="7" t="s">
        <v>56</v>
      </c>
      <c r="J187" s="7" t="str">
        <f t="shared" ref="J187:M187" si="280">+J186</f>
        <v xml:space="preserve"> </v>
      </c>
      <c r="K187" s="5">
        <f t="shared" si="280"/>
        <v>0</v>
      </c>
      <c r="L187" s="1">
        <f t="shared" si="280"/>
        <v>0</v>
      </c>
      <c r="M187" s="1">
        <f t="shared" si="280"/>
        <v>0</v>
      </c>
      <c r="N187" s="7" t="s">
        <v>57</v>
      </c>
    </row>
    <row r="188" spans="1:14" x14ac:dyDescent="0.25">
      <c r="A188" s="9">
        <f t="shared" si="200"/>
        <v>47</v>
      </c>
      <c r="B188" s="5" t="e">
        <f>+'libro compras'!P187</f>
        <v>#N/A</v>
      </c>
      <c r="C188" s="1" t="str">
        <f t="shared" ref="C188:E188" si="281">+C187</f>
        <v>103</v>
      </c>
      <c r="D188" s="1">
        <f t="shared" si="281"/>
        <v>0</v>
      </c>
      <c r="E188" s="12" t="str">
        <f t="shared" si="281"/>
        <v/>
      </c>
      <c r="F188" s="7"/>
      <c r="G188" s="2">
        <f>-'libro compras'!AI187</f>
        <v>0</v>
      </c>
      <c r="H188" s="7"/>
      <c r="I188" s="7" t="s">
        <v>36</v>
      </c>
      <c r="J188" s="7" t="str">
        <f>+CONCATENATE('libro compras'!C187," ",'libro compras'!D187)</f>
        <v xml:space="preserve"> </v>
      </c>
      <c r="K188" s="5">
        <f t="shared" ref="K188:M188" si="282">+K187</f>
        <v>0</v>
      </c>
      <c r="L188" s="1">
        <f t="shared" si="282"/>
        <v>0</v>
      </c>
      <c r="M188" s="1">
        <f t="shared" si="282"/>
        <v>0</v>
      </c>
      <c r="N188" s="7" t="s">
        <v>57</v>
      </c>
    </row>
    <row r="189" spans="1:14" x14ac:dyDescent="0.25">
      <c r="A189" s="9">
        <f t="shared" si="200"/>
        <v>47</v>
      </c>
      <c r="B189" s="2" t="e">
        <f>+VLOOKUP(B188,Hoja1!$A$1:$B$2,2,FALSE)</f>
        <v>#N/A</v>
      </c>
      <c r="C189" s="1" t="str">
        <f t="shared" ref="C189:E189" si="283">+C188</f>
        <v>103</v>
      </c>
      <c r="D189" s="1">
        <f t="shared" si="283"/>
        <v>0</v>
      </c>
      <c r="E189" s="12" t="str">
        <f t="shared" si="283"/>
        <v/>
      </c>
      <c r="F189" s="7"/>
      <c r="G189" s="2">
        <f>-'libro compras'!AB187</f>
        <v>0</v>
      </c>
      <c r="H189" s="7"/>
      <c r="I189" s="7" t="s">
        <v>36</v>
      </c>
      <c r="J189" s="7" t="str">
        <f>+CONCATENATE('libro compras'!C187," ",'libro compras'!D187)</f>
        <v xml:space="preserve"> </v>
      </c>
      <c r="K189" s="5">
        <f t="shared" ref="K189:M189" si="284">+K188</f>
        <v>0</v>
      </c>
      <c r="L189" s="1">
        <f t="shared" si="284"/>
        <v>0</v>
      </c>
      <c r="M189" s="1">
        <f t="shared" si="284"/>
        <v>0</v>
      </c>
      <c r="N189" s="7" t="s">
        <v>57</v>
      </c>
    </row>
    <row r="190" spans="1:14" x14ac:dyDescent="0.25">
      <c r="A190" s="9">
        <f t="shared" si="200"/>
        <v>48</v>
      </c>
      <c r="B190" s="5" t="str">
        <f>+'libro compras'!$AI$1</f>
        <v>281110</v>
      </c>
      <c r="C190" s="1" t="str">
        <f>+'libro compras'!Q191</f>
        <v>103</v>
      </c>
      <c r="D190" s="1">
        <f>+'libro compras'!R191</f>
        <v>0</v>
      </c>
      <c r="E190" s="12" t="str">
        <f>+'libro compras'!S191</f>
        <v/>
      </c>
      <c r="F190" s="7"/>
      <c r="G190" s="2">
        <f>+'libro compras'!AK191</f>
        <v>0</v>
      </c>
      <c r="H190" s="7"/>
      <c r="I190" s="7" t="s">
        <v>56</v>
      </c>
      <c r="J190" s="7" t="str">
        <f>+CONCATENATE('libro compras'!C191," ",'libro compras'!D191)</f>
        <v xml:space="preserve"> </v>
      </c>
      <c r="K190" s="5">
        <f>+'libro compras'!F191</f>
        <v>0</v>
      </c>
      <c r="L190" s="1">
        <f>+'libro compras'!C191</f>
        <v>0</v>
      </c>
      <c r="M190" s="5">
        <f>+'libro compras'!D191</f>
        <v>0</v>
      </c>
      <c r="N190" s="7" t="s">
        <v>57</v>
      </c>
    </row>
    <row r="191" spans="1:14" hidden="1" x14ac:dyDescent="0.25">
      <c r="A191" s="9">
        <f t="shared" si="200"/>
        <v>48</v>
      </c>
      <c r="B191" s="5" t="str">
        <f>+'libro compras'!$AJ$1</f>
        <v>401110</v>
      </c>
      <c r="C191" s="1" t="str">
        <f t="shared" ref="C191:E191" si="285">+C190</f>
        <v>103</v>
      </c>
      <c r="D191" s="1">
        <f t="shared" si="285"/>
        <v>0</v>
      </c>
      <c r="E191" s="12" t="str">
        <f t="shared" si="285"/>
        <v/>
      </c>
      <c r="F191" s="7"/>
      <c r="G191" s="2">
        <f>+'libro compras'!AJ191</f>
        <v>0</v>
      </c>
      <c r="H191" s="7"/>
      <c r="I191" s="7" t="s">
        <v>56</v>
      </c>
      <c r="J191" s="7" t="str">
        <f t="shared" ref="J191:M191" si="286">+J190</f>
        <v xml:space="preserve"> </v>
      </c>
      <c r="K191" s="5">
        <f t="shared" si="286"/>
        <v>0</v>
      </c>
      <c r="L191" s="1">
        <f t="shared" si="286"/>
        <v>0</v>
      </c>
      <c r="M191" s="1">
        <f t="shared" si="286"/>
        <v>0</v>
      </c>
      <c r="N191" s="7" t="s">
        <v>57</v>
      </c>
    </row>
    <row r="192" spans="1:14" x14ac:dyDescent="0.25">
      <c r="A192" s="9">
        <f t="shared" si="200"/>
        <v>48</v>
      </c>
      <c r="B192" s="5" t="e">
        <f>+'libro compras'!P191</f>
        <v>#N/A</v>
      </c>
      <c r="C192" s="1" t="str">
        <f t="shared" ref="C192:E192" si="287">+C191</f>
        <v>103</v>
      </c>
      <c r="D192" s="1">
        <f t="shared" si="287"/>
        <v>0</v>
      </c>
      <c r="E192" s="12" t="str">
        <f t="shared" si="287"/>
        <v/>
      </c>
      <c r="F192" s="7"/>
      <c r="G192" s="2">
        <f>-'libro compras'!AI191</f>
        <v>0</v>
      </c>
      <c r="H192" s="7"/>
      <c r="I192" s="7" t="s">
        <v>36</v>
      </c>
      <c r="J192" s="7" t="str">
        <f>+CONCATENATE('libro compras'!C191," ",'libro compras'!D191)</f>
        <v xml:space="preserve"> </v>
      </c>
      <c r="K192" s="5">
        <f t="shared" ref="K192:M192" si="288">+K191</f>
        <v>0</v>
      </c>
      <c r="L192" s="1">
        <f t="shared" si="288"/>
        <v>0</v>
      </c>
      <c r="M192" s="1">
        <f t="shared" si="288"/>
        <v>0</v>
      </c>
      <c r="N192" s="7" t="s">
        <v>57</v>
      </c>
    </row>
    <row r="193" spans="1:14" x14ac:dyDescent="0.25">
      <c r="A193" s="9">
        <f t="shared" si="200"/>
        <v>48</v>
      </c>
      <c r="B193" s="2" t="e">
        <f>+VLOOKUP(B192,Hoja1!$A$1:$B$2,2,FALSE)</f>
        <v>#N/A</v>
      </c>
      <c r="C193" s="1" t="str">
        <f t="shared" ref="C193:E193" si="289">+C192</f>
        <v>103</v>
      </c>
      <c r="D193" s="1">
        <f t="shared" si="289"/>
        <v>0</v>
      </c>
      <c r="E193" s="12" t="str">
        <f t="shared" si="289"/>
        <v/>
      </c>
      <c r="F193" s="7"/>
      <c r="G193" s="2">
        <f>-'libro compras'!AB191</f>
        <v>0</v>
      </c>
      <c r="H193" s="7"/>
      <c r="I193" s="7" t="s">
        <v>36</v>
      </c>
      <c r="J193" s="7" t="str">
        <f>+CONCATENATE('libro compras'!C191," ",'libro compras'!D191)</f>
        <v xml:space="preserve"> </v>
      </c>
      <c r="K193" s="5">
        <f t="shared" ref="K193:M193" si="290">+K192</f>
        <v>0</v>
      </c>
      <c r="L193" s="1">
        <f t="shared" si="290"/>
        <v>0</v>
      </c>
      <c r="M193" s="1">
        <f t="shared" si="290"/>
        <v>0</v>
      </c>
      <c r="N193" s="7" t="s">
        <v>57</v>
      </c>
    </row>
    <row r="194" spans="1:14" x14ac:dyDescent="0.25">
      <c r="A194" s="9">
        <f t="shared" si="200"/>
        <v>49</v>
      </c>
      <c r="B194" s="5" t="str">
        <f>+'libro compras'!$AI$1</f>
        <v>281110</v>
      </c>
      <c r="C194" s="1" t="str">
        <f>+'libro compras'!Q195</f>
        <v>103</v>
      </c>
      <c r="D194" s="1">
        <f>+'libro compras'!R195</f>
        <v>0</v>
      </c>
      <c r="E194" s="12" t="str">
        <f>+'libro compras'!S195</f>
        <v/>
      </c>
      <c r="F194" s="7"/>
      <c r="G194" s="2">
        <f>+'libro compras'!AK195</f>
        <v>0</v>
      </c>
      <c r="H194" s="7"/>
      <c r="I194" s="7" t="s">
        <v>56</v>
      </c>
      <c r="J194" s="7" t="str">
        <f>+CONCATENATE('libro compras'!C195," ",'libro compras'!D195)</f>
        <v xml:space="preserve"> </v>
      </c>
      <c r="K194" s="5">
        <f>+'libro compras'!F195</f>
        <v>0</v>
      </c>
      <c r="L194" s="1">
        <f>+'libro compras'!C195</f>
        <v>0</v>
      </c>
      <c r="M194" s="5">
        <f>+'libro compras'!D195</f>
        <v>0</v>
      </c>
      <c r="N194" s="7" t="s">
        <v>57</v>
      </c>
    </row>
    <row r="195" spans="1:14" hidden="1" x14ac:dyDescent="0.25">
      <c r="A195" s="9">
        <f t="shared" si="200"/>
        <v>49</v>
      </c>
      <c r="B195" s="5" t="str">
        <f>+'libro compras'!$AJ$1</f>
        <v>401110</v>
      </c>
      <c r="C195" s="1" t="str">
        <f t="shared" ref="C195:E195" si="291">+C194</f>
        <v>103</v>
      </c>
      <c r="D195" s="1">
        <f t="shared" si="291"/>
        <v>0</v>
      </c>
      <c r="E195" s="12" t="str">
        <f t="shared" si="291"/>
        <v/>
      </c>
      <c r="F195" s="7"/>
      <c r="G195" s="2">
        <f>+'libro compras'!AJ195</f>
        <v>0</v>
      </c>
      <c r="H195" s="7"/>
      <c r="I195" s="7" t="s">
        <v>56</v>
      </c>
      <c r="J195" s="7" t="str">
        <f t="shared" ref="J195:M195" si="292">+J194</f>
        <v xml:space="preserve"> </v>
      </c>
      <c r="K195" s="5">
        <f t="shared" si="292"/>
        <v>0</v>
      </c>
      <c r="L195" s="1">
        <f t="shared" si="292"/>
        <v>0</v>
      </c>
      <c r="M195" s="1">
        <f t="shared" si="292"/>
        <v>0</v>
      </c>
      <c r="N195" s="7" t="s">
        <v>57</v>
      </c>
    </row>
    <row r="196" spans="1:14" x14ac:dyDescent="0.25">
      <c r="A196" s="9">
        <f t="shared" si="200"/>
        <v>49</v>
      </c>
      <c r="B196" s="5" t="e">
        <f>+'libro compras'!P195</f>
        <v>#N/A</v>
      </c>
      <c r="C196" s="1" t="str">
        <f t="shared" ref="C196:E196" si="293">+C195</f>
        <v>103</v>
      </c>
      <c r="D196" s="1">
        <f t="shared" si="293"/>
        <v>0</v>
      </c>
      <c r="E196" s="12" t="str">
        <f t="shared" si="293"/>
        <v/>
      </c>
      <c r="F196" s="7"/>
      <c r="G196" s="2">
        <f>-'libro compras'!AI195</f>
        <v>0</v>
      </c>
      <c r="H196" s="7"/>
      <c r="I196" s="7" t="s">
        <v>36</v>
      </c>
      <c r="J196" s="7" t="str">
        <f>+CONCATENATE('libro compras'!C195," ",'libro compras'!D195)</f>
        <v xml:space="preserve"> </v>
      </c>
      <c r="K196" s="5">
        <f t="shared" ref="K196:M196" si="294">+K195</f>
        <v>0</v>
      </c>
      <c r="L196" s="1">
        <f t="shared" si="294"/>
        <v>0</v>
      </c>
      <c r="M196" s="1">
        <f t="shared" si="294"/>
        <v>0</v>
      </c>
      <c r="N196" s="7" t="s">
        <v>57</v>
      </c>
    </row>
    <row r="197" spans="1:14" x14ac:dyDescent="0.25">
      <c r="A197" s="9">
        <f t="shared" si="200"/>
        <v>49</v>
      </c>
      <c r="B197" s="2" t="e">
        <f>+VLOOKUP(B196,Hoja1!$A$1:$B$2,2,FALSE)</f>
        <v>#N/A</v>
      </c>
      <c r="C197" s="1" t="str">
        <f t="shared" ref="C197:E197" si="295">+C196</f>
        <v>103</v>
      </c>
      <c r="D197" s="1">
        <f t="shared" si="295"/>
        <v>0</v>
      </c>
      <c r="E197" s="12" t="str">
        <f t="shared" si="295"/>
        <v/>
      </c>
      <c r="F197" s="7"/>
      <c r="G197" s="2">
        <f>-'libro compras'!AB195</f>
        <v>0</v>
      </c>
      <c r="H197" s="7"/>
      <c r="I197" s="7" t="s">
        <v>36</v>
      </c>
      <c r="J197" s="7" t="str">
        <f>+CONCATENATE('libro compras'!C195," ",'libro compras'!D195)</f>
        <v xml:space="preserve"> </v>
      </c>
      <c r="K197" s="5">
        <f t="shared" ref="K197:M197" si="296">+K196</f>
        <v>0</v>
      </c>
      <c r="L197" s="1">
        <f t="shared" si="296"/>
        <v>0</v>
      </c>
      <c r="M197" s="1">
        <f t="shared" si="296"/>
        <v>0</v>
      </c>
      <c r="N197" s="7" t="s">
        <v>57</v>
      </c>
    </row>
    <row r="198" spans="1:14" x14ac:dyDescent="0.25">
      <c r="A198" s="9">
        <f t="shared" ref="A198:A261" si="297">1+A194</f>
        <v>50</v>
      </c>
      <c r="B198" s="5" t="str">
        <f>+'libro compras'!$AI$1</f>
        <v>281110</v>
      </c>
      <c r="C198" s="1" t="str">
        <f>+'libro compras'!Q199</f>
        <v>103</v>
      </c>
      <c r="D198" s="1">
        <f>+'libro compras'!R199</f>
        <v>0</v>
      </c>
      <c r="E198" s="12" t="str">
        <f>+'libro compras'!S199</f>
        <v/>
      </c>
      <c r="F198" s="7"/>
      <c r="G198" s="2">
        <f>+'libro compras'!AK199</f>
        <v>0</v>
      </c>
      <c r="H198" s="7"/>
      <c r="I198" s="7" t="s">
        <v>56</v>
      </c>
      <c r="J198" s="7" t="str">
        <f>+CONCATENATE('libro compras'!C199," ",'libro compras'!D199)</f>
        <v xml:space="preserve"> </v>
      </c>
      <c r="K198" s="5">
        <f>+'libro compras'!F199</f>
        <v>0</v>
      </c>
      <c r="L198" s="1">
        <f>+'libro compras'!C199</f>
        <v>0</v>
      </c>
      <c r="M198" s="5">
        <f>+'libro compras'!D199</f>
        <v>0</v>
      </c>
      <c r="N198" s="7" t="s">
        <v>57</v>
      </c>
    </row>
    <row r="199" spans="1:14" hidden="1" x14ac:dyDescent="0.25">
      <c r="A199" s="9">
        <f t="shared" si="297"/>
        <v>50</v>
      </c>
      <c r="B199" s="5" t="str">
        <f>+'libro compras'!$AJ$1</f>
        <v>401110</v>
      </c>
      <c r="C199" s="1" t="str">
        <f t="shared" ref="C199:E199" si="298">+C198</f>
        <v>103</v>
      </c>
      <c r="D199" s="1">
        <f t="shared" si="298"/>
        <v>0</v>
      </c>
      <c r="E199" s="12" t="str">
        <f t="shared" si="298"/>
        <v/>
      </c>
      <c r="F199" s="7"/>
      <c r="G199" s="2">
        <f>+'libro compras'!AJ199</f>
        <v>0</v>
      </c>
      <c r="H199" s="7"/>
      <c r="I199" s="7" t="s">
        <v>56</v>
      </c>
      <c r="J199" s="7" t="str">
        <f t="shared" ref="J199:M199" si="299">+J198</f>
        <v xml:space="preserve"> </v>
      </c>
      <c r="K199" s="5">
        <f t="shared" si="299"/>
        <v>0</v>
      </c>
      <c r="L199" s="1">
        <f t="shared" si="299"/>
        <v>0</v>
      </c>
      <c r="M199" s="1">
        <f t="shared" si="299"/>
        <v>0</v>
      </c>
      <c r="N199" s="7" t="s">
        <v>57</v>
      </c>
    </row>
    <row r="200" spans="1:14" x14ac:dyDescent="0.25">
      <c r="A200" s="9">
        <f t="shared" si="297"/>
        <v>50</v>
      </c>
      <c r="B200" s="5" t="e">
        <f>+'libro compras'!P199</f>
        <v>#N/A</v>
      </c>
      <c r="C200" s="1" t="str">
        <f t="shared" ref="C200:E200" si="300">+C199</f>
        <v>103</v>
      </c>
      <c r="D200" s="1">
        <f t="shared" si="300"/>
        <v>0</v>
      </c>
      <c r="E200" s="12" t="str">
        <f t="shared" si="300"/>
        <v/>
      </c>
      <c r="F200" s="7"/>
      <c r="G200" s="2">
        <f>-'libro compras'!AI199</f>
        <v>0</v>
      </c>
      <c r="H200" s="7"/>
      <c r="I200" s="7" t="s">
        <v>36</v>
      </c>
      <c r="J200" s="7" t="str">
        <f>+CONCATENATE('libro compras'!C199," ",'libro compras'!D199)</f>
        <v xml:space="preserve"> </v>
      </c>
      <c r="K200" s="5">
        <f t="shared" ref="K200:M200" si="301">+K199</f>
        <v>0</v>
      </c>
      <c r="L200" s="1">
        <f t="shared" si="301"/>
        <v>0</v>
      </c>
      <c r="M200" s="1">
        <f t="shared" si="301"/>
        <v>0</v>
      </c>
      <c r="N200" s="7" t="s">
        <v>57</v>
      </c>
    </row>
    <row r="201" spans="1:14" x14ac:dyDescent="0.25">
      <c r="A201" s="9">
        <f t="shared" si="297"/>
        <v>50</v>
      </c>
      <c r="B201" s="2" t="e">
        <f>+VLOOKUP(B200,Hoja1!$A$1:$B$2,2,FALSE)</f>
        <v>#N/A</v>
      </c>
      <c r="C201" s="1" t="str">
        <f t="shared" ref="C201:E201" si="302">+C200</f>
        <v>103</v>
      </c>
      <c r="D201" s="1">
        <f t="shared" si="302"/>
        <v>0</v>
      </c>
      <c r="E201" s="12" t="str">
        <f t="shared" si="302"/>
        <v/>
      </c>
      <c r="F201" s="7"/>
      <c r="G201" s="2">
        <f>-'libro compras'!AB199</f>
        <v>0</v>
      </c>
      <c r="H201" s="7"/>
      <c r="I201" s="7" t="s">
        <v>36</v>
      </c>
      <c r="J201" s="7" t="str">
        <f>+CONCATENATE('libro compras'!C199," ",'libro compras'!D199)</f>
        <v xml:space="preserve"> </v>
      </c>
      <c r="K201" s="5">
        <f t="shared" ref="K201:M201" si="303">+K200</f>
        <v>0</v>
      </c>
      <c r="L201" s="1">
        <f t="shared" si="303"/>
        <v>0</v>
      </c>
      <c r="M201" s="1">
        <f t="shared" si="303"/>
        <v>0</v>
      </c>
      <c r="N201" s="7" t="s">
        <v>57</v>
      </c>
    </row>
    <row r="202" spans="1:14" x14ac:dyDescent="0.25">
      <c r="A202" s="9">
        <f t="shared" si="297"/>
        <v>51</v>
      </c>
      <c r="B202" s="5" t="str">
        <f>+'libro compras'!$AI$1</f>
        <v>281110</v>
      </c>
      <c r="C202" s="1" t="str">
        <f>+'libro compras'!Q203</f>
        <v>103</v>
      </c>
      <c r="D202" s="1">
        <f>+'libro compras'!R203</f>
        <v>0</v>
      </c>
      <c r="E202" s="12" t="str">
        <f>+'libro compras'!S203</f>
        <v/>
      </c>
      <c r="F202" s="7"/>
      <c r="G202" s="2">
        <f>+'libro compras'!AK203</f>
        <v>0</v>
      </c>
      <c r="H202" s="7"/>
      <c r="I202" s="7" t="s">
        <v>56</v>
      </c>
      <c r="J202" s="7" t="str">
        <f>+CONCATENATE('libro compras'!C203," ",'libro compras'!D203)</f>
        <v xml:space="preserve"> </v>
      </c>
      <c r="K202" s="5">
        <f>+'libro compras'!F203</f>
        <v>0</v>
      </c>
      <c r="L202" s="1">
        <f>+'libro compras'!C203</f>
        <v>0</v>
      </c>
      <c r="M202" s="5">
        <f>+'libro compras'!D203</f>
        <v>0</v>
      </c>
      <c r="N202" s="7" t="s">
        <v>57</v>
      </c>
    </row>
    <row r="203" spans="1:14" hidden="1" x14ac:dyDescent="0.25">
      <c r="A203" s="9">
        <f t="shared" si="297"/>
        <v>51</v>
      </c>
      <c r="B203" s="5" t="str">
        <f>+'libro compras'!$AJ$1</f>
        <v>401110</v>
      </c>
      <c r="C203" s="1" t="str">
        <f t="shared" ref="C203:E203" si="304">+C202</f>
        <v>103</v>
      </c>
      <c r="D203" s="1">
        <f t="shared" si="304"/>
        <v>0</v>
      </c>
      <c r="E203" s="12" t="str">
        <f t="shared" si="304"/>
        <v/>
      </c>
      <c r="F203" s="7"/>
      <c r="G203" s="2">
        <f>+'libro compras'!AJ203</f>
        <v>0</v>
      </c>
      <c r="H203" s="7"/>
      <c r="I203" s="7" t="s">
        <v>56</v>
      </c>
      <c r="J203" s="7" t="str">
        <f t="shared" ref="J203:M203" si="305">+J202</f>
        <v xml:space="preserve"> </v>
      </c>
      <c r="K203" s="5">
        <f t="shared" si="305"/>
        <v>0</v>
      </c>
      <c r="L203" s="1">
        <f t="shared" si="305"/>
        <v>0</v>
      </c>
      <c r="M203" s="1">
        <f t="shared" si="305"/>
        <v>0</v>
      </c>
      <c r="N203" s="7" t="s">
        <v>57</v>
      </c>
    </row>
    <row r="204" spans="1:14" x14ac:dyDescent="0.25">
      <c r="A204" s="9">
        <f t="shared" si="297"/>
        <v>51</v>
      </c>
      <c r="B204" s="5" t="e">
        <f>+'libro compras'!P203</f>
        <v>#N/A</v>
      </c>
      <c r="C204" s="1" t="str">
        <f t="shared" ref="C204:E204" si="306">+C203</f>
        <v>103</v>
      </c>
      <c r="D204" s="1">
        <f t="shared" si="306"/>
        <v>0</v>
      </c>
      <c r="E204" s="12" t="str">
        <f t="shared" si="306"/>
        <v/>
      </c>
      <c r="F204" s="7"/>
      <c r="G204" s="2">
        <f>-'libro compras'!AI203</f>
        <v>0</v>
      </c>
      <c r="H204" s="7"/>
      <c r="I204" s="7" t="s">
        <v>36</v>
      </c>
      <c r="J204" s="7" t="str">
        <f>+CONCATENATE('libro compras'!C203," ",'libro compras'!D203)</f>
        <v xml:space="preserve"> </v>
      </c>
      <c r="K204" s="5">
        <f t="shared" ref="K204:M204" si="307">+K203</f>
        <v>0</v>
      </c>
      <c r="L204" s="1">
        <f t="shared" si="307"/>
        <v>0</v>
      </c>
      <c r="M204" s="1">
        <f t="shared" si="307"/>
        <v>0</v>
      </c>
      <c r="N204" s="7" t="s">
        <v>57</v>
      </c>
    </row>
    <row r="205" spans="1:14" x14ac:dyDescent="0.25">
      <c r="A205" s="9">
        <f t="shared" si="297"/>
        <v>51</v>
      </c>
      <c r="B205" s="2" t="e">
        <f>+VLOOKUP(B204,Hoja1!$A$1:$B$2,2,FALSE)</f>
        <v>#N/A</v>
      </c>
      <c r="C205" s="1" t="str">
        <f t="shared" ref="C205:E205" si="308">+C204</f>
        <v>103</v>
      </c>
      <c r="D205" s="1">
        <f t="shared" si="308"/>
        <v>0</v>
      </c>
      <c r="E205" s="12" t="str">
        <f t="shared" si="308"/>
        <v/>
      </c>
      <c r="F205" s="7"/>
      <c r="G205" s="2">
        <f>-'libro compras'!AB203</f>
        <v>0</v>
      </c>
      <c r="H205" s="7"/>
      <c r="I205" s="7" t="s">
        <v>36</v>
      </c>
      <c r="J205" s="7" t="str">
        <f>+CONCATENATE('libro compras'!C203," ",'libro compras'!D203)</f>
        <v xml:space="preserve"> </v>
      </c>
      <c r="K205" s="5">
        <f t="shared" ref="K205:M205" si="309">+K204</f>
        <v>0</v>
      </c>
      <c r="L205" s="1">
        <f t="shared" si="309"/>
        <v>0</v>
      </c>
      <c r="M205" s="1">
        <f t="shared" si="309"/>
        <v>0</v>
      </c>
      <c r="N205" s="7" t="s">
        <v>57</v>
      </c>
    </row>
    <row r="206" spans="1:14" x14ac:dyDescent="0.25">
      <c r="A206" s="9">
        <f t="shared" si="297"/>
        <v>52</v>
      </c>
      <c r="B206" s="5" t="str">
        <f>+'libro compras'!$AI$1</f>
        <v>281110</v>
      </c>
      <c r="C206" s="1" t="str">
        <f>+'libro compras'!Q207</f>
        <v>103</v>
      </c>
      <c r="D206" s="1">
        <f>+'libro compras'!R207</f>
        <v>0</v>
      </c>
      <c r="E206" s="12" t="str">
        <f>+'libro compras'!S207</f>
        <v/>
      </c>
      <c r="F206" s="7"/>
      <c r="G206" s="2">
        <f>+'libro compras'!AK207</f>
        <v>0</v>
      </c>
      <c r="H206" s="7"/>
      <c r="I206" s="7" t="s">
        <v>56</v>
      </c>
      <c r="J206" s="7" t="str">
        <f>+CONCATENATE('libro compras'!C207," ",'libro compras'!D207)</f>
        <v xml:space="preserve"> </v>
      </c>
      <c r="K206" s="5">
        <f>+'libro compras'!F207</f>
        <v>0</v>
      </c>
      <c r="L206" s="1">
        <f>+'libro compras'!C207</f>
        <v>0</v>
      </c>
      <c r="M206" s="5">
        <f>+'libro compras'!D207</f>
        <v>0</v>
      </c>
      <c r="N206" s="7" t="s">
        <v>57</v>
      </c>
    </row>
    <row r="207" spans="1:14" hidden="1" x14ac:dyDescent="0.25">
      <c r="A207" s="9">
        <f t="shared" si="297"/>
        <v>52</v>
      </c>
      <c r="B207" s="5" t="str">
        <f>+'libro compras'!$AJ$1</f>
        <v>401110</v>
      </c>
      <c r="C207" s="1" t="str">
        <f t="shared" ref="C207:E207" si="310">+C206</f>
        <v>103</v>
      </c>
      <c r="D207" s="1">
        <f t="shared" si="310"/>
        <v>0</v>
      </c>
      <c r="E207" s="12" t="str">
        <f t="shared" si="310"/>
        <v/>
      </c>
      <c r="F207" s="7"/>
      <c r="G207" s="2">
        <f>+'libro compras'!AJ207</f>
        <v>0</v>
      </c>
      <c r="H207" s="7"/>
      <c r="I207" s="7" t="s">
        <v>56</v>
      </c>
      <c r="J207" s="7" t="str">
        <f t="shared" ref="J207:M207" si="311">+J206</f>
        <v xml:space="preserve"> </v>
      </c>
      <c r="K207" s="5">
        <f t="shared" si="311"/>
        <v>0</v>
      </c>
      <c r="L207" s="1">
        <f t="shared" si="311"/>
        <v>0</v>
      </c>
      <c r="M207" s="1">
        <f t="shared" si="311"/>
        <v>0</v>
      </c>
      <c r="N207" s="7" t="s">
        <v>57</v>
      </c>
    </row>
    <row r="208" spans="1:14" x14ac:dyDescent="0.25">
      <c r="A208" s="9">
        <f t="shared" si="297"/>
        <v>52</v>
      </c>
      <c r="B208" s="5" t="e">
        <f>+'libro compras'!P207</f>
        <v>#N/A</v>
      </c>
      <c r="C208" s="1" t="str">
        <f t="shared" ref="C208:E208" si="312">+C207</f>
        <v>103</v>
      </c>
      <c r="D208" s="1">
        <f t="shared" si="312"/>
        <v>0</v>
      </c>
      <c r="E208" s="12" t="str">
        <f t="shared" si="312"/>
        <v/>
      </c>
      <c r="F208" s="7"/>
      <c r="G208" s="2">
        <f>-'libro compras'!AI207</f>
        <v>0</v>
      </c>
      <c r="H208" s="7"/>
      <c r="I208" s="7" t="s">
        <v>36</v>
      </c>
      <c r="J208" s="7" t="str">
        <f>+CONCATENATE('libro compras'!C207," ",'libro compras'!D207)</f>
        <v xml:space="preserve"> </v>
      </c>
      <c r="K208" s="5">
        <f t="shared" ref="K208:M208" si="313">+K207</f>
        <v>0</v>
      </c>
      <c r="L208" s="1">
        <f t="shared" si="313"/>
        <v>0</v>
      </c>
      <c r="M208" s="1">
        <f t="shared" si="313"/>
        <v>0</v>
      </c>
      <c r="N208" s="7" t="s">
        <v>57</v>
      </c>
    </row>
    <row r="209" spans="1:14" x14ac:dyDescent="0.25">
      <c r="A209" s="9">
        <f t="shared" si="297"/>
        <v>52</v>
      </c>
      <c r="B209" s="2" t="e">
        <f>+VLOOKUP(B208,Hoja1!$A$1:$B$2,2,FALSE)</f>
        <v>#N/A</v>
      </c>
      <c r="C209" s="1" t="str">
        <f t="shared" ref="C209:E209" si="314">+C208</f>
        <v>103</v>
      </c>
      <c r="D209" s="1">
        <f t="shared" si="314"/>
        <v>0</v>
      </c>
      <c r="E209" s="12" t="str">
        <f t="shared" si="314"/>
        <v/>
      </c>
      <c r="F209" s="7"/>
      <c r="G209" s="2">
        <f>-'libro compras'!AB207</f>
        <v>0</v>
      </c>
      <c r="H209" s="7"/>
      <c r="I209" s="7" t="s">
        <v>36</v>
      </c>
      <c r="J209" s="7" t="str">
        <f>+CONCATENATE('libro compras'!C207," ",'libro compras'!D207)</f>
        <v xml:space="preserve"> </v>
      </c>
      <c r="K209" s="5">
        <f t="shared" ref="K209:M209" si="315">+K208</f>
        <v>0</v>
      </c>
      <c r="L209" s="1">
        <f t="shared" si="315"/>
        <v>0</v>
      </c>
      <c r="M209" s="1">
        <f t="shared" si="315"/>
        <v>0</v>
      </c>
      <c r="N209" s="7" t="s">
        <v>57</v>
      </c>
    </row>
    <row r="210" spans="1:14" x14ac:dyDescent="0.25">
      <c r="A210" s="9">
        <f t="shared" si="297"/>
        <v>53</v>
      </c>
      <c r="B210" s="5" t="str">
        <f>+'libro compras'!$AI$1</f>
        <v>281110</v>
      </c>
      <c r="C210" s="1" t="str">
        <f>+'libro compras'!Q211</f>
        <v>103</v>
      </c>
      <c r="D210" s="1">
        <f>+'libro compras'!R211</f>
        <v>0</v>
      </c>
      <c r="E210" s="12" t="str">
        <f>+'libro compras'!S211</f>
        <v/>
      </c>
      <c r="F210" s="7"/>
      <c r="G210" s="2">
        <f>+'libro compras'!AK211</f>
        <v>0</v>
      </c>
      <c r="H210" s="7"/>
      <c r="I210" s="7" t="s">
        <v>56</v>
      </c>
      <c r="J210" s="7" t="str">
        <f>+CONCATENATE('libro compras'!C211," ",'libro compras'!D211)</f>
        <v xml:space="preserve"> </v>
      </c>
      <c r="K210" s="5">
        <f>+'libro compras'!F211</f>
        <v>0</v>
      </c>
      <c r="L210" s="1">
        <f>+'libro compras'!C211</f>
        <v>0</v>
      </c>
      <c r="M210" s="5">
        <f>+'libro compras'!D211</f>
        <v>0</v>
      </c>
      <c r="N210" s="7" t="s">
        <v>57</v>
      </c>
    </row>
    <row r="211" spans="1:14" hidden="1" x14ac:dyDescent="0.25">
      <c r="A211" s="9">
        <f t="shared" si="297"/>
        <v>53</v>
      </c>
      <c r="B211" s="5" t="str">
        <f>+'libro compras'!$AJ$1</f>
        <v>401110</v>
      </c>
      <c r="C211" s="1" t="str">
        <f t="shared" ref="C211:E211" si="316">+C210</f>
        <v>103</v>
      </c>
      <c r="D211" s="1">
        <f t="shared" si="316"/>
        <v>0</v>
      </c>
      <c r="E211" s="12" t="str">
        <f t="shared" si="316"/>
        <v/>
      </c>
      <c r="F211" s="7"/>
      <c r="G211" s="2">
        <f>+'libro compras'!AJ211</f>
        <v>0</v>
      </c>
      <c r="H211" s="7"/>
      <c r="I211" s="7" t="s">
        <v>56</v>
      </c>
      <c r="J211" s="7" t="str">
        <f t="shared" ref="J211:M211" si="317">+J210</f>
        <v xml:space="preserve"> </v>
      </c>
      <c r="K211" s="5">
        <f t="shared" si="317"/>
        <v>0</v>
      </c>
      <c r="L211" s="1">
        <f t="shared" si="317"/>
        <v>0</v>
      </c>
      <c r="M211" s="1">
        <f t="shared" si="317"/>
        <v>0</v>
      </c>
      <c r="N211" s="7" t="s">
        <v>57</v>
      </c>
    </row>
    <row r="212" spans="1:14" x14ac:dyDescent="0.25">
      <c r="A212" s="9">
        <f t="shared" si="297"/>
        <v>53</v>
      </c>
      <c r="B212" s="5" t="e">
        <f>+'libro compras'!P211</f>
        <v>#N/A</v>
      </c>
      <c r="C212" s="1" t="str">
        <f t="shared" ref="C212:E212" si="318">+C211</f>
        <v>103</v>
      </c>
      <c r="D212" s="1">
        <f t="shared" si="318"/>
        <v>0</v>
      </c>
      <c r="E212" s="12" t="str">
        <f t="shared" si="318"/>
        <v/>
      </c>
      <c r="F212" s="7"/>
      <c r="G212" s="2">
        <f>-'libro compras'!AI211</f>
        <v>0</v>
      </c>
      <c r="H212" s="7"/>
      <c r="I212" s="7" t="s">
        <v>36</v>
      </c>
      <c r="J212" s="7" t="str">
        <f>+CONCATENATE('libro compras'!C211," ",'libro compras'!D211)</f>
        <v xml:space="preserve"> </v>
      </c>
      <c r="K212" s="5">
        <f t="shared" ref="K212:M212" si="319">+K211</f>
        <v>0</v>
      </c>
      <c r="L212" s="1">
        <f t="shared" si="319"/>
        <v>0</v>
      </c>
      <c r="M212" s="1">
        <f t="shared" si="319"/>
        <v>0</v>
      </c>
      <c r="N212" s="7" t="s">
        <v>57</v>
      </c>
    </row>
    <row r="213" spans="1:14" x14ac:dyDescent="0.25">
      <c r="A213" s="9">
        <f t="shared" si="297"/>
        <v>53</v>
      </c>
      <c r="B213" s="2" t="e">
        <f>+VLOOKUP(B212,Hoja1!$A$1:$B$2,2,FALSE)</f>
        <v>#N/A</v>
      </c>
      <c r="C213" s="1" t="str">
        <f t="shared" ref="C213:E213" si="320">+C212</f>
        <v>103</v>
      </c>
      <c r="D213" s="1">
        <f t="shared" si="320"/>
        <v>0</v>
      </c>
      <c r="E213" s="12" t="str">
        <f t="shared" si="320"/>
        <v/>
      </c>
      <c r="F213" s="7"/>
      <c r="G213" s="2">
        <f>-'libro compras'!AB211</f>
        <v>0</v>
      </c>
      <c r="H213" s="7"/>
      <c r="I213" s="7" t="s">
        <v>36</v>
      </c>
      <c r="J213" s="7" t="str">
        <f>+CONCATENATE('libro compras'!C211," ",'libro compras'!D211)</f>
        <v xml:space="preserve"> </v>
      </c>
      <c r="K213" s="5">
        <f t="shared" ref="K213:M213" si="321">+K212</f>
        <v>0</v>
      </c>
      <c r="L213" s="1">
        <f t="shared" si="321"/>
        <v>0</v>
      </c>
      <c r="M213" s="1">
        <f t="shared" si="321"/>
        <v>0</v>
      </c>
      <c r="N213" s="7" t="s">
        <v>57</v>
      </c>
    </row>
    <row r="214" spans="1:14" x14ac:dyDescent="0.25">
      <c r="A214" s="9">
        <f t="shared" si="297"/>
        <v>54</v>
      </c>
      <c r="B214" s="5" t="str">
        <f>+'libro compras'!$AI$1</f>
        <v>281110</v>
      </c>
      <c r="C214" s="1" t="str">
        <f>+'libro compras'!Q215</f>
        <v>103</v>
      </c>
      <c r="D214" s="1">
        <f>+'libro compras'!R215</f>
        <v>0</v>
      </c>
      <c r="E214" s="12" t="str">
        <f>+'libro compras'!S215</f>
        <v/>
      </c>
      <c r="F214" s="7"/>
      <c r="G214" s="2">
        <f>+'libro compras'!AK215</f>
        <v>0</v>
      </c>
      <c r="H214" s="7"/>
      <c r="I214" s="7" t="s">
        <v>56</v>
      </c>
      <c r="J214" s="7" t="str">
        <f>+CONCATENATE('libro compras'!C215," ",'libro compras'!D215)</f>
        <v xml:space="preserve"> </v>
      </c>
      <c r="K214" s="5">
        <f>+'libro compras'!F215</f>
        <v>0</v>
      </c>
      <c r="L214" s="1">
        <f>+'libro compras'!C215</f>
        <v>0</v>
      </c>
      <c r="M214" s="5">
        <f>+'libro compras'!D215</f>
        <v>0</v>
      </c>
      <c r="N214" s="7" t="s">
        <v>57</v>
      </c>
    </row>
    <row r="215" spans="1:14" hidden="1" x14ac:dyDescent="0.25">
      <c r="A215" s="9">
        <f t="shared" si="297"/>
        <v>54</v>
      </c>
      <c r="B215" s="5" t="str">
        <f>+'libro compras'!$AJ$1</f>
        <v>401110</v>
      </c>
      <c r="C215" s="1" t="str">
        <f t="shared" ref="C215:E215" si="322">+C214</f>
        <v>103</v>
      </c>
      <c r="D215" s="1">
        <f t="shared" si="322"/>
        <v>0</v>
      </c>
      <c r="E215" s="12" t="str">
        <f t="shared" si="322"/>
        <v/>
      </c>
      <c r="F215" s="7"/>
      <c r="G215" s="2">
        <f>+'libro compras'!AJ215</f>
        <v>0</v>
      </c>
      <c r="H215" s="7"/>
      <c r="I215" s="7" t="s">
        <v>56</v>
      </c>
      <c r="J215" s="7" t="str">
        <f t="shared" ref="J215:M215" si="323">+J214</f>
        <v xml:space="preserve"> </v>
      </c>
      <c r="K215" s="5">
        <f t="shared" si="323"/>
        <v>0</v>
      </c>
      <c r="L215" s="1">
        <f t="shared" si="323"/>
        <v>0</v>
      </c>
      <c r="M215" s="1">
        <f t="shared" si="323"/>
        <v>0</v>
      </c>
      <c r="N215" s="7" t="s">
        <v>57</v>
      </c>
    </row>
    <row r="216" spans="1:14" x14ac:dyDescent="0.25">
      <c r="A216" s="9">
        <f t="shared" si="297"/>
        <v>54</v>
      </c>
      <c r="B216" s="5" t="e">
        <f>+'libro compras'!P215</f>
        <v>#N/A</v>
      </c>
      <c r="C216" s="1" t="str">
        <f t="shared" ref="C216:E216" si="324">+C215</f>
        <v>103</v>
      </c>
      <c r="D216" s="1">
        <f t="shared" si="324"/>
        <v>0</v>
      </c>
      <c r="E216" s="12" t="str">
        <f t="shared" si="324"/>
        <v/>
      </c>
      <c r="F216" s="7"/>
      <c r="G216" s="2">
        <f>-'libro compras'!AI215</f>
        <v>0</v>
      </c>
      <c r="H216" s="7"/>
      <c r="I216" s="7" t="s">
        <v>36</v>
      </c>
      <c r="J216" s="7" t="str">
        <f>+CONCATENATE('libro compras'!C215," ",'libro compras'!D215)</f>
        <v xml:space="preserve"> </v>
      </c>
      <c r="K216" s="5">
        <f t="shared" ref="K216:M216" si="325">+K215</f>
        <v>0</v>
      </c>
      <c r="L216" s="1">
        <f t="shared" si="325"/>
        <v>0</v>
      </c>
      <c r="M216" s="1">
        <f t="shared" si="325"/>
        <v>0</v>
      </c>
      <c r="N216" s="7" t="s">
        <v>57</v>
      </c>
    </row>
    <row r="217" spans="1:14" x14ac:dyDescent="0.25">
      <c r="A217" s="9">
        <f t="shared" si="297"/>
        <v>54</v>
      </c>
      <c r="B217" s="2" t="e">
        <f>+VLOOKUP(B216,Hoja1!$A$1:$B$2,2,FALSE)</f>
        <v>#N/A</v>
      </c>
      <c r="C217" s="1" t="str">
        <f t="shared" ref="C217:E217" si="326">+C216</f>
        <v>103</v>
      </c>
      <c r="D217" s="1">
        <f t="shared" si="326"/>
        <v>0</v>
      </c>
      <c r="E217" s="12" t="str">
        <f t="shared" si="326"/>
        <v/>
      </c>
      <c r="F217" s="7"/>
      <c r="G217" s="2">
        <f>-'libro compras'!AB215</f>
        <v>0</v>
      </c>
      <c r="H217" s="7"/>
      <c r="I217" s="7" t="s">
        <v>36</v>
      </c>
      <c r="J217" s="7" t="str">
        <f>+CONCATENATE('libro compras'!C215," ",'libro compras'!D215)</f>
        <v xml:space="preserve"> </v>
      </c>
      <c r="K217" s="5">
        <f t="shared" ref="K217:M217" si="327">+K216</f>
        <v>0</v>
      </c>
      <c r="L217" s="1">
        <f t="shared" si="327"/>
        <v>0</v>
      </c>
      <c r="M217" s="1">
        <f t="shared" si="327"/>
        <v>0</v>
      </c>
      <c r="N217" s="7" t="s">
        <v>57</v>
      </c>
    </row>
    <row r="218" spans="1:14" x14ac:dyDescent="0.25">
      <c r="A218" s="9">
        <f t="shared" si="297"/>
        <v>55</v>
      </c>
      <c r="B218" s="5" t="str">
        <f>+'libro compras'!$AI$1</f>
        <v>281110</v>
      </c>
      <c r="C218" s="1" t="str">
        <f>+'libro compras'!Q219</f>
        <v>103</v>
      </c>
      <c r="D218" s="1">
        <f>+'libro compras'!R219</f>
        <v>0</v>
      </c>
      <c r="E218" s="12" t="str">
        <f>+'libro compras'!S219</f>
        <v/>
      </c>
      <c r="F218" s="7"/>
      <c r="G218" s="2">
        <f>+'libro compras'!AK219</f>
        <v>0</v>
      </c>
      <c r="H218" s="7"/>
      <c r="I218" s="7" t="s">
        <v>56</v>
      </c>
      <c r="J218" s="7" t="str">
        <f>+CONCATENATE('libro compras'!C219," ",'libro compras'!D219)</f>
        <v xml:space="preserve"> </v>
      </c>
      <c r="K218" s="5">
        <f>+'libro compras'!F219</f>
        <v>0</v>
      </c>
      <c r="L218" s="1">
        <f>+'libro compras'!C219</f>
        <v>0</v>
      </c>
      <c r="M218" s="5">
        <f>+'libro compras'!D219</f>
        <v>0</v>
      </c>
      <c r="N218" s="7" t="s">
        <v>57</v>
      </c>
    </row>
    <row r="219" spans="1:14" hidden="1" x14ac:dyDescent="0.25">
      <c r="A219" s="9">
        <f t="shared" si="297"/>
        <v>55</v>
      </c>
      <c r="B219" s="5" t="str">
        <f>+'libro compras'!$AJ$1</f>
        <v>401110</v>
      </c>
      <c r="C219" s="1" t="str">
        <f t="shared" ref="C219:E219" si="328">+C218</f>
        <v>103</v>
      </c>
      <c r="D219" s="1">
        <f t="shared" si="328"/>
        <v>0</v>
      </c>
      <c r="E219" s="12" t="str">
        <f t="shared" si="328"/>
        <v/>
      </c>
      <c r="F219" s="7"/>
      <c r="G219" s="2">
        <f>+'libro compras'!AJ219</f>
        <v>0</v>
      </c>
      <c r="H219" s="7"/>
      <c r="I219" s="7" t="s">
        <v>56</v>
      </c>
      <c r="J219" s="7" t="str">
        <f t="shared" ref="J219:M219" si="329">+J218</f>
        <v xml:space="preserve"> </v>
      </c>
      <c r="K219" s="5">
        <f t="shared" si="329"/>
        <v>0</v>
      </c>
      <c r="L219" s="1">
        <f t="shared" si="329"/>
        <v>0</v>
      </c>
      <c r="M219" s="1">
        <f t="shared" si="329"/>
        <v>0</v>
      </c>
      <c r="N219" s="7" t="s">
        <v>57</v>
      </c>
    </row>
    <row r="220" spans="1:14" x14ac:dyDescent="0.25">
      <c r="A220" s="9">
        <f t="shared" si="297"/>
        <v>55</v>
      </c>
      <c r="B220" s="5" t="e">
        <f>+'libro compras'!P219</f>
        <v>#N/A</v>
      </c>
      <c r="C220" s="1" t="str">
        <f t="shared" ref="C220:E220" si="330">+C219</f>
        <v>103</v>
      </c>
      <c r="D220" s="1">
        <f t="shared" si="330"/>
        <v>0</v>
      </c>
      <c r="E220" s="12" t="str">
        <f t="shared" si="330"/>
        <v/>
      </c>
      <c r="F220" s="7"/>
      <c r="G220" s="2">
        <f>-'libro compras'!AI219</f>
        <v>0</v>
      </c>
      <c r="H220" s="7"/>
      <c r="I220" s="7" t="s">
        <v>36</v>
      </c>
      <c r="J220" s="7" t="str">
        <f>+CONCATENATE('libro compras'!C219," ",'libro compras'!D219)</f>
        <v xml:space="preserve"> </v>
      </c>
      <c r="K220" s="5">
        <f t="shared" ref="K220:M220" si="331">+K219</f>
        <v>0</v>
      </c>
      <c r="L220" s="1">
        <f t="shared" si="331"/>
        <v>0</v>
      </c>
      <c r="M220" s="1">
        <f t="shared" si="331"/>
        <v>0</v>
      </c>
      <c r="N220" s="7" t="s">
        <v>57</v>
      </c>
    </row>
    <row r="221" spans="1:14" x14ac:dyDescent="0.25">
      <c r="A221" s="9">
        <f t="shared" si="297"/>
        <v>55</v>
      </c>
      <c r="B221" s="2" t="e">
        <f>+VLOOKUP(B220,Hoja1!$A$1:$B$2,2,FALSE)</f>
        <v>#N/A</v>
      </c>
      <c r="C221" s="1" t="str">
        <f t="shared" ref="C221:E221" si="332">+C220</f>
        <v>103</v>
      </c>
      <c r="D221" s="1">
        <f t="shared" si="332"/>
        <v>0</v>
      </c>
      <c r="E221" s="12" t="str">
        <f t="shared" si="332"/>
        <v/>
      </c>
      <c r="F221" s="7"/>
      <c r="G221" s="2">
        <f>-'libro compras'!AB219</f>
        <v>0</v>
      </c>
      <c r="H221" s="7"/>
      <c r="I221" s="7" t="s">
        <v>36</v>
      </c>
      <c r="J221" s="7" t="str">
        <f>+CONCATENATE('libro compras'!C219," ",'libro compras'!D219)</f>
        <v xml:space="preserve"> </v>
      </c>
      <c r="K221" s="5">
        <f t="shared" ref="K221:M221" si="333">+K220</f>
        <v>0</v>
      </c>
      <c r="L221" s="1">
        <f t="shared" si="333"/>
        <v>0</v>
      </c>
      <c r="M221" s="1">
        <f t="shared" si="333"/>
        <v>0</v>
      </c>
      <c r="N221" s="7" t="s">
        <v>57</v>
      </c>
    </row>
    <row r="222" spans="1:14" x14ac:dyDescent="0.25">
      <c r="A222" s="9">
        <f t="shared" si="297"/>
        <v>56</v>
      </c>
      <c r="B222" s="5" t="str">
        <f>+'libro compras'!$AI$1</f>
        <v>281110</v>
      </c>
      <c r="C222" s="1" t="str">
        <f>+'libro compras'!Q223</f>
        <v>103</v>
      </c>
      <c r="D222" s="1">
        <f>+'libro compras'!R223</f>
        <v>0</v>
      </c>
      <c r="E222" s="12" t="str">
        <f>+'libro compras'!S223</f>
        <v/>
      </c>
      <c r="F222" s="7"/>
      <c r="G222" s="2">
        <f>+'libro compras'!AK223</f>
        <v>0</v>
      </c>
      <c r="H222" s="7"/>
      <c r="I222" s="7" t="s">
        <v>56</v>
      </c>
      <c r="J222" s="7" t="str">
        <f>+CONCATENATE('libro compras'!C223," ",'libro compras'!D223)</f>
        <v xml:space="preserve"> </v>
      </c>
      <c r="K222" s="5">
        <f>+'libro compras'!F223</f>
        <v>0</v>
      </c>
      <c r="L222" s="1">
        <f>+'libro compras'!C223</f>
        <v>0</v>
      </c>
      <c r="M222" s="5">
        <f>+'libro compras'!D223</f>
        <v>0</v>
      </c>
      <c r="N222" s="7" t="s">
        <v>57</v>
      </c>
    </row>
    <row r="223" spans="1:14" hidden="1" x14ac:dyDescent="0.25">
      <c r="A223" s="9">
        <f t="shared" si="297"/>
        <v>56</v>
      </c>
      <c r="B223" s="5" t="str">
        <f>+'libro compras'!$AJ$1</f>
        <v>401110</v>
      </c>
      <c r="C223" s="1" t="str">
        <f t="shared" ref="C223:E223" si="334">+C222</f>
        <v>103</v>
      </c>
      <c r="D223" s="1">
        <f t="shared" si="334"/>
        <v>0</v>
      </c>
      <c r="E223" s="12" t="str">
        <f t="shared" si="334"/>
        <v/>
      </c>
      <c r="F223" s="7"/>
      <c r="G223" s="2">
        <f>+'libro compras'!AJ223</f>
        <v>0</v>
      </c>
      <c r="H223" s="7"/>
      <c r="I223" s="7" t="s">
        <v>56</v>
      </c>
      <c r="J223" s="7" t="str">
        <f t="shared" ref="J223:M223" si="335">+J222</f>
        <v xml:space="preserve"> </v>
      </c>
      <c r="K223" s="5">
        <f t="shared" si="335"/>
        <v>0</v>
      </c>
      <c r="L223" s="1">
        <f t="shared" si="335"/>
        <v>0</v>
      </c>
      <c r="M223" s="1">
        <f t="shared" si="335"/>
        <v>0</v>
      </c>
      <c r="N223" s="7" t="s">
        <v>57</v>
      </c>
    </row>
    <row r="224" spans="1:14" x14ac:dyDescent="0.25">
      <c r="A224" s="9">
        <f t="shared" si="297"/>
        <v>56</v>
      </c>
      <c r="B224" s="5" t="e">
        <f>+'libro compras'!P223</f>
        <v>#N/A</v>
      </c>
      <c r="C224" s="1" t="str">
        <f t="shared" ref="C224:E224" si="336">+C223</f>
        <v>103</v>
      </c>
      <c r="D224" s="1">
        <f t="shared" si="336"/>
        <v>0</v>
      </c>
      <c r="E224" s="12" t="str">
        <f t="shared" si="336"/>
        <v/>
      </c>
      <c r="F224" s="7"/>
      <c r="G224" s="2">
        <f>-'libro compras'!AI223</f>
        <v>0</v>
      </c>
      <c r="H224" s="7"/>
      <c r="I224" s="7" t="s">
        <v>36</v>
      </c>
      <c r="J224" s="7" t="str">
        <f>+CONCATENATE('libro compras'!C223," ",'libro compras'!D223)</f>
        <v xml:space="preserve"> </v>
      </c>
      <c r="K224" s="5">
        <f t="shared" ref="K224:M224" si="337">+K223</f>
        <v>0</v>
      </c>
      <c r="L224" s="1">
        <f t="shared" si="337"/>
        <v>0</v>
      </c>
      <c r="M224" s="1">
        <f t="shared" si="337"/>
        <v>0</v>
      </c>
      <c r="N224" s="7" t="s">
        <v>57</v>
      </c>
    </row>
    <row r="225" spans="1:14" x14ac:dyDescent="0.25">
      <c r="A225" s="9">
        <f t="shared" si="297"/>
        <v>56</v>
      </c>
      <c r="B225" s="2" t="e">
        <f>+VLOOKUP(B224,Hoja1!$A$1:$B$2,2,FALSE)</f>
        <v>#N/A</v>
      </c>
      <c r="C225" s="1" t="str">
        <f t="shared" ref="C225:E225" si="338">+C224</f>
        <v>103</v>
      </c>
      <c r="D225" s="1">
        <f t="shared" si="338"/>
        <v>0</v>
      </c>
      <c r="E225" s="12" t="str">
        <f t="shared" si="338"/>
        <v/>
      </c>
      <c r="F225" s="7"/>
      <c r="G225" s="2">
        <f>-'libro compras'!AB223</f>
        <v>0</v>
      </c>
      <c r="H225" s="7"/>
      <c r="I225" s="7" t="s">
        <v>36</v>
      </c>
      <c r="J225" s="7" t="str">
        <f>+CONCATENATE('libro compras'!C223," ",'libro compras'!D223)</f>
        <v xml:space="preserve"> </v>
      </c>
      <c r="K225" s="5">
        <f t="shared" ref="K225:M225" si="339">+K224</f>
        <v>0</v>
      </c>
      <c r="L225" s="1">
        <f t="shared" si="339"/>
        <v>0</v>
      </c>
      <c r="M225" s="1">
        <f t="shared" si="339"/>
        <v>0</v>
      </c>
      <c r="N225" s="7" t="s">
        <v>57</v>
      </c>
    </row>
    <row r="226" spans="1:14" x14ac:dyDescent="0.25">
      <c r="A226" s="9">
        <f t="shared" si="297"/>
        <v>57</v>
      </c>
      <c r="B226" s="5" t="str">
        <f>+'libro compras'!$AI$1</f>
        <v>281110</v>
      </c>
      <c r="C226" s="1" t="str">
        <f>+'libro compras'!Q227</f>
        <v>103</v>
      </c>
      <c r="D226" s="1">
        <f>+'libro compras'!R227</f>
        <v>0</v>
      </c>
      <c r="E226" s="12" t="str">
        <f>+'libro compras'!S227</f>
        <v/>
      </c>
      <c r="F226" s="7"/>
      <c r="G226" s="2">
        <f>+'libro compras'!AK227</f>
        <v>0</v>
      </c>
      <c r="H226" s="7"/>
      <c r="I226" s="7" t="s">
        <v>56</v>
      </c>
      <c r="J226" s="7" t="str">
        <f>+CONCATENATE('libro compras'!C227," ",'libro compras'!D227)</f>
        <v xml:space="preserve"> </v>
      </c>
      <c r="K226" s="5">
        <f>+'libro compras'!F227</f>
        <v>0</v>
      </c>
      <c r="L226" s="1">
        <f>+'libro compras'!C227</f>
        <v>0</v>
      </c>
      <c r="M226" s="5">
        <f>+'libro compras'!D227</f>
        <v>0</v>
      </c>
      <c r="N226" s="7" t="s">
        <v>57</v>
      </c>
    </row>
    <row r="227" spans="1:14" hidden="1" x14ac:dyDescent="0.25">
      <c r="A227" s="9">
        <f t="shared" si="297"/>
        <v>57</v>
      </c>
      <c r="B227" s="5" t="str">
        <f>+'libro compras'!$AJ$1</f>
        <v>401110</v>
      </c>
      <c r="C227" s="1" t="str">
        <f t="shared" ref="C227:E227" si="340">+C226</f>
        <v>103</v>
      </c>
      <c r="D227" s="1">
        <f t="shared" si="340"/>
        <v>0</v>
      </c>
      <c r="E227" s="12" t="str">
        <f t="shared" si="340"/>
        <v/>
      </c>
      <c r="F227" s="7"/>
      <c r="G227" s="2">
        <f>+'libro compras'!AJ227</f>
        <v>0</v>
      </c>
      <c r="H227" s="7"/>
      <c r="I227" s="7" t="s">
        <v>56</v>
      </c>
      <c r="J227" s="7" t="str">
        <f t="shared" ref="J227:M227" si="341">+J226</f>
        <v xml:space="preserve"> </v>
      </c>
      <c r="K227" s="5">
        <f t="shared" si="341"/>
        <v>0</v>
      </c>
      <c r="L227" s="1">
        <f t="shared" si="341"/>
        <v>0</v>
      </c>
      <c r="M227" s="1">
        <f t="shared" si="341"/>
        <v>0</v>
      </c>
      <c r="N227" s="7" t="s">
        <v>57</v>
      </c>
    </row>
    <row r="228" spans="1:14" x14ac:dyDescent="0.25">
      <c r="A228" s="9">
        <f t="shared" si="297"/>
        <v>57</v>
      </c>
      <c r="B228" s="5" t="e">
        <f>+'libro compras'!P227</f>
        <v>#N/A</v>
      </c>
      <c r="C228" s="1" t="str">
        <f t="shared" ref="C228:E228" si="342">+C227</f>
        <v>103</v>
      </c>
      <c r="D228" s="1">
        <f t="shared" si="342"/>
        <v>0</v>
      </c>
      <c r="E228" s="12" t="str">
        <f t="shared" si="342"/>
        <v/>
      </c>
      <c r="F228" s="7"/>
      <c r="G228" s="2">
        <f>-'libro compras'!AI227</f>
        <v>0</v>
      </c>
      <c r="H228" s="7"/>
      <c r="I228" s="7" t="s">
        <v>36</v>
      </c>
      <c r="J228" s="7" t="str">
        <f>+CONCATENATE('libro compras'!C227," ",'libro compras'!D227)</f>
        <v xml:space="preserve"> </v>
      </c>
      <c r="K228" s="5">
        <f t="shared" ref="K228:M228" si="343">+K227</f>
        <v>0</v>
      </c>
      <c r="L228" s="1">
        <f t="shared" si="343"/>
        <v>0</v>
      </c>
      <c r="M228" s="1">
        <f t="shared" si="343"/>
        <v>0</v>
      </c>
      <c r="N228" s="7" t="s">
        <v>57</v>
      </c>
    </row>
    <row r="229" spans="1:14" x14ac:dyDescent="0.25">
      <c r="A229" s="9">
        <f t="shared" si="297"/>
        <v>57</v>
      </c>
      <c r="B229" s="2" t="e">
        <f>+VLOOKUP(B228,Hoja1!$A$1:$B$2,2,FALSE)</f>
        <v>#N/A</v>
      </c>
      <c r="C229" s="1" t="str">
        <f t="shared" ref="C229:E229" si="344">+C228</f>
        <v>103</v>
      </c>
      <c r="D229" s="1">
        <f t="shared" si="344"/>
        <v>0</v>
      </c>
      <c r="E229" s="12" t="str">
        <f t="shared" si="344"/>
        <v/>
      </c>
      <c r="F229" s="7"/>
      <c r="G229" s="2">
        <f>-'libro compras'!AB227</f>
        <v>0</v>
      </c>
      <c r="H229" s="7"/>
      <c r="I229" s="7" t="s">
        <v>36</v>
      </c>
      <c r="J229" s="7" t="str">
        <f>+CONCATENATE('libro compras'!C227," ",'libro compras'!D227)</f>
        <v xml:space="preserve"> </v>
      </c>
      <c r="K229" s="5">
        <f t="shared" ref="K229:M229" si="345">+K228</f>
        <v>0</v>
      </c>
      <c r="L229" s="1">
        <f t="shared" si="345"/>
        <v>0</v>
      </c>
      <c r="M229" s="1">
        <f t="shared" si="345"/>
        <v>0</v>
      </c>
      <c r="N229" s="7" t="s">
        <v>57</v>
      </c>
    </row>
    <row r="230" spans="1:14" x14ac:dyDescent="0.25">
      <c r="A230" s="9">
        <f t="shared" si="297"/>
        <v>58</v>
      </c>
      <c r="B230" s="5" t="str">
        <f>+'libro compras'!$AI$1</f>
        <v>281110</v>
      </c>
      <c r="C230" s="1" t="str">
        <f>+'libro compras'!Q231</f>
        <v>103</v>
      </c>
      <c r="D230" s="1">
        <f>+'libro compras'!R231</f>
        <v>0</v>
      </c>
      <c r="E230" s="12" t="str">
        <f>+'libro compras'!S231</f>
        <v/>
      </c>
      <c r="F230" s="7"/>
      <c r="G230" s="2">
        <f>+'libro compras'!AK231</f>
        <v>0</v>
      </c>
      <c r="H230" s="7"/>
      <c r="I230" s="7" t="s">
        <v>56</v>
      </c>
      <c r="J230" s="7" t="str">
        <f>+CONCATENATE('libro compras'!C231," ",'libro compras'!D231)</f>
        <v xml:space="preserve"> </v>
      </c>
      <c r="K230" s="5">
        <f>+'libro compras'!F231</f>
        <v>0</v>
      </c>
      <c r="L230" s="1">
        <f>+'libro compras'!C231</f>
        <v>0</v>
      </c>
      <c r="M230" s="5">
        <f>+'libro compras'!D231</f>
        <v>0</v>
      </c>
      <c r="N230" s="7" t="s">
        <v>57</v>
      </c>
    </row>
    <row r="231" spans="1:14" hidden="1" x14ac:dyDescent="0.25">
      <c r="A231" s="9">
        <f t="shared" si="297"/>
        <v>58</v>
      </c>
      <c r="B231" s="5" t="str">
        <f>+'libro compras'!$AJ$1</f>
        <v>401110</v>
      </c>
      <c r="C231" s="1" t="str">
        <f t="shared" ref="C231:E231" si="346">+C230</f>
        <v>103</v>
      </c>
      <c r="D231" s="1">
        <f t="shared" si="346"/>
        <v>0</v>
      </c>
      <c r="E231" s="12" t="str">
        <f t="shared" si="346"/>
        <v/>
      </c>
      <c r="F231" s="7"/>
      <c r="G231" s="2">
        <f>+'libro compras'!AJ231</f>
        <v>0</v>
      </c>
      <c r="H231" s="7"/>
      <c r="I231" s="7" t="s">
        <v>56</v>
      </c>
      <c r="J231" s="7" t="str">
        <f t="shared" ref="J231:M231" si="347">+J230</f>
        <v xml:space="preserve"> </v>
      </c>
      <c r="K231" s="5">
        <f t="shared" si="347"/>
        <v>0</v>
      </c>
      <c r="L231" s="1">
        <f t="shared" si="347"/>
        <v>0</v>
      </c>
      <c r="M231" s="1">
        <f t="shared" si="347"/>
        <v>0</v>
      </c>
      <c r="N231" s="7" t="s">
        <v>57</v>
      </c>
    </row>
    <row r="232" spans="1:14" x14ac:dyDescent="0.25">
      <c r="A232" s="9">
        <f t="shared" si="297"/>
        <v>58</v>
      </c>
      <c r="B232" s="5" t="e">
        <f>+'libro compras'!P231</f>
        <v>#N/A</v>
      </c>
      <c r="C232" s="1" t="str">
        <f t="shared" ref="C232:E232" si="348">+C231</f>
        <v>103</v>
      </c>
      <c r="D232" s="1">
        <f t="shared" si="348"/>
        <v>0</v>
      </c>
      <c r="E232" s="12" t="str">
        <f t="shared" si="348"/>
        <v/>
      </c>
      <c r="F232" s="7"/>
      <c r="G232" s="2">
        <f>-'libro compras'!AI231</f>
        <v>0</v>
      </c>
      <c r="H232" s="7"/>
      <c r="I232" s="7" t="s">
        <v>36</v>
      </c>
      <c r="J232" s="7" t="str">
        <f>+CONCATENATE('libro compras'!C231," ",'libro compras'!D231)</f>
        <v xml:space="preserve"> </v>
      </c>
      <c r="K232" s="5">
        <f t="shared" ref="K232:M232" si="349">+K231</f>
        <v>0</v>
      </c>
      <c r="L232" s="1">
        <f t="shared" si="349"/>
        <v>0</v>
      </c>
      <c r="M232" s="1">
        <f t="shared" si="349"/>
        <v>0</v>
      </c>
      <c r="N232" s="7" t="s">
        <v>57</v>
      </c>
    </row>
    <row r="233" spans="1:14" x14ac:dyDescent="0.25">
      <c r="A233" s="9">
        <f t="shared" si="297"/>
        <v>58</v>
      </c>
      <c r="B233" s="2" t="e">
        <f>+VLOOKUP(B232,Hoja1!$A$1:$B$2,2,FALSE)</f>
        <v>#N/A</v>
      </c>
      <c r="C233" s="1" t="str">
        <f t="shared" ref="C233:E233" si="350">+C232</f>
        <v>103</v>
      </c>
      <c r="D233" s="1">
        <f t="shared" si="350"/>
        <v>0</v>
      </c>
      <c r="E233" s="12" t="str">
        <f t="shared" si="350"/>
        <v/>
      </c>
      <c r="F233" s="7"/>
      <c r="G233" s="2">
        <f>-'libro compras'!AB231</f>
        <v>0</v>
      </c>
      <c r="H233" s="7"/>
      <c r="I233" s="7" t="s">
        <v>36</v>
      </c>
      <c r="J233" s="7" t="str">
        <f>+CONCATENATE('libro compras'!C231," ",'libro compras'!D231)</f>
        <v xml:space="preserve"> </v>
      </c>
      <c r="K233" s="5">
        <f t="shared" ref="K233:M233" si="351">+K232</f>
        <v>0</v>
      </c>
      <c r="L233" s="1">
        <f t="shared" si="351"/>
        <v>0</v>
      </c>
      <c r="M233" s="1">
        <f t="shared" si="351"/>
        <v>0</v>
      </c>
      <c r="N233" s="7" t="s">
        <v>57</v>
      </c>
    </row>
    <row r="234" spans="1:14" x14ac:dyDescent="0.25">
      <c r="A234" s="9">
        <f t="shared" si="297"/>
        <v>59</v>
      </c>
      <c r="B234" s="5" t="str">
        <f>+'libro compras'!$AI$1</f>
        <v>281110</v>
      </c>
      <c r="C234" s="1" t="str">
        <f>+'libro compras'!Q235</f>
        <v>103</v>
      </c>
      <c r="D234" s="1">
        <f>+'libro compras'!R235</f>
        <v>0</v>
      </c>
      <c r="E234" s="12" t="str">
        <f>+'libro compras'!S235</f>
        <v/>
      </c>
      <c r="F234" s="7"/>
      <c r="G234" s="2">
        <f>+'libro compras'!AK235</f>
        <v>0</v>
      </c>
      <c r="H234" s="7"/>
      <c r="I234" s="7" t="s">
        <v>56</v>
      </c>
      <c r="J234" s="7" t="str">
        <f>+CONCATENATE('libro compras'!C235," ",'libro compras'!D235)</f>
        <v xml:space="preserve"> </v>
      </c>
      <c r="K234" s="5">
        <f>+'libro compras'!F235</f>
        <v>0</v>
      </c>
      <c r="L234" s="1">
        <f>+'libro compras'!C235</f>
        <v>0</v>
      </c>
      <c r="M234" s="5">
        <f>+'libro compras'!D235</f>
        <v>0</v>
      </c>
      <c r="N234" s="7" t="s">
        <v>57</v>
      </c>
    </row>
    <row r="235" spans="1:14" hidden="1" x14ac:dyDescent="0.25">
      <c r="A235" s="9">
        <f t="shared" si="297"/>
        <v>59</v>
      </c>
      <c r="B235" s="5" t="str">
        <f>+'libro compras'!$AJ$1</f>
        <v>401110</v>
      </c>
      <c r="C235" s="1" t="str">
        <f t="shared" ref="C235:E235" si="352">+C234</f>
        <v>103</v>
      </c>
      <c r="D235" s="1">
        <f t="shared" si="352"/>
        <v>0</v>
      </c>
      <c r="E235" s="12" t="str">
        <f t="shared" si="352"/>
        <v/>
      </c>
      <c r="F235" s="7"/>
      <c r="G235" s="2">
        <f>+'libro compras'!AJ235</f>
        <v>0</v>
      </c>
      <c r="H235" s="7"/>
      <c r="I235" s="7" t="s">
        <v>56</v>
      </c>
      <c r="J235" s="7" t="str">
        <f t="shared" ref="J235:M235" si="353">+J234</f>
        <v xml:space="preserve"> </v>
      </c>
      <c r="K235" s="5">
        <f t="shared" si="353"/>
        <v>0</v>
      </c>
      <c r="L235" s="1">
        <f t="shared" si="353"/>
        <v>0</v>
      </c>
      <c r="M235" s="1">
        <f t="shared" si="353"/>
        <v>0</v>
      </c>
      <c r="N235" s="7" t="s">
        <v>57</v>
      </c>
    </row>
    <row r="236" spans="1:14" x14ac:dyDescent="0.25">
      <c r="A236" s="9">
        <f t="shared" si="297"/>
        <v>59</v>
      </c>
      <c r="B236" s="5" t="e">
        <f>+'libro compras'!P235</f>
        <v>#N/A</v>
      </c>
      <c r="C236" s="1" t="str">
        <f t="shared" ref="C236:E236" si="354">+C235</f>
        <v>103</v>
      </c>
      <c r="D236" s="1">
        <f t="shared" si="354"/>
        <v>0</v>
      </c>
      <c r="E236" s="12" t="str">
        <f t="shared" si="354"/>
        <v/>
      </c>
      <c r="F236" s="7"/>
      <c r="G236" s="2">
        <f>-'libro compras'!AI235</f>
        <v>0</v>
      </c>
      <c r="H236" s="7"/>
      <c r="I236" s="7" t="s">
        <v>36</v>
      </c>
      <c r="J236" s="7" t="str">
        <f>+CONCATENATE('libro compras'!C235," ",'libro compras'!D235)</f>
        <v xml:space="preserve"> </v>
      </c>
      <c r="K236" s="5">
        <f t="shared" ref="K236:M236" si="355">+K235</f>
        <v>0</v>
      </c>
      <c r="L236" s="1">
        <f t="shared" si="355"/>
        <v>0</v>
      </c>
      <c r="M236" s="1">
        <f t="shared" si="355"/>
        <v>0</v>
      </c>
      <c r="N236" s="7" t="s">
        <v>57</v>
      </c>
    </row>
    <row r="237" spans="1:14" x14ac:dyDescent="0.25">
      <c r="A237" s="9">
        <f t="shared" si="297"/>
        <v>59</v>
      </c>
      <c r="B237" s="2" t="e">
        <f>+VLOOKUP(B236,Hoja1!$A$1:$B$2,2,FALSE)</f>
        <v>#N/A</v>
      </c>
      <c r="C237" s="1" t="str">
        <f t="shared" ref="C237:E237" si="356">+C236</f>
        <v>103</v>
      </c>
      <c r="D237" s="1">
        <f t="shared" si="356"/>
        <v>0</v>
      </c>
      <c r="E237" s="12" t="str">
        <f t="shared" si="356"/>
        <v/>
      </c>
      <c r="F237" s="7"/>
      <c r="G237" s="2">
        <f>-'libro compras'!AB235</f>
        <v>0</v>
      </c>
      <c r="H237" s="7"/>
      <c r="I237" s="7" t="s">
        <v>36</v>
      </c>
      <c r="J237" s="7" t="str">
        <f>+CONCATENATE('libro compras'!C235," ",'libro compras'!D235)</f>
        <v xml:space="preserve"> </v>
      </c>
      <c r="K237" s="5">
        <f t="shared" ref="K237:M237" si="357">+K236</f>
        <v>0</v>
      </c>
      <c r="L237" s="1">
        <f t="shared" si="357"/>
        <v>0</v>
      </c>
      <c r="M237" s="1">
        <f t="shared" si="357"/>
        <v>0</v>
      </c>
      <c r="N237" s="7" t="s">
        <v>57</v>
      </c>
    </row>
    <row r="238" spans="1:14" x14ac:dyDescent="0.25">
      <c r="A238" s="9">
        <f t="shared" si="297"/>
        <v>60</v>
      </c>
      <c r="B238" s="5" t="str">
        <f>+'libro compras'!$AI$1</f>
        <v>281110</v>
      </c>
      <c r="C238" s="1" t="str">
        <f>+'libro compras'!Q239</f>
        <v>103</v>
      </c>
      <c r="D238" s="1">
        <f>+'libro compras'!R239</f>
        <v>0</v>
      </c>
      <c r="E238" s="12" t="str">
        <f>+'libro compras'!S239</f>
        <v/>
      </c>
      <c r="F238" s="7"/>
      <c r="G238" s="2">
        <f>+'libro compras'!AK239</f>
        <v>0</v>
      </c>
      <c r="H238" s="7"/>
      <c r="I238" s="7" t="s">
        <v>56</v>
      </c>
      <c r="J238" s="7" t="str">
        <f>+CONCATENATE('libro compras'!C239," ",'libro compras'!D239)</f>
        <v xml:space="preserve"> </v>
      </c>
      <c r="K238" s="5">
        <f>+'libro compras'!F239</f>
        <v>0</v>
      </c>
      <c r="L238" s="1">
        <f>+'libro compras'!C239</f>
        <v>0</v>
      </c>
      <c r="M238" s="5">
        <f>+'libro compras'!D239</f>
        <v>0</v>
      </c>
      <c r="N238" s="7" t="s">
        <v>57</v>
      </c>
    </row>
    <row r="239" spans="1:14" hidden="1" x14ac:dyDescent="0.25">
      <c r="A239" s="9">
        <f t="shared" si="297"/>
        <v>60</v>
      </c>
      <c r="B239" s="5" t="str">
        <f>+'libro compras'!$AJ$1</f>
        <v>401110</v>
      </c>
      <c r="C239" s="1" t="str">
        <f t="shared" ref="C239:E239" si="358">+C238</f>
        <v>103</v>
      </c>
      <c r="D239" s="1">
        <f t="shared" si="358"/>
        <v>0</v>
      </c>
      <c r="E239" s="12" t="str">
        <f t="shared" si="358"/>
        <v/>
      </c>
      <c r="F239" s="7"/>
      <c r="G239" s="2">
        <f>+'libro compras'!AJ239</f>
        <v>0</v>
      </c>
      <c r="H239" s="7"/>
      <c r="I239" s="7" t="s">
        <v>56</v>
      </c>
      <c r="J239" s="7" t="str">
        <f t="shared" ref="J239:M239" si="359">+J238</f>
        <v xml:space="preserve"> </v>
      </c>
      <c r="K239" s="5">
        <f t="shared" si="359"/>
        <v>0</v>
      </c>
      <c r="L239" s="1">
        <f t="shared" si="359"/>
        <v>0</v>
      </c>
      <c r="M239" s="1">
        <f t="shared" si="359"/>
        <v>0</v>
      </c>
      <c r="N239" s="7" t="s">
        <v>57</v>
      </c>
    </row>
    <row r="240" spans="1:14" x14ac:dyDescent="0.25">
      <c r="A240" s="9">
        <f t="shared" si="297"/>
        <v>60</v>
      </c>
      <c r="B240" s="5" t="e">
        <f>+'libro compras'!P239</f>
        <v>#N/A</v>
      </c>
      <c r="C240" s="1" t="str">
        <f t="shared" ref="C240:E240" si="360">+C239</f>
        <v>103</v>
      </c>
      <c r="D240" s="1">
        <f t="shared" si="360"/>
        <v>0</v>
      </c>
      <c r="E240" s="12" t="str">
        <f t="shared" si="360"/>
        <v/>
      </c>
      <c r="F240" s="7"/>
      <c r="G240" s="2">
        <f>-'libro compras'!AI239</f>
        <v>0</v>
      </c>
      <c r="H240" s="7"/>
      <c r="I240" s="7" t="s">
        <v>36</v>
      </c>
      <c r="J240" s="7" t="str">
        <f>+CONCATENATE('libro compras'!C239," ",'libro compras'!D239)</f>
        <v xml:space="preserve"> </v>
      </c>
      <c r="K240" s="5">
        <f t="shared" ref="K240:M240" si="361">+K239</f>
        <v>0</v>
      </c>
      <c r="L240" s="1">
        <f t="shared" si="361"/>
        <v>0</v>
      </c>
      <c r="M240" s="1">
        <f t="shared" si="361"/>
        <v>0</v>
      </c>
      <c r="N240" s="7" t="s">
        <v>57</v>
      </c>
    </row>
    <row r="241" spans="1:14" x14ac:dyDescent="0.25">
      <c r="A241" s="9">
        <f t="shared" si="297"/>
        <v>60</v>
      </c>
      <c r="B241" s="2" t="e">
        <f>+VLOOKUP(B240,Hoja1!$A$1:$B$2,2,FALSE)</f>
        <v>#N/A</v>
      </c>
      <c r="C241" s="1" t="str">
        <f t="shared" ref="C241:E241" si="362">+C240</f>
        <v>103</v>
      </c>
      <c r="D241" s="1">
        <f t="shared" si="362"/>
        <v>0</v>
      </c>
      <c r="E241" s="12" t="str">
        <f t="shared" si="362"/>
        <v/>
      </c>
      <c r="F241" s="7"/>
      <c r="G241" s="2">
        <f>-'libro compras'!AB239</f>
        <v>0</v>
      </c>
      <c r="H241" s="7"/>
      <c r="I241" s="7" t="s">
        <v>36</v>
      </c>
      <c r="J241" s="7" t="str">
        <f>+CONCATENATE('libro compras'!C239," ",'libro compras'!D239)</f>
        <v xml:space="preserve"> </v>
      </c>
      <c r="K241" s="5">
        <f t="shared" ref="K241:M241" si="363">+K240</f>
        <v>0</v>
      </c>
      <c r="L241" s="1">
        <f t="shared" si="363"/>
        <v>0</v>
      </c>
      <c r="M241" s="1">
        <f t="shared" si="363"/>
        <v>0</v>
      </c>
      <c r="N241" s="7" t="s">
        <v>57</v>
      </c>
    </row>
    <row r="242" spans="1:14" x14ac:dyDescent="0.25">
      <c r="A242" s="9">
        <f t="shared" si="297"/>
        <v>61</v>
      </c>
      <c r="B242" s="5" t="str">
        <f>+'libro compras'!$AI$1</f>
        <v>281110</v>
      </c>
      <c r="C242" s="1" t="str">
        <f>+'libro compras'!Q243</f>
        <v>103</v>
      </c>
      <c r="D242" s="1">
        <f>+'libro compras'!R243</f>
        <v>0</v>
      </c>
      <c r="E242" s="12" t="str">
        <f>+'libro compras'!S243</f>
        <v/>
      </c>
      <c r="F242" s="7"/>
      <c r="G242" s="2">
        <f>+'libro compras'!AK243</f>
        <v>0</v>
      </c>
      <c r="H242" s="7"/>
      <c r="I242" s="7" t="s">
        <v>56</v>
      </c>
      <c r="J242" s="7" t="str">
        <f>+CONCATENATE('libro compras'!C243," ",'libro compras'!D243)</f>
        <v xml:space="preserve"> </v>
      </c>
      <c r="K242" s="5">
        <f>+'libro compras'!F243</f>
        <v>0</v>
      </c>
      <c r="L242" s="1">
        <f>+'libro compras'!C243</f>
        <v>0</v>
      </c>
      <c r="M242" s="5">
        <f>+'libro compras'!D243</f>
        <v>0</v>
      </c>
      <c r="N242" s="7" t="s">
        <v>57</v>
      </c>
    </row>
    <row r="243" spans="1:14" hidden="1" x14ac:dyDescent="0.25">
      <c r="A243" s="9">
        <f t="shared" si="297"/>
        <v>61</v>
      </c>
      <c r="B243" s="5" t="str">
        <f>+'libro compras'!$AJ$1</f>
        <v>401110</v>
      </c>
      <c r="C243" s="1" t="str">
        <f t="shared" ref="C243:E243" si="364">+C242</f>
        <v>103</v>
      </c>
      <c r="D243" s="1">
        <f t="shared" si="364"/>
        <v>0</v>
      </c>
      <c r="E243" s="12" t="str">
        <f t="shared" si="364"/>
        <v/>
      </c>
      <c r="F243" s="7"/>
      <c r="G243" s="2">
        <f>+'libro compras'!AJ243</f>
        <v>0</v>
      </c>
      <c r="H243" s="7"/>
      <c r="I243" s="7" t="s">
        <v>56</v>
      </c>
      <c r="J243" s="7" t="str">
        <f t="shared" ref="J243:M243" si="365">+J242</f>
        <v xml:space="preserve"> </v>
      </c>
      <c r="K243" s="5">
        <f t="shared" si="365"/>
        <v>0</v>
      </c>
      <c r="L243" s="1">
        <f t="shared" si="365"/>
        <v>0</v>
      </c>
      <c r="M243" s="1">
        <f t="shared" si="365"/>
        <v>0</v>
      </c>
      <c r="N243" s="7" t="s">
        <v>57</v>
      </c>
    </row>
    <row r="244" spans="1:14" x14ac:dyDescent="0.25">
      <c r="A244" s="9">
        <f t="shared" si="297"/>
        <v>61</v>
      </c>
      <c r="B244" s="5" t="e">
        <f>+'libro compras'!P243</f>
        <v>#N/A</v>
      </c>
      <c r="C244" s="1" t="str">
        <f t="shared" ref="C244:E244" si="366">+C243</f>
        <v>103</v>
      </c>
      <c r="D244" s="1">
        <f t="shared" si="366"/>
        <v>0</v>
      </c>
      <c r="E244" s="12" t="str">
        <f t="shared" si="366"/>
        <v/>
      </c>
      <c r="F244" s="7"/>
      <c r="G244" s="2">
        <f>-'libro compras'!AI243</f>
        <v>0</v>
      </c>
      <c r="H244" s="7"/>
      <c r="I244" s="7" t="s">
        <v>36</v>
      </c>
      <c r="J244" s="7" t="str">
        <f>+CONCATENATE('libro compras'!C243," ",'libro compras'!D243)</f>
        <v xml:space="preserve"> </v>
      </c>
      <c r="K244" s="5">
        <f t="shared" ref="K244:M244" si="367">+K243</f>
        <v>0</v>
      </c>
      <c r="L244" s="1">
        <f t="shared" si="367"/>
        <v>0</v>
      </c>
      <c r="M244" s="1">
        <f t="shared" si="367"/>
        <v>0</v>
      </c>
      <c r="N244" s="7" t="s">
        <v>57</v>
      </c>
    </row>
    <row r="245" spans="1:14" x14ac:dyDescent="0.25">
      <c r="A245" s="9">
        <f t="shared" si="297"/>
        <v>61</v>
      </c>
      <c r="B245" s="2" t="e">
        <f>+VLOOKUP(B244,Hoja1!$A$1:$B$2,2,FALSE)</f>
        <v>#N/A</v>
      </c>
      <c r="C245" s="1" t="str">
        <f t="shared" ref="C245:E245" si="368">+C244</f>
        <v>103</v>
      </c>
      <c r="D245" s="1">
        <f t="shared" si="368"/>
        <v>0</v>
      </c>
      <c r="E245" s="12" t="str">
        <f t="shared" si="368"/>
        <v/>
      </c>
      <c r="F245" s="7"/>
      <c r="G245" s="2">
        <f>-'libro compras'!AB243</f>
        <v>0</v>
      </c>
      <c r="H245" s="7"/>
      <c r="I245" s="7" t="s">
        <v>36</v>
      </c>
      <c r="J245" s="7" t="str">
        <f>+CONCATENATE('libro compras'!C243," ",'libro compras'!D243)</f>
        <v xml:space="preserve"> </v>
      </c>
      <c r="K245" s="5">
        <f t="shared" ref="K245:M245" si="369">+K244</f>
        <v>0</v>
      </c>
      <c r="L245" s="1">
        <f t="shared" si="369"/>
        <v>0</v>
      </c>
      <c r="M245" s="1">
        <f t="shared" si="369"/>
        <v>0</v>
      </c>
      <c r="N245" s="7" t="s">
        <v>57</v>
      </c>
    </row>
    <row r="246" spans="1:14" x14ac:dyDescent="0.25">
      <c r="A246" s="9">
        <f t="shared" si="297"/>
        <v>62</v>
      </c>
      <c r="B246" s="5" t="str">
        <f>+'libro compras'!$AI$1</f>
        <v>281110</v>
      </c>
      <c r="C246" s="1" t="str">
        <f>+'libro compras'!Q247</f>
        <v>103</v>
      </c>
      <c r="D246" s="1">
        <f>+'libro compras'!R247</f>
        <v>0</v>
      </c>
      <c r="E246" s="12" t="str">
        <f>+'libro compras'!S247</f>
        <v/>
      </c>
      <c r="F246" s="7"/>
      <c r="G246" s="2">
        <f>+'libro compras'!AK247</f>
        <v>0</v>
      </c>
      <c r="H246" s="7"/>
      <c r="I246" s="7" t="s">
        <v>56</v>
      </c>
      <c r="J246" s="7" t="str">
        <f>+CONCATENATE('libro compras'!C247," ",'libro compras'!D247)</f>
        <v xml:space="preserve"> </v>
      </c>
      <c r="K246" s="5">
        <f>+'libro compras'!F247</f>
        <v>0</v>
      </c>
      <c r="L246" s="1">
        <f>+'libro compras'!C247</f>
        <v>0</v>
      </c>
      <c r="M246" s="5">
        <f>+'libro compras'!D247</f>
        <v>0</v>
      </c>
      <c r="N246" s="7" t="s">
        <v>57</v>
      </c>
    </row>
    <row r="247" spans="1:14" hidden="1" x14ac:dyDescent="0.25">
      <c r="A247" s="9">
        <f t="shared" si="297"/>
        <v>62</v>
      </c>
      <c r="B247" s="5" t="str">
        <f>+'libro compras'!$AJ$1</f>
        <v>401110</v>
      </c>
      <c r="C247" s="1" t="str">
        <f t="shared" ref="C247:E247" si="370">+C246</f>
        <v>103</v>
      </c>
      <c r="D247" s="1">
        <f t="shared" si="370"/>
        <v>0</v>
      </c>
      <c r="E247" s="12" t="str">
        <f t="shared" si="370"/>
        <v/>
      </c>
      <c r="F247" s="7"/>
      <c r="G247" s="2">
        <f>+'libro compras'!AJ247</f>
        <v>0</v>
      </c>
      <c r="H247" s="7"/>
      <c r="I247" s="7" t="s">
        <v>56</v>
      </c>
      <c r="J247" s="7" t="str">
        <f t="shared" ref="J247:M247" si="371">+J246</f>
        <v xml:space="preserve"> </v>
      </c>
      <c r="K247" s="5">
        <f t="shared" si="371"/>
        <v>0</v>
      </c>
      <c r="L247" s="1">
        <f t="shared" si="371"/>
        <v>0</v>
      </c>
      <c r="M247" s="1">
        <f t="shared" si="371"/>
        <v>0</v>
      </c>
      <c r="N247" s="7" t="s">
        <v>57</v>
      </c>
    </row>
    <row r="248" spans="1:14" x14ac:dyDescent="0.25">
      <c r="A248" s="9">
        <f t="shared" si="297"/>
        <v>62</v>
      </c>
      <c r="B248" s="5" t="e">
        <f>+'libro compras'!P247</f>
        <v>#N/A</v>
      </c>
      <c r="C248" s="1" t="str">
        <f t="shared" ref="C248:E248" si="372">+C247</f>
        <v>103</v>
      </c>
      <c r="D248" s="1">
        <f t="shared" si="372"/>
        <v>0</v>
      </c>
      <c r="E248" s="12" t="str">
        <f t="shared" si="372"/>
        <v/>
      </c>
      <c r="F248" s="7"/>
      <c r="G248" s="2">
        <f>-'libro compras'!AI247</f>
        <v>0</v>
      </c>
      <c r="H248" s="7"/>
      <c r="I248" s="7" t="s">
        <v>36</v>
      </c>
      <c r="J248" s="7" t="str">
        <f>+CONCATENATE('libro compras'!C247," ",'libro compras'!D247)</f>
        <v xml:space="preserve"> </v>
      </c>
      <c r="K248" s="5">
        <f t="shared" ref="K248:M248" si="373">+K247</f>
        <v>0</v>
      </c>
      <c r="L248" s="1">
        <f t="shared" si="373"/>
        <v>0</v>
      </c>
      <c r="M248" s="1">
        <f t="shared" si="373"/>
        <v>0</v>
      </c>
      <c r="N248" s="7" t="s">
        <v>57</v>
      </c>
    </row>
    <row r="249" spans="1:14" x14ac:dyDescent="0.25">
      <c r="A249" s="9">
        <f t="shared" si="297"/>
        <v>62</v>
      </c>
      <c r="B249" s="2" t="e">
        <f>+VLOOKUP(B248,Hoja1!$A$1:$B$2,2,FALSE)</f>
        <v>#N/A</v>
      </c>
      <c r="C249" s="1" t="str">
        <f t="shared" ref="C249:E249" si="374">+C248</f>
        <v>103</v>
      </c>
      <c r="D249" s="1">
        <f t="shared" si="374"/>
        <v>0</v>
      </c>
      <c r="E249" s="12" t="str">
        <f t="shared" si="374"/>
        <v/>
      </c>
      <c r="F249" s="7"/>
      <c r="G249" s="2">
        <f>-'libro compras'!AB247</f>
        <v>0</v>
      </c>
      <c r="H249" s="7"/>
      <c r="I249" s="7" t="s">
        <v>36</v>
      </c>
      <c r="J249" s="7" t="str">
        <f>+CONCATENATE('libro compras'!C247," ",'libro compras'!D247)</f>
        <v xml:space="preserve"> </v>
      </c>
      <c r="K249" s="5">
        <f t="shared" ref="K249:M249" si="375">+K248</f>
        <v>0</v>
      </c>
      <c r="L249" s="1">
        <f t="shared" si="375"/>
        <v>0</v>
      </c>
      <c r="M249" s="1">
        <f t="shared" si="375"/>
        <v>0</v>
      </c>
      <c r="N249" s="7" t="s">
        <v>57</v>
      </c>
    </row>
    <row r="250" spans="1:14" x14ac:dyDescent="0.25">
      <c r="A250" s="9">
        <f t="shared" si="297"/>
        <v>63</v>
      </c>
      <c r="B250" s="5" t="str">
        <f>+'libro compras'!$AI$1</f>
        <v>281110</v>
      </c>
      <c r="C250" s="1" t="str">
        <f>+'libro compras'!Q251</f>
        <v>103</v>
      </c>
      <c r="D250" s="1">
        <f>+'libro compras'!R251</f>
        <v>0</v>
      </c>
      <c r="E250" s="12" t="str">
        <f>+'libro compras'!S251</f>
        <v/>
      </c>
      <c r="F250" s="7"/>
      <c r="G250" s="2">
        <f>+'libro compras'!AK251</f>
        <v>0</v>
      </c>
      <c r="H250" s="7"/>
      <c r="I250" s="7" t="s">
        <v>56</v>
      </c>
      <c r="J250" s="7" t="str">
        <f>+CONCATENATE('libro compras'!C251," ",'libro compras'!D251)</f>
        <v xml:space="preserve"> </v>
      </c>
      <c r="K250" s="5">
        <f>+'libro compras'!F251</f>
        <v>0</v>
      </c>
      <c r="L250" s="1">
        <f>+'libro compras'!C251</f>
        <v>0</v>
      </c>
      <c r="M250" s="5">
        <f>+'libro compras'!D251</f>
        <v>0</v>
      </c>
      <c r="N250" s="7" t="s">
        <v>57</v>
      </c>
    </row>
    <row r="251" spans="1:14" hidden="1" x14ac:dyDescent="0.25">
      <c r="A251" s="9">
        <f t="shared" si="297"/>
        <v>63</v>
      </c>
      <c r="B251" s="5" t="str">
        <f>+'libro compras'!$AJ$1</f>
        <v>401110</v>
      </c>
      <c r="C251" s="1" t="str">
        <f t="shared" ref="C251:E251" si="376">+C250</f>
        <v>103</v>
      </c>
      <c r="D251" s="1">
        <f t="shared" si="376"/>
        <v>0</v>
      </c>
      <c r="E251" s="12" t="str">
        <f t="shared" si="376"/>
        <v/>
      </c>
      <c r="F251" s="7"/>
      <c r="G251" s="2">
        <f>+'libro compras'!AJ251</f>
        <v>0</v>
      </c>
      <c r="H251" s="7"/>
      <c r="I251" s="7" t="s">
        <v>56</v>
      </c>
      <c r="J251" s="7" t="str">
        <f t="shared" ref="J251:M251" si="377">+J250</f>
        <v xml:space="preserve"> </v>
      </c>
      <c r="K251" s="5">
        <f t="shared" si="377"/>
        <v>0</v>
      </c>
      <c r="L251" s="1">
        <f t="shared" si="377"/>
        <v>0</v>
      </c>
      <c r="M251" s="1">
        <f t="shared" si="377"/>
        <v>0</v>
      </c>
      <c r="N251" s="7" t="s">
        <v>57</v>
      </c>
    </row>
    <row r="252" spans="1:14" x14ac:dyDescent="0.25">
      <c r="A252" s="9">
        <f t="shared" si="297"/>
        <v>63</v>
      </c>
      <c r="B252" s="5" t="e">
        <f>+'libro compras'!P251</f>
        <v>#N/A</v>
      </c>
      <c r="C252" s="1" t="str">
        <f t="shared" ref="C252:E252" si="378">+C251</f>
        <v>103</v>
      </c>
      <c r="D252" s="1">
        <f t="shared" si="378"/>
        <v>0</v>
      </c>
      <c r="E252" s="12" t="str">
        <f t="shared" si="378"/>
        <v/>
      </c>
      <c r="F252" s="7"/>
      <c r="G252" s="2">
        <f>-'libro compras'!AI251</f>
        <v>0</v>
      </c>
      <c r="H252" s="7"/>
      <c r="I252" s="7" t="s">
        <v>36</v>
      </c>
      <c r="J252" s="7" t="str">
        <f>+CONCATENATE('libro compras'!C251," ",'libro compras'!D251)</f>
        <v xml:space="preserve"> </v>
      </c>
      <c r="K252" s="5">
        <f t="shared" ref="K252:M252" si="379">+K251</f>
        <v>0</v>
      </c>
      <c r="L252" s="1">
        <f t="shared" si="379"/>
        <v>0</v>
      </c>
      <c r="M252" s="1">
        <f t="shared" si="379"/>
        <v>0</v>
      </c>
      <c r="N252" s="7" t="s">
        <v>57</v>
      </c>
    </row>
    <row r="253" spans="1:14" x14ac:dyDescent="0.25">
      <c r="A253" s="9">
        <f t="shared" si="297"/>
        <v>63</v>
      </c>
      <c r="B253" s="2" t="e">
        <f>+VLOOKUP(B252,Hoja1!$A$1:$B$2,2,FALSE)</f>
        <v>#N/A</v>
      </c>
      <c r="C253" s="1" t="str">
        <f t="shared" ref="C253:E253" si="380">+C252</f>
        <v>103</v>
      </c>
      <c r="D253" s="1">
        <f t="shared" si="380"/>
        <v>0</v>
      </c>
      <c r="E253" s="12" t="str">
        <f t="shared" si="380"/>
        <v/>
      </c>
      <c r="F253" s="7"/>
      <c r="G253" s="2">
        <f>-'libro compras'!AB251</f>
        <v>0</v>
      </c>
      <c r="H253" s="7"/>
      <c r="I253" s="7" t="s">
        <v>36</v>
      </c>
      <c r="J253" s="7" t="str">
        <f>+CONCATENATE('libro compras'!C251," ",'libro compras'!D251)</f>
        <v xml:space="preserve"> </v>
      </c>
      <c r="K253" s="5">
        <f t="shared" ref="K253:M253" si="381">+K252</f>
        <v>0</v>
      </c>
      <c r="L253" s="1">
        <f t="shared" si="381"/>
        <v>0</v>
      </c>
      <c r="M253" s="1">
        <f t="shared" si="381"/>
        <v>0</v>
      </c>
      <c r="N253" s="7" t="s">
        <v>57</v>
      </c>
    </row>
    <row r="254" spans="1:14" x14ac:dyDescent="0.25">
      <c r="A254" s="9">
        <f t="shared" si="297"/>
        <v>64</v>
      </c>
      <c r="B254" s="5" t="str">
        <f>+'libro compras'!$AI$1</f>
        <v>281110</v>
      </c>
      <c r="C254" s="1" t="str">
        <f>+'libro compras'!Q255</f>
        <v>103</v>
      </c>
      <c r="D254" s="1">
        <f>+'libro compras'!R255</f>
        <v>0</v>
      </c>
      <c r="E254" s="12" t="str">
        <f>+'libro compras'!S255</f>
        <v/>
      </c>
      <c r="F254" s="7"/>
      <c r="G254" s="2">
        <f>+'libro compras'!AK255</f>
        <v>0</v>
      </c>
      <c r="H254" s="7"/>
      <c r="I254" s="7" t="s">
        <v>56</v>
      </c>
      <c r="J254" s="7" t="str">
        <f>+CONCATENATE('libro compras'!C255," ",'libro compras'!D255)</f>
        <v xml:space="preserve"> </v>
      </c>
      <c r="K254" s="5">
        <f>+'libro compras'!F255</f>
        <v>0</v>
      </c>
      <c r="L254" s="1">
        <f>+'libro compras'!C255</f>
        <v>0</v>
      </c>
      <c r="M254" s="5">
        <f>+'libro compras'!D255</f>
        <v>0</v>
      </c>
      <c r="N254" s="7" t="s">
        <v>57</v>
      </c>
    </row>
    <row r="255" spans="1:14" hidden="1" x14ac:dyDescent="0.25">
      <c r="A255" s="9">
        <f t="shared" si="297"/>
        <v>64</v>
      </c>
      <c r="B255" s="5" t="str">
        <f>+'libro compras'!$AJ$1</f>
        <v>401110</v>
      </c>
      <c r="C255" s="1" t="str">
        <f t="shared" ref="C255:E255" si="382">+C254</f>
        <v>103</v>
      </c>
      <c r="D255" s="1">
        <f t="shared" si="382"/>
        <v>0</v>
      </c>
      <c r="E255" s="12" t="str">
        <f t="shared" si="382"/>
        <v/>
      </c>
      <c r="F255" s="7"/>
      <c r="G255" s="2">
        <f>+'libro compras'!AJ255</f>
        <v>0</v>
      </c>
      <c r="H255" s="7"/>
      <c r="I255" s="7" t="s">
        <v>56</v>
      </c>
      <c r="J255" s="7" t="str">
        <f t="shared" ref="J255:M255" si="383">+J254</f>
        <v xml:space="preserve"> </v>
      </c>
      <c r="K255" s="5">
        <f t="shared" si="383"/>
        <v>0</v>
      </c>
      <c r="L255" s="1">
        <f t="shared" si="383"/>
        <v>0</v>
      </c>
      <c r="M255" s="1">
        <f t="shared" si="383"/>
        <v>0</v>
      </c>
      <c r="N255" s="7" t="s">
        <v>57</v>
      </c>
    </row>
    <row r="256" spans="1:14" x14ac:dyDescent="0.25">
      <c r="A256" s="9">
        <f t="shared" si="297"/>
        <v>64</v>
      </c>
      <c r="B256" s="5" t="e">
        <f>+'libro compras'!P255</f>
        <v>#N/A</v>
      </c>
      <c r="C256" s="1" t="str">
        <f t="shared" ref="C256:E256" si="384">+C255</f>
        <v>103</v>
      </c>
      <c r="D256" s="1">
        <f t="shared" si="384"/>
        <v>0</v>
      </c>
      <c r="E256" s="12" t="str">
        <f t="shared" si="384"/>
        <v/>
      </c>
      <c r="F256" s="7"/>
      <c r="G256" s="2">
        <f>-'libro compras'!AI255</f>
        <v>0</v>
      </c>
      <c r="H256" s="7"/>
      <c r="I256" s="7" t="s">
        <v>36</v>
      </c>
      <c r="J256" s="7" t="str">
        <f>+CONCATENATE('libro compras'!C255," ",'libro compras'!D255)</f>
        <v xml:space="preserve"> </v>
      </c>
      <c r="K256" s="5">
        <f t="shared" ref="K256:M256" si="385">+K255</f>
        <v>0</v>
      </c>
      <c r="L256" s="1">
        <f t="shared" si="385"/>
        <v>0</v>
      </c>
      <c r="M256" s="1">
        <f t="shared" si="385"/>
        <v>0</v>
      </c>
      <c r="N256" s="7" t="s">
        <v>57</v>
      </c>
    </row>
    <row r="257" spans="1:14" x14ac:dyDescent="0.25">
      <c r="A257" s="9">
        <f t="shared" si="297"/>
        <v>64</v>
      </c>
      <c r="B257" s="2" t="e">
        <f>+VLOOKUP(B256,Hoja1!$A$1:$B$2,2,FALSE)</f>
        <v>#N/A</v>
      </c>
      <c r="C257" s="1" t="str">
        <f t="shared" ref="C257:E257" si="386">+C256</f>
        <v>103</v>
      </c>
      <c r="D257" s="1">
        <f t="shared" si="386"/>
        <v>0</v>
      </c>
      <c r="E257" s="12" t="str">
        <f t="shared" si="386"/>
        <v/>
      </c>
      <c r="F257" s="7"/>
      <c r="G257" s="2">
        <f>-'libro compras'!AB255</f>
        <v>0</v>
      </c>
      <c r="H257" s="7"/>
      <c r="I257" s="7" t="s">
        <v>36</v>
      </c>
      <c r="J257" s="7" t="str">
        <f>+CONCATENATE('libro compras'!C255," ",'libro compras'!D255)</f>
        <v xml:space="preserve"> </v>
      </c>
      <c r="K257" s="5">
        <f t="shared" ref="K257:M257" si="387">+K256</f>
        <v>0</v>
      </c>
      <c r="L257" s="1">
        <f t="shared" si="387"/>
        <v>0</v>
      </c>
      <c r="M257" s="1">
        <f t="shared" si="387"/>
        <v>0</v>
      </c>
      <c r="N257" s="7" t="s">
        <v>57</v>
      </c>
    </row>
    <row r="258" spans="1:14" x14ac:dyDescent="0.25">
      <c r="A258" s="9">
        <f t="shared" si="297"/>
        <v>65</v>
      </c>
      <c r="B258" s="5" t="str">
        <f>+'libro compras'!$AI$1</f>
        <v>281110</v>
      </c>
      <c r="C258" s="1" t="str">
        <f>+'libro compras'!Q259</f>
        <v>103</v>
      </c>
      <c r="D258" s="1">
        <f>+'libro compras'!R259</f>
        <v>0</v>
      </c>
      <c r="E258" s="12" t="str">
        <f>+'libro compras'!S259</f>
        <v/>
      </c>
      <c r="F258" s="7"/>
      <c r="G258" s="2">
        <f>+'libro compras'!AK259</f>
        <v>0</v>
      </c>
      <c r="H258" s="7"/>
      <c r="I258" s="7" t="s">
        <v>56</v>
      </c>
      <c r="J258" s="7" t="str">
        <f>+CONCATENATE('libro compras'!C259," ",'libro compras'!D259)</f>
        <v xml:space="preserve"> </v>
      </c>
      <c r="K258" s="5">
        <f>+'libro compras'!F259</f>
        <v>0</v>
      </c>
      <c r="L258" s="1">
        <f>+'libro compras'!C259</f>
        <v>0</v>
      </c>
      <c r="M258" s="5">
        <f>+'libro compras'!D259</f>
        <v>0</v>
      </c>
      <c r="N258" s="7" t="s">
        <v>57</v>
      </c>
    </row>
    <row r="259" spans="1:14" hidden="1" x14ac:dyDescent="0.25">
      <c r="A259" s="9">
        <f t="shared" si="297"/>
        <v>65</v>
      </c>
      <c r="B259" s="5" t="str">
        <f>+'libro compras'!$AJ$1</f>
        <v>401110</v>
      </c>
      <c r="C259" s="1" t="str">
        <f t="shared" ref="C259:E259" si="388">+C258</f>
        <v>103</v>
      </c>
      <c r="D259" s="1">
        <f t="shared" si="388"/>
        <v>0</v>
      </c>
      <c r="E259" s="12" t="str">
        <f t="shared" si="388"/>
        <v/>
      </c>
      <c r="F259" s="7"/>
      <c r="G259" s="2">
        <f>+'libro compras'!AJ259</f>
        <v>0</v>
      </c>
      <c r="H259" s="7"/>
      <c r="I259" s="7" t="s">
        <v>56</v>
      </c>
      <c r="J259" s="7" t="str">
        <f t="shared" ref="J259:M259" si="389">+J258</f>
        <v xml:space="preserve"> </v>
      </c>
      <c r="K259" s="5">
        <f t="shared" si="389"/>
        <v>0</v>
      </c>
      <c r="L259" s="1">
        <f t="shared" si="389"/>
        <v>0</v>
      </c>
      <c r="M259" s="1">
        <f t="shared" si="389"/>
        <v>0</v>
      </c>
      <c r="N259" s="7" t="s">
        <v>57</v>
      </c>
    </row>
    <row r="260" spans="1:14" x14ac:dyDescent="0.25">
      <c r="A260" s="9">
        <f t="shared" si="297"/>
        <v>65</v>
      </c>
      <c r="B260" s="5" t="e">
        <f>+'libro compras'!P259</f>
        <v>#N/A</v>
      </c>
      <c r="C260" s="1" t="str">
        <f t="shared" ref="C260:E260" si="390">+C259</f>
        <v>103</v>
      </c>
      <c r="D260" s="1">
        <f t="shared" si="390"/>
        <v>0</v>
      </c>
      <c r="E260" s="12" t="str">
        <f t="shared" si="390"/>
        <v/>
      </c>
      <c r="F260" s="7"/>
      <c r="G260" s="2">
        <f>-'libro compras'!AI259</f>
        <v>0</v>
      </c>
      <c r="H260" s="7"/>
      <c r="I260" s="7" t="s">
        <v>36</v>
      </c>
      <c r="J260" s="7" t="str">
        <f>+CONCATENATE('libro compras'!C259," ",'libro compras'!D259)</f>
        <v xml:space="preserve"> </v>
      </c>
      <c r="K260" s="5">
        <f t="shared" ref="K260:M260" si="391">+K259</f>
        <v>0</v>
      </c>
      <c r="L260" s="1">
        <f t="shared" si="391"/>
        <v>0</v>
      </c>
      <c r="M260" s="1">
        <f t="shared" si="391"/>
        <v>0</v>
      </c>
      <c r="N260" s="7" t="s">
        <v>57</v>
      </c>
    </row>
    <row r="261" spans="1:14" x14ac:dyDescent="0.25">
      <c r="A261" s="9">
        <f t="shared" si="297"/>
        <v>65</v>
      </c>
      <c r="B261" s="2" t="e">
        <f>+VLOOKUP(B260,Hoja1!$A$1:$B$2,2,FALSE)</f>
        <v>#N/A</v>
      </c>
      <c r="C261" s="1" t="str">
        <f t="shared" ref="C261:E261" si="392">+C260</f>
        <v>103</v>
      </c>
      <c r="D261" s="1">
        <f t="shared" si="392"/>
        <v>0</v>
      </c>
      <c r="E261" s="12" t="str">
        <f t="shared" si="392"/>
        <v/>
      </c>
      <c r="F261" s="7"/>
      <c r="G261" s="2">
        <f>-'libro compras'!AB259</f>
        <v>0</v>
      </c>
      <c r="H261" s="7"/>
      <c r="I261" s="7" t="s">
        <v>36</v>
      </c>
      <c r="J261" s="7" t="str">
        <f>+CONCATENATE('libro compras'!C259," ",'libro compras'!D259)</f>
        <v xml:space="preserve"> </v>
      </c>
      <c r="K261" s="5">
        <f t="shared" ref="K261:M261" si="393">+K260</f>
        <v>0</v>
      </c>
      <c r="L261" s="1">
        <f t="shared" si="393"/>
        <v>0</v>
      </c>
      <c r="M261" s="1">
        <f t="shared" si="393"/>
        <v>0</v>
      </c>
      <c r="N261" s="7" t="s">
        <v>57</v>
      </c>
    </row>
    <row r="262" spans="1:14" x14ac:dyDescent="0.25">
      <c r="A262" s="9">
        <f t="shared" ref="A262:A325" si="394">1+A258</f>
        <v>66</v>
      </c>
      <c r="B262" s="5" t="str">
        <f>+'libro compras'!$AI$1</f>
        <v>281110</v>
      </c>
      <c r="C262" s="1" t="str">
        <f>+'libro compras'!Q263</f>
        <v>103</v>
      </c>
      <c r="D262" s="1">
        <f>+'libro compras'!R263</f>
        <v>0</v>
      </c>
      <c r="E262" s="12" t="str">
        <f>+'libro compras'!S263</f>
        <v/>
      </c>
      <c r="F262" s="7"/>
      <c r="G262" s="2">
        <f>+'libro compras'!AK263</f>
        <v>0</v>
      </c>
      <c r="H262" s="7"/>
      <c r="I262" s="7" t="s">
        <v>56</v>
      </c>
      <c r="J262" s="7" t="str">
        <f>+CONCATENATE('libro compras'!C263," ",'libro compras'!D263)</f>
        <v xml:space="preserve"> </v>
      </c>
      <c r="K262" s="5">
        <f>+'libro compras'!F263</f>
        <v>0</v>
      </c>
      <c r="L262" s="1">
        <f>+'libro compras'!C263</f>
        <v>0</v>
      </c>
      <c r="M262" s="5">
        <f>+'libro compras'!D263</f>
        <v>0</v>
      </c>
      <c r="N262" s="7" t="s">
        <v>57</v>
      </c>
    </row>
    <row r="263" spans="1:14" hidden="1" x14ac:dyDescent="0.25">
      <c r="A263" s="9">
        <f t="shared" si="394"/>
        <v>66</v>
      </c>
      <c r="B263" s="5" t="str">
        <f>+'libro compras'!$AJ$1</f>
        <v>401110</v>
      </c>
      <c r="C263" s="1" t="str">
        <f t="shared" ref="C263:E263" si="395">+C262</f>
        <v>103</v>
      </c>
      <c r="D263" s="1">
        <f t="shared" si="395"/>
        <v>0</v>
      </c>
      <c r="E263" s="12" t="str">
        <f t="shared" si="395"/>
        <v/>
      </c>
      <c r="F263" s="7"/>
      <c r="G263" s="2">
        <f>+'libro compras'!AJ263</f>
        <v>0</v>
      </c>
      <c r="H263" s="7"/>
      <c r="I263" s="7" t="s">
        <v>56</v>
      </c>
      <c r="J263" s="7" t="str">
        <f t="shared" ref="J263:M263" si="396">+J262</f>
        <v xml:space="preserve"> </v>
      </c>
      <c r="K263" s="5">
        <f t="shared" si="396"/>
        <v>0</v>
      </c>
      <c r="L263" s="1">
        <f t="shared" si="396"/>
        <v>0</v>
      </c>
      <c r="M263" s="1">
        <f t="shared" si="396"/>
        <v>0</v>
      </c>
      <c r="N263" s="7" t="s">
        <v>57</v>
      </c>
    </row>
    <row r="264" spans="1:14" x14ac:dyDescent="0.25">
      <c r="A264" s="9">
        <f t="shared" si="394"/>
        <v>66</v>
      </c>
      <c r="B264" s="5" t="e">
        <f>+'libro compras'!P263</f>
        <v>#N/A</v>
      </c>
      <c r="C264" s="1" t="str">
        <f t="shared" ref="C264:E264" si="397">+C263</f>
        <v>103</v>
      </c>
      <c r="D264" s="1">
        <f t="shared" si="397"/>
        <v>0</v>
      </c>
      <c r="E264" s="12" t="str">
        <f t="shared" si="397"/>
        <v/>
      </c>
      <c r="F264" s="7"/>
      <c r="G264" s="2">
        <f>-'libro compras'!AI263</f>
        <v>0</v>
      </c>
      <c r="H264" s="7"/>
      <c r="I264" s="7" t="s">
        <v>36</v>
      </c>
      <c r="J264" s="7" t="str">
        <f>+CONCATENATE('libro compras'!C263," ",'libro compras'!D263)</f>
        <v xml:space="preserve"> </v>
      </c>
      <c r="K264" s="5">
        <f t="shared" ref="K264:M264" si="398">+K263</f>
        <v>0</v>
      </c>
      <c r="L264" s="1">
        <f t="shared" si="398"/>
        <v>0</v>
      </c>
      <c r="M264" s="1">
        <f t="shared" si="398"/>
        <v>0</v>
      </c>
      <c r="N264" s="7" t="s">
        <v>57</v>
      </c>
    </row>
    <row r="265" spans="1:14" x14ac:dyDescent="0.25">
      <c r="A265" s="9">
        <f t="shared" si="394"/>
        <v>66</v>
      </c>
      <c r="B265" s="2" t="e">
        <f>+VLOOKUP(B264,Hoja1!$A$1:$B$2,2,FALSE)</f>
        <v>#N/A</v>
      </c>
      <c r="C265" s="1" t="str">
        <f t="shared" ref="C265:E265" si="399">+C264</f>
        <v>103</v>
      </c>
      <c r="D265" s="1">
        <f t="shared" si="399"/>
        <v>0</v>
      </c>
      <c r="E265" s="12" t="str">
        <f t="shared" si="399"/>
        <v/>
      </c>
      <c r="F265" s="7"/>
      <c r="G265" s="2">
        <f>-'libro compras'!AB263</f>
        <v>0</v>
      </c>
      <c r="H265" s="7"/>
      <c r="I265" s="7" t="s">
        <v>36</v>
      </c>
      <c r="J265" s="7" t="str">
        <f>+CONCATENATE('libro compras'!C263," ",'libro compras'!D263)</f>
        <v xml:space="preserve"> </v>
      </c>
      <c r="K265" s="5">
        <f t="shared" ref="K265:M265" si="400">+K264</f>
        <v>0</v>
      </c>
      <c r="L265" s="1">
        <f t="shared" si="400"/>
        <v>0</v>
      </c>
      <c r="M265" s="1">
        <f t="shared" si="400"/>
        <v>0</v>
      </c>
      <c r="N265" s="7" t="s">
        <v>57</v>
      </c>
    </row>
    <row r="266" spans="1:14" x14ac:dyDescent="0.25">
      <c r="A266" s="9">
        <f t="shared" si="394"/>
        <v>67</v>
      </c>
      <c r="B266" s="5" t="str">
        <f>+'libro compras'!$AI$1</f>
        <v>281110</v>
      </c>
      <c r="C266" s="1" t="str">
        <f>+'libro compras'!Q267</f>
        <v>103</v>
      </c>
      <c r="D266" s="1">
        <f>+'libro compras'!R267</f>
        <v>0</v>
      </c>
      <c r="E266" s="12" t="str">
        <f>+'libro compras'!S267</f>
        <v/>
      </c>
      <c r="F266" s="7"/>
      <c r="G266" s="2">
        <f>+'libro compras'!AK267</f>
        <v>0</v>
      </c>
      <c r="H266" s="7"/>
      <c r="I266" s="7" t="s">
        <v>56</v>
      </c>
      <c r="J266" s="7" t="str">
        <f>+CONCATENATE('libro compras'!C267," ",'libro compras'!D267)</f>
        <v xml:space="preserve"> </v>
      </c>
      <c r="K266" s="5">
        <f>+'libro compras'!F267</f>
        <v>0</v>
      </c>
      <c r="L266" s="1">
        <f>+'libro compras'!C267</f>
        <v>0</v>
      </c>
      <c r="M266" s="5">
        <f>+'libro compras'!D267</f>
        <v>0</v>
      </c>
      <c r="N266" s="7" t="s">
        <v>57</v>
      </c>
    </row>
    <row r="267" spans="1:14" hidden="1" x14ac:dyDescent="0.25">
      <c r="A267" s="9">
        <f t="shared" si="394"/>
        <v>67</v>
      </c>
      <c r="B267" s="5" t="str">
        <f>+'libro compras'!$AJ$1</f>
        <v>401110</v>
      </c>
      <c r="C267" s="1" t="str">
        <f t="shared" ref="C267:E267" si="401">+C266</f>
        <v>103</v>
      </c>
      <c r="D267" s="1">
        <f t="shared" si="401"/>
        <v>0</v>
      </c>
      <c r="E267" s="12" t="str">
        <f t="shared" si="401"/>
        <v/>
      </c>
      <c r="F267" s="7"/>
      <c r="G267" s="2">
        <f>+'libro compras'!AJ267</f>
        <v>0</v>
      </c>
      <c r="H267" s="7"/>
      <c r="I267" s="7" t="s">
        <v>56</v>
      </c>
      <c r="J267" s="7" t="str">
        <f t="shared" ref="J267:M267" si="402">+J266</f>
        <v xml:space="preserve"> </v>
      </c>
      <c r="K267" s="5">
        <f t="shared" si="402"/>
        <v>0</v>
      </c>
      <c r="L267" s="1">
        <f t="shared" si="402"/>
        <v>0</v>
      </c>
      <c r="M267" s="1">
        <f t="shared" si="402"/>
        <v>0</v>
      </c>
      <c r="N267" s="7" t="s">
        <v>57</v>
      </c>
    </row>
    <row r="268" spans="1:14" x14ac:dyDescent="0.25">
      <c r="A268" s="9">
        <f t="shared" si="394"/>
        <v>67</v>
      </c>
      <c r="B268" s="5" t="e">
        <f>+'libro compras'!P267</f>
        <v>#N/A</v>
      </c>
      <c r="C268" s="1" t="str">
        <f t="shared" ref="C268:E268" si="403">+C267</f>
        <v>103</v>
      </c>
      <c r="D268" s="1">
        <f t="shared" si="403"/>
        <v>0</v>
      </c>
      <c r="E268" s="12" t="str">
        <f t="shared" si="403"/>
        <v/>
      </c>
      <c r="F268" s="7"/>
      <c r="G268" s="2">
        <f>-'libro compras'!AI267</f>
        <v>0</v>
      </c>
      <c r="H268" s="7"/>
      <c r="I268" s="7" t="s">
        <v>36</v>
      </c>
      <c r="J268" s="7" t="str">
        <f>+CONCATENATE('libro compras'!C267," ",'libro compras'!D267)</f>
        <v xml:space="preserve"> </v>
      </c>
      <c r="K268" s="5">
        <f t="shared" ref="K268:M268" si="404">+K267</f>
        <v>0</v>
      </c>
      <c r="L268" s="1">
        <f t="shared" si="404"/>
        <v>0</v>
      </c>
      <c r="M268" s="1">
        <f t="shared" si="404"/>
        <v>0</v>
      </c>
      <c r="N268" s="7" t="s">
        <v>57</v>
      </c>
    </row>
    <row r="269" spans="1:14" x14ac:dyDescent="0.25">
      <c r="A269" s="9">
        <f t="shared" si="394"/>
        <v>67</v>
      </c>
      <c r="B269" s="2" t="e">
        <f>+VLOOKUP(B268,Hoja1!$A$1:$B$2,2,FALSE)</f>
        <v>#N/A</v>
      </c>
      <c r="C269" s="1" t="str">
        <f t="shared" ref="C269:E269" si="405">+C268</f>
        <v>103</v>
      </c>
      <c r="D269" s="1">
        <f t="shared" si="405"/>
        <v>0</v>
      </c>
      <c r="E269" s="12" t="str">
        <f t="shared" si="405"/>
        <v/>
      </c>
      <c r="F269" s="7"/>
      <c r="G269" s="2">
        <f>-'libro compras'!AB267</f>
        <v>0</v>
      </c>
      <c r="H269" s="7"/>
      <c r="I269" s="7" t="s">
        <v>36</v>
      </c>
      <c r="J269" s="7" t="str">
        <f>+CONCATENATE('libro compras'!C267," ",'libro compras'!D267)</f>
        <v xml:space="preserve"> </v>
      </c>
      <c r="K269" s="5">
        <f t="shared" ref="K269:M269" si="406">+K268</f>
        <v>0</v>
      </c>
      <c r="L269" s="1">
        <f t="shared" si="406"/>
        <v>0</v>
      </c>
      <c r="M269" s="1">
        <f t="shared" si="406"/>
        <v>0</v>
      </c>
      <c r="N269" s="7" t="s">
        <v>57</v>
      </c>
    </row>
    <row r="270" spans="1:14" x14ac:dyDescent="0.25">
      <c r="A270" s="9">
        <f t="shared" si="394"/>
        <v>68</v>
      </c>
      <c r="B270" s="5" t="str">
        <f>+'libro compras'!$AI$1</f>
        <v>281110</v>
      </c>
      <c r="C270" s="1" t="str">
        <f>+'libro compras'!Q271</f>
        <v>103</v>
      </c>
      <c r="D270" s="1">
        <f>+'libro compras'!R271</f>
        <v>0</v>
      </c>
      <c r="E270" s="12" t="str">
        <f>+'libro compras'!S271</f>
        <v/>
      </c>
      <c r="F270" s="7"/>
      <c r="G270" s="2">
        <f>+'libro compras'!AK271</f>
        <v>0</v>
      </c>
      <c r="H270" s="7"/>
      <c r="I270" s="7" t="s">
        <v>56</v>
      </c>
      <c r="J270" s="7" t="str">
        <f>+CONCATENATE('libro compras'!C271," ",'libro compras'!D271)</f>
        <v xml:space="preserve"> </v>
      </c>
      <c r="K270" s="5">
        <f>+'libro compras'!F271</f>
        <v>0</v>
      </c>
      <c r="L270" s="1">
        <f>+'libro compras'!C271</f>
        <v>0</v>
      </c>
      <c r="M270" s="5">
        <f>+'libro compras'!D271</f>
        <v>0</v>
      </c>
      <c r="N270" s="7" t="s">
        <v>57</v>
      </c>
    </row>
    <row r="271" spans="1:14" hidden="1" x14ac:dyDescent="0.25">
      <c r="A271" s="9">
        <f t="shared" si="394"/>
        <v>68</v>
      </c>
      <c r="B271" s="5" t="str">
        <f>+'libro compras'!$AJ$1</f>
        <v>401110</v>
      </c>
      <c r="C271" s="1" t="str">
        <f t="shared" ref="C271:E271" si="407">+C270</f>
        <v>103</v>
      </c>
      <c r="D271" s="1">
        <f t="shared" si="407"/>
        <v>0</v>
      </c>
      <c r="E271" s="12" t="str">
        <f t="shared" si="407"/>
        <v/>
      </c>
      <c r="F271" s="7"/>
      <c r="G271" s="2">
        <f>+'libro compras'!AJ271</f>
        <v>0</v>
      </c>
      <c r="H271" s="7"/>
      <c r="I271" s="7" t="s">
        <v>56</v>
      </c>
      <c r="J271" s="7" t="str">
        <f t="shared" ref="J271:M271" si="408">+J270</f>
        <v xml:space="preserve"> </v>
      </c>
      <c r="K271" s="5">
        <f t="shared" si="408"/>
        <v>0</v>
      </c>
      <c r="L271" s="1">
        <f t="shared" si="408"/>
        <v>0</v>
      </c>
      <c r="M271" s="1">
        <f t="shared" si="408"/>
        <v>0</v>
      </c>
      <c r="N271" s="7" t="s">
        <v>57</v>
      </c>
    </row>
    <row r="272" spans="1:14" x14ac:dyDescent="0.25">
      <c r="A272" s="9">
        <f t="shared" si="394"/>
        <v>68</v>
      </c>
      <c r="B272" s="5" t="e">
        <f>+'libro compras'!P271</f>
        <v>#N/A</v>
      </c>
      <c r="C272" s="1" t="str">
        <f t="shared" ref="C272:E272" si="409">+C271</f>
        <v>103</v>
      </c>
      <c r="D272" s="1">
        <f t="shared" si="409"/>
        <v>0</v>
      </c>
      <c r="E272" s="12" t="str">
        <f t="shared" si="409"/>
        <v/>
      </c>
      <c r="F272" s="7"/>
      <c r="G272" s="2">
        <f>-'libro compras'!AI271</f>
        <v>0</v>
      </c>
      <c r="H272" s="7"/>
      <c r="I272" s="7" t="s">
        <v>36</v>
      </c>
      <c r="J272" s="7" t="str">
        <f>+CONCATENATE('libro compras'!C271," ",'libro compras'!D271)</f>
        <v xml:space="preserve"> </v>
      </c>
      <c r="K272" s="5">
        <f t="shared" ref="K272:M272" si="410">+K271</f>
        <v>0</v>
      </c>
      <c r="L272" s="1">
        <f t="shared" si="410"/>
        <v>0</v>
      </c>
      <c r="M272" s="1">
        <f t="shared" si="410"/>
        <v>0</v>
      </c>
      <c r="N272" s="7" t="s">
        <v>57</v>
      </c>
    </row>
    <row r="273" spans="1:14" x14ac:dyDescent="0.25">
      <c r="A273" s="9">
        <f t="shared" si="394"/>
        <v>68</v>
      </c>
      <c r="B273" s="2" t="e">
        <f>+VLOOKUP(B272,Hoja1!$A$1:$B$2,2,FALSE)</f>
        <v>#N/A</v>
      </c>
      <c r="C273" s="1" t="str">
        <f t="shared" ref="C273:E273" si="411">+C272</f>
        <v>103</v>
      </c>
      <c r="D273" s="1">
        <f t="shared" si="411"/>
        <v>0</v>
      </c>
      <c r="E273" s="12" t="str">
        <f t="shared" si="411"/>
        <v/>
      </c>
      <c r="F273" s="7"/>
      <c r="G273" s="2">
        <f>-'libro compras'!AB271</f>
        <v>0</v>
      </c>
      <c r="H273" s="7"/>
      <c r="I273" s="7" t="s">
        <v>36</v>
      </c>
      <c r="J273" s="7" t="str">
        <f>+CONCATENATE('libro compras'!C271," ",'libro compras'!D271)</f>
        <v xml:space="preserve"> </v>
      </c>
      <c r="K273" s="5">
        <f t="shared" ref="K273:M273" si="412">+K272</f>
        <v>0</v>
      </c>
      <c r="L273" s="1">
        <f t="shared" si="412"/>
        <v>0</v>
      </c>
      <c r="M273" s="1">
        <f t="shared" si="412"/>
        <v>0</v>
      </c>
      <c r="N273" s="7" t="s">
        <v>57</v>
      </c>
    </row>
    <row r="274" spans="1:14" x14ac:dyDescent="0.25">
      <c r="A274" s="9">
        <f t="shared" si="394"/>
        <v>69</v>
      </c>
      <c r="B274" s="5" t="str">
        <f>+'libro compras'!$AI$1</f>
        <v>281110</v>
      </c>
      <c r="C274" s="1" t="str">
        <f>+'libro compras'!Q275</f>
        <v>103</v>
      </c>
      <c r="D274" s="1">
        <f>+'libro compras'!R275</f>
        <v>0</v>
      </c>
      <c r="E274" s="12" t="str">
        <f>+'libro compras'!S275</f>
        <v/>
      </c>
      <c r="F274" s="7"/>
      <c r="G274" s="2">
        <f>+'libro compras'!AK275</f>
        <v>0</v>
      </c>
      <c r="H274" s="7"/>
      <c r="I274" s="7" t="s">
        <v>56</v>
      </c>
      <c r="J274" s="7" t="str">
        <f>+CONCATENATE('libro compras'!C275," ",'libro compras'!D275)</f>
        <v xml:space="preserve"> </v>
      </c>
      <c r="K274" s="5">
        <f>+'libro compras'!F275</f>
        <v>0</v>
      </c>
      <c r="L274" s="1">
        <f>+'libro compras'!C275</f>
        <v>0</v>
      </c>
      <c r="M274" s="5">
        <f>+'libro compras'!D275</f>
        <v>0</v>
      </c>
      <c r="N274" s="7" t="s">
        <v>57</v>
      </c>
    </row>
    <row r="275" spans="1:14" hidden="1" x14ac:dyDescent="0.25">
      <c r="A275" s="9">
        <f t="shared" si="394"/>
        <v>69</v>
      </c>
      <c r="B275" s="5" t="str">
        <f>+'libro compras'!$AJ$1</f>
        <v>401110</v>
      </c>
      <c r="C275" s="1" t="str">
        <f t="shared" ref="C275:E275" si="413">+C274</f>
        <v>103</v>
      </c>
      <c r="D275" s="1">
        <f t="shared" si="413"/>
        <v>0</v>
      </c>
      <c r="E275" s="12" t="str">
        <f t="shared" si="413"/>
        <v/>
      </c>
      <c r="F275" s="7"/>
      <c r="G275" s="2">
        <f>+'libro compras'!AJ275</f>
        <v>0</v>
      </c>
      <c r="H275" s="7"/>
      <c r="I275" s="7" t="s">
        <v>56</v>
      </c>
      <c r="J275" s="7" t="str">
        <f t="shared" ref="J275:M275" si="414">+J274</f>
        <v xml:space="preserve"> </v>
      </c>
      <c r="K275" s="5">
        <f t="shared" si="414"/>
        <v>0</v>
      </c>
      <c r="L275" s="1">
        <f t="shared" si="414"/>
        <v>0</v>
      </c>
      <c r="M275" s="1">
        <f t="shared" si="414"/>
        <v>0</v>
      </c>
      <c r="N275" s="7" t="s">
        <v>57</v>
      </c>
    </row>
    <row r="276" spans="1:14" x14ac:dyDescent="0.25">
      <c r="A276" s="9">
        <f t="shared" si="394"/>
        <v>69</v>
      </c>
      <c r="B276" s="5" t="e">
        <f>+'libro compras'!P275</f>
        <v>#N/A</v>
      </c>
      <c r="C276" s="1" t="str">
        <f t="shared" ref="C276:E276" si="415">+C275</f>
        <v>103</v>
      </c>
      <c r="D276" s="1">
        <f t="shared" si="415"/>
        <v>0</v>
      </c>
      <c r="E276" s="12" t="str">
        <f t="shared" si="415"/>
        <v/>
      </c>
      <c r="F276" s="7"/>
      <c r="G276" s="2">
        <f>-'libro compras'!AI275</f>
        <v>0</v>
      </c>
      <c r="H276" s="7"/>
      <c r="I276" s="7" t="s">
        <v>36</v>
      </c>
      <c r="J276" s="7" t="str">
        <f>+CONCATENATE('libro compras'!C275," ",'libro compras'!D275)</f>
        <v xml:space="preserve"> </v>
      </c>
      <c r="K276" s="5">
        <f t="shared" ref="K276:M276" si="416">+K275</f>
        <v>0</v>
      </c>
      <c r="L276" s="1">
        <f t="shared" si="416"/>
        <v>0</v>
      </c>
      <c r="M276" s="1">
        <f t="shared" si="416"/>
        <v>0</v>
      </c>
      <c r="N276" s="7" t="s">
        <v>57</v>
      </c>
    </row>
    <row r="277" spans="1:14" x14ac:dyDescent="0.25">
      <c r="A277" s="9">
        <f t="shared" si="394"/>
        <v>69</v>
      </c>
      <c r="B277" s="2" t="e">
        <f>+VLOOKUP(B276,Hoja1!$A$1:$B$2,2,FALSE)</f>
        <v>#N/A</v>
      </c>
      <c r="C277" s="1" t="str">
        <f t="shared" ref="C277:E277" si="417">+C276</f>
        <v>103</v>
      </c>
      <c r="D277" s="1">
        <f t="shared" si="417"/>
        <v>0</v>
      </c>
      <c r="E277" s="12" t="str">
        <f t="shared" si="417"/>
        <v/>
      </c>
      <c r="F277" s="7"/>
      <c r="G277" s="2">
        <f>-'libro compras'!AB275</f>
        <v>0</v>
      </c>
      <c r="H277" s="7"/>
      <c r="I277" s="7" t="s">
        <v>36</v>
      </c>
      <c r="J277" s="7" t="str">
        <f>+CONCATENATE('libro compras'!C275," ",'libro compras'!D275)</f>
        <v xml:space="preserve"> </v>
      </c>
      <c r="K277" s="5">
        <f t="shared" ref="K277:M277" si="418">+K276</f>
        <v>0</v>
      </c>
      <c r="L277" s="1">
        <f t="shared" si="418"/>
        <v>0</v>
      </c>
      <c r="M277" s="1">
        <f t="shared" si="418"/>
        <v>0</v>
      </c>
      <c r="N277" s="7" t="s">
        <v>57</v>
      </c>
    </row>
    <row r="278" spans="1:14" x14ac:dyDescent="0.25">
      <c r="A278" s="9">
        <f t="shared" si="394"/>
        <v>70</v>
      </c>
      <c r="B278" s="5" t="str">
        <f>+'libro compras'!$AI$1</f>
        <v>281110</v>
      </c>
      <c r="C278" s="1" t="str">
        <f>+'libro compras'!Q279</f>
        <v>103</v>
      </c>
      <c r="D278" s="1">
        <f>+'libro compras'!R279</f>
        <v>0</v>
      </c>
      <c r="E278" s="12" t="str">
        <f>+'libro compras'!S279</f>
        <v/>
      </c>
      <c r="F278" s="7"/>
      <c r="G278" s="2">
        <f>+'libro compras'!AK279</f>
        <v>0</v>
      </c>
      <c r="H278" s="7"/>
      <c r="I278" s="7" t="s">
        <v>56</v>
      </c>
      <c r="J278" s="7" t="str">
        <f>+CONCATENATE('libro compras'!C279," ",'libro compras'!D279)</f>
        <v xml:space="preserve"> </v>
      </c>
      <c r="K278" s="5">
        <f>+'libro compras'!F279</f>
        <v>0</v>
      </c>
      <c r="L278" s="1">
        <f>+'libro compras'!C279</f>
        <v>0</v>
      </c>
      <c r="M278" s="5">
        <f>+'libro compras'!D279</f>
        <v>0</v>
      </c>
      <c r="N278" s="7" t="s">
        <v>57</v>
      </c>
    </row>
    <row r="279" spans="1:14" hidden="1" x14ac:dyDescent="0.25">
      <c r="A279" s="9">
        <f t="shared" si="394"/>
        <v>70</v>
      </c>
      <c r="B279" s="5" t="str">
        <f>+'libro compras'!$AJ$1</f>
        <v>401110</v>
      </c>
      <c r="C279" s="1" t="str">
        <f t="shared" ref="C279:E279" si="419">+C278</f>
        <v>103</v>
      </c>
      <c r="D279" s="1">
        <f t="shared" si="419"/>
        <v>0</v>
      </c>
      <c r="E279" s="12" t="str">
        <f t="shared" si="419"/>
        <v/>
      </c>
      <c r="F279" s="7"/>
      <c r="G279" s="2">
        <f>+'libro compras'!AJ279</f>
        <v>0</v>
      </c>
      <c r="H279" s="7"/>
      <c r="I279" s="7" t="s">
        <v>56</v>
      </c>
      <c r="J279" s="7" t="str">
        <f t="shared" ref="J279:M279" si="420">+J278</f>
        <v xml:space="preserve"> </v>
      </c>
      <c r="K279" s="5">
        <f t="shared" si="420"/>
        <v>0</v>
      </c>
      <c r="L279" s="1">
        <f t="shared" si="420"/>
        <v>0</v>
      </c>
      <c r="M279" s="1">
        <f t="shared" si="420"/>
        <v>0</v>
      </c>
      <c r="N279" s="7" t="s">
        <v>57</v>
      </c>
    </row>
    <row r="280" spans="1:14" x14ac:dyDescent="0.25">
      <c r="A280" s="9">
        <f t="shared" si="394"/>
        <v>70</v>
      </c>
      <c r="B280" s="5" t="e">
        <f>+'libro compras'!P279</f>
        <v>#N/A</v>
      </c>
      <c r="C280" s="1" t="str">
        <f t="shared" ref="C280:E280" si="421">+C279</f>
        <v>103</v>
      </c>
      <c r="D280" s="1">
        <f t="shared" si="421"/>
        <v>0</v>
      </c>
      <c r="E280" s="12" t="str">
        <f t="shared" si="421"/>
        <v/>
      </c>
      <c r="F280" s="7"/>
      <c r="G280" s="2">
        <f>-'libro compras'!AI279</f>
        <v>0</v>
      </c>
      <c r="H280" s="7"/>
      <c r="I280" s="7" t="s">
        <v>36</v>
      </c>
      <c r="J280" s="7" t="str">
        <f>+CONCATENATE('libro compras'!C279," ",'libro compras'!D279)</f>
        <v xml:space="preserve"> </v>
      </c>
      <c r="K280" s="5">
        <f t="shared" ref="K280:M280" si="422">+K279</f>
        <v>0</v>
      </c>
      <c r="L280" s="1">
        <f t="shared" si="422"/>
        <v>0</v>
      </c>
      <c r="M280" s="1">
        <f t="shared" si="422"/>
        <v>0</v>
      </c>
      <c r="N280" s="7" t="s">
        <v>57</v>
      </c>
    </row>
    <row r="281" spans="1:14" x14ac:dyDescent="0.25">
      <c r="A281" s="9">
        <f t="shared" si="394"/>
        <v>70</v>
      </c>
      <c r="B281" s="2" t="e">
        <f>+VLOOKUP(B280,Hoja1!$A$1:$B$2,2,FALSE)</f>
        <v>#N/A</v>
      </c>
      <c r="C281" s="1" t="str">
        <f t="shared" ref="C281:E281" si="423">+C280</f>
        <v>103</v>
      </c>
      <c r="D281" s="1">
        <f t="shared" si="423"/>
        <v>0</v>
      </c>
      <c r="E281" s="12" t="str">
        <f t="shared" si="423"/>
        <v/>
      </c>
      <c r="F281" s="7"/>
      <c r="G281" s="2">
        <f>-'libro compras'!AB279</f>
        <v>0</v>
      </c>
      <c r="H281" s="7"/>
      <c r="I281" s="7" t="s">
        <v>36</v>
      </c>
      <c r="J281" s="7" t="str">
        <f>+CONCATENATE('libro compras'!C279," ",'libro compras'!D279)</f>
        <v xml:space="preserve"> </v>
      </c>
      <c r="K281" s="5">
        <f t="shared" ref="K281:M281" si="424">+K280</f>
        <v>0</v>
      </c>
      <c r="L281" s="1">
        <f t="shared" si="424"/>
        <v>0</v>
      </c>
      <c r="M281" s="1">
        <f t="shared" si="424"/>
        <v>0</v>
      </c>
      <c r="N281" s="7" t="s">
        <v>57</v>
      </c>
    </row>
    <row r="282" spans="1:14" x14ac:dyDescent="0.25">
      <c r="A282" s="9">
        <f t="shared" si="394"/>
        <v>71</v>
      </c>
      <c r="B282" s="5" t="str">
        <f>+'libro compras'!$AI$1</f>
        <v>281110</v>
      </c>
      <c r="C282" s="1" t="str">
        <f>+'libro compras'!Q283</f>
        <v>103</v>
      </c>
      <c r="D282" s="1">
        <f>+'libro compras'!R283</f>
        <v>0</v>
      </c>
      <c r="E282" s="12" t="str">
        <f>+'libro compras'!S283</f>
        <v/>
      </c>
      <c r="F282" s="7"/>
      <c r="G282" s="2">
        <f>+'libro compras'!AK283</f>
        <v>0</v>
      </c>
      <c r="H282" s="7"/>
      <c r="I282" s="7" t="s">
        <v>56</v>
      </c>
      <c r="J282" s="7" t="str">
        <f>+CONCATENATE('libro compras'!C283," ",'libro compras'!D283)</f>
        <v xml:space="preserve"> </v>
      </c>
      <c r="K282" s="5">
        <f>+'libro compras'!F283</f>
        <v>0</v>
      </c>
      <c r="L282" s="1">
        <f>+'libro compras'!C283</f>
        <v>0</v>
      </c>
      <c r="M282" s="5">
        <f>+'libro compras'!D283</f>
        <v>0</v>
      </c>
      <c r="N282" s="7" t="s">
        <v>57</v>
      </c>
    </row>
    <row r="283" spans="1:14" hidden="1" x14ac:dyDescent="0.25">
      <c r="A283" s="9">
        <f t="shared" si="394"/>
        <v>71</v>
      </c>
      <c r="B283" s="5" t="str">
        <f>+'libro compras'!$AJ$1</f>
        <v>401110</v>
      </c>
      <c r="C283" s="1" t="str">
        <f t="shared" ref="C283:E283" si="425">+C282</f>
        <v>103</v>
      </c>
      <c r="D283" s="1">
        <f t="shared" si="425"/>
        <v>0</v>
      </c>
      <c r="E283" s="12" t="str">
        <f t="shared" si="425"/>
        <v/>
      </c>
      <c r="F283" s="7"/>
      <c r="G283" s="2">
        <f>+'libro compras'!AJ283</f>
        <v>0</v>
      </c>
      <c r="H283" s="7"/>
      <c r="I283" s="7" t="s">
        <v>56</v>
      </c>
      <c r="J283" s="7" t="str">
        <f t="shared" ref="J283:M283" si="426">+J282</f>
        <v xml:space="preserve"> </v>
      </c>
      <c r="K283" s="5">
        <f t="shared" si="426"/>
        <v>0</v>
      </c>
      <c r="L283" s="1">
        <f t="shared" si="426"/>
        <v>0</v>
      </c>
      <c r="M283" s="1">
        <f t="shared" si="426"/>
        <v>0</v>
      </c>
      <c r="N283" s="7" t="s">
        <v>57</v>
      </c>
    </row>
    <row r="284" spans="1:14" x14ac:dyDescent="0.25">
      <c r="A284" s="9">
        <f t="shared" si="394"/>
        <v>71</v>
      </c>
      <c r="B284" s="5" t="e">
        <f>+'libro compras'!P283</f>
        <v>#N/A</v>
      </c>
      <c r="C284" s="1" t="str">
        <f t="shared" ref="C284:E284" si="427">+C283</f>
        <v>103</v>
      </c>
      <c r="D284" s="1">
        <f t="shared" si="427"/>
        <v>0</v>
      </c>
      <c r="E284" s="12" t="str">
        <f t="shared" si="427"/>
        <v/>
      </c>
      <c r="F284" s="7"/>
      <c r="G284" s="2">
        <f>-'libro compras'!AI283</f>
        <v>0</v>
      </c>
      <c r="H284" s="7"/>
      <c r="I284" s="7" t="s">
        <v>36</v>
      </c>
      <c r="J284" s="7" t="str">
        <f>+CONCATENATE('libro compras'!C283," ",'libro compras'!D283)</f>
        <v xml:space="preserve"> </v>
      </c>
      <c r="K284" s="5">
        <f t="shared" ref="K284:M284" si="428">+K283</f>
        <v>0</v>
      </c>
      <c r="L284" s="1">
        <f t="shared" si="428"/>
        <v>0</v>
      </c>
      <c r="M284" s="1">
        <f t="shared" si="428"/>
        <v>0</v>
      </c>
      <c r="N284" s="7" t="s">
        <v>57</v>
      </c>
    </row>
    <row r="285" spans="1:14" x14ac:dyDescent="0.25">
      <c r="A285" s="9">
        <f t="shared" si="394"/>
        <v>71</v>
      </c>
      <c r="B285" s="2" t="e">
        <f>+VLOOKUP(B284,Hoja1!$A$1:$B$2,2,FALSE)</f>
        <v>#N/A</v>
      </c>
      <c r="C285" s="1" t="str">
        <f t="shared" ref="C285:E285" si="429">+C284</f>
        <v>103</v>
      </c>
      <c r="D285" s="1">
        <f t="shared" si="429"/>
        <v>0</v>
      </c>
      <c r="E285" s="12" t="str">
        <f t="shared" si="429"/>
        <v/>
      </c>
      <c r="F285" s="7"/>
      <c r="G285" s="2">
        <f>-'libro compras'!AB283</f>
        <v>0</v>
      </c>
      <c r="H285" s="7"/>
      <c r="I285" s="7" t="s">
        <v>36</v>
      </c>
      <c r="J285" s="7" t="str">
        <f>+CONCATENATE('libro compras'!C283," ",'libro compras'!D283)</f>
        <v xml:space="preserve"> </v>
      </c>
      <c r="K285" s="5">
        <f t="shared" ref="K285:M285" si="430">+K284</f>
        <v>0</v>
      </c>
      <c r="L285" s="1">
        <f t="shared" si="430"/>
        <v>0</v>
      </c>
      <c r="M285" s="1">
        <f t="shared" si="430"/>
        <v>0</v>
      </c>
      <c r="N285" s="7" t="s">
        <v>57</v>
      </c>
    </row>
    <row r="286" spans="1:14" x14ac:dyDescent="0.25">
      <c r="A286" s="9">
        <f t="shared" si="394"/>
        <v>72</v>
      </c>
      <c r="B286" s="5" t="str">
        <f>+'libro compras'!$AI$1</f>
        <v>281110</v>
      </c>
      <c r="C286" s="1" t="str">
        <f>+'libro compras'!Q287</f>
        <v>103</v>
      </c>
      <c r="D286" s="1">
        <f>+'libro compras'!R287</f>
        <v>0</v>
      </c>
      <c r="E286" s="12" t="str">
        <f>+'libro compras'!S287</f>
        <v/>
      </c>
      <c r="F286" s="7"/>
      <c r="G286" s="2">
        <f>+'libro compras'!AK287</f>
        <v>0</v>
      </c>
      <c r="H286" s="7"/>
      <c r="I286" s="7" t="s">
        <v>56</v>
      </c>
      <c r="J286" s="7" t="str">
        <f>+CONCATENATE('libro compras'!C287," ",'libro compras'!D287)</f>
        <v xml:space="preserve"> </v>
      </c>
      <c r="K286" s="5">
        <f>+'libro compras'!F287</f>
        <v>0</v>
      </c>
      <c r="L286" s="1">
        <f>+'libro compras'!C287</f>
        <v>0</v>
      </c>
      <c r="M286" s="5">
        <f>+'libro compras'!D287</f>
        <v>0</v>
      </c>
      <c r="N286" s="7" t="s">
        <v>57</v>
      </c>
    </row>
    <row r="287" spans="1:14" hidden="1" x14ac:dyDescent="0.25">
      <c r="A287" s="9">
        <f t="shared" si="394"/>
        <v>72</v>
      </c>
      <c r="B287" s="5" t="str">
        <f>+'libro compras'!$AJ$1</f>
        <v>401110</v>
      </c>
      <c r="C287" s="1" t="str">
        <f t="shared" ref="C287:E287" si="431">+C286</f>
        <v>103</v>
      </c>
      <c r="D287" s="1">
        <f t="shared" si="431"/>
        <v>0</v>
      </c>
      <c r="E287" s="12" t="str">
        <f t="shared" si="431"/>
        <v/>
      </c>
      <c r="F287" s="7"/>
      <c r="G287" s="2">
        <f>+'libro compras'!AJ287</f>
        <v>0</v>
      </c>
      <c r="H287" s="7"/>
      <c r="I287" s="7" t="s">
        <v>56</v>
      </c>
      <c r="J287" s="7" t="str">
        <f t="shared" ref="J287:M287" si="432">+J286</f>
        <v xml:space="preserve"> </v>
      </c>
      <c r="K287" s="5">
        <f t="shared" si="432"/>
        <v>0</v>
      </c>
      <c r="L287" s="1">
        <f t="shared" si="432"/>
        <v>0</v>
      </c>
      <c r="M287" s="1">
        <f t="shared" si="432"/>
        <v>0</v>
      </c>
      <c r="N287" s="7" t="s">
        <v>57</v>
      </c>
    </row>
    <row r="288" spans="1:14" x14ac:dyDescent="0.25">
      <c r="A288" s="9">
        <f t="shared" si="394"/>
        <v>72</v>
      </c>
      <c r="B288" s="5" t="e">
        <f>+'libro compras'!P287</f>
        <v>#N/A</v>
      </c>
      <c r="C288" s="1" t="str">
        <f t="shared" ref="C288:E288" si="433">+C287</f>
        <v>103</v>
      </c>
      <c r="D288" s="1">
        <f t="shared" si="433"/>
        <v>0</v>
      </c>
      <c r="E288" s="12" t="str">
        <f t="shared" si="433"/>
        <v/>
      </c>
      <c r="F288" s="7"/>
      <c r="G288" s="2">
        <f>-'libro compras'!AI287</f>
        <v>0</v>
      </c>
      <c r="H288" s="7"/>
      <c r="I288" s="7" t="s">
        <v>36</v>
      </c>
      <c r="J288" s="7" t="str">
        <f>+CONCATENATE('libro compras'!C287," ",'libro compras'!D287)</f>
        <v xml:space="preserve"> </v>
      </c>
      <c r="K288" s="5">
        <f t="shared" ref="K288:M288" si="434">+K287</f>
        <v>0</v>
      </c>
      <c r="L288" s="1">
        <f t="shared" si="434"/>
        <v>0</v>
      </c>
      <c r="M288" s="1">
        <f t="shared" si="434"/>
        <v>0</v>
      </c>
      <c r="N288" s="7" t="s">
        <v>57</v>
      </c>
    </row>
    <row r="289" spans="1:14" x14ac:dyDescent="0.25">
      <c r="A289" s="9">
        <f t="shared" si="394"/>
        <v>72</v>
      </c>
      <c r="B289" s="2" t="e">
        <f>+VLOOKUP(B288,Hoja1!$A$1:$B$2,2,FALSE)</f>
        <v>#N/A</v>
      </c>
      <c r="C289" s="1" t="str">
        <f t="shared" ref="C289:E289" si="435">+C288</f>
        <v>103</v>
      </c>
      <c r="D289" s="1">
        <f t="shared" si="435"/>
        <v>0</v>
      </c>
      <c r="E289" s="12" t="str">
        <f t="shared" si="435"/>
        <v/>
      </c>
      <c r="F289" s="7"/>
      <c r="G289" s="2">
        <f>-'libro compras'!AB287</f>
        <v>0</v>
      </c>
      <c r="H289" s="7"/>
      <c r="I289" s="7" t="s">
        <v>36</v>
      </c>
      <c r="J289" s="7" t="str">
        <f>+CONCATENATE('libro compras'!C287," ",'libro compras'!D287)</f>
        <v xml:space="preserve"> </v>
      </c>
      <c r="K289" s="5">
        <f t="shared" ref="K289:M289" si="436">+K288</f>
        <v>0</v>
      </c>
      <c r="L289" s="1">
        <f t="shared" si="436"/>
        <v>0</v>
      </c>
      <c r="M289" s="1">
        <f t="shared" si="436"/>
        <v>0</v>
      </c>
      <c r="N289" s="7" t="s">
        <v>57</v>
      </c>
    </row>
    <row r="290" spans="1:14" x14ac:dyDescent="0.25">
      <c r="A290" s="9">
        <f t="shared" si="394"/>
        <v>73</v>
      </c>
      <c r="B290" s="5" t="str">
        <f>+'libro compras'!$AI$1</f>
        <v>281110</v>
      </c>
      <c r="C290" s="1" t="str">
        <f>+'libro compras'!Q291</f>
        <v>103</v>
      </c>
      <c r="D290" s="1">
        <f>+'libro compras'!R291</f>
        <v>0</v>
      </c>
      <c r="E290" s="12" t="str">
        <f>+'libro compras'!S291</f>
        <v/>
      </c>
      <c r="F290" s="7"/>
      <c r="G290" s="2">
        <f>+'libro compras'!AK291</f>
        <v>0</v>
      </c>
      <c r="H290" s="7"/>
      <c r="I290" s="7" t="s">
        <v>56</v>
      </c>
      <c r="J290" s="7" t="str">
        <f>+CONCATENATE('libro compras'!C291," ",'libro compras'!D291)</f>
        <v xml:space="preserve"> </v>
      </c>
      <c r="K290" s="5">
        <f>+'libro compras'!F291</f>
        <v>0</v>
      </c>
      <c r="L290" s="1">
        <f>+'libro compras'!C291</f>
        <v>0</v>
      </c>
      <c r="M290" s="5">
        <f>+'libro compras'!D291</f>
        <v>0</v>
      </c>
      <c r="N290" s="7" t="s">
        <v>57</v>
      </c>
    </row>
    <row r="291" spans="1:14" hidden="1" x14ac:dyDescent="0.25">
      <c r="A291" s="9">
        <f t="shared" si="394"/>
        <v>73</v>
      </c>
      <c r="B291" s="5" t="str">
        <f>+'libro compras'!$AJ$1</f>
        <v>401110</v>
      </c>
      <c r="C291" s="1" t="str">
        <f t="shared" ref="C291:E291" si="437">+C290</f>
        <v>103</v>
      </c>
      <c r="D291" s="1">
        <f t="shared" si="437"/>
        <v>0</v>
      </c>
      <c r="E291" s="12" t="str">
        <f t="shared" si="437"/>
        <v/>
      </c>
      <c r="F291" s="7"/>
      <c r="G291" s="2">
        <f>+'libro compras'!AJ291</f>
        <v>0</v>
      </c>
      <c r="H291" s="7"/>
      <c r="I291" s="7" t="s">
        <v>56</v>
      </c>
      <c r="J291" s="7" t="str">
        <f t="shared" ref="J291:M291" si="438">+J290</f>
        <v xml:space="preserve"> </v>
      </c>
      <c r="K291" s="5">
        <f t="shared" si="438"/>
        <v>0</v>
      </c>
      <c r="L291" s="1">
        <f t="shared" si="438"/>
        <v>0</v>
      </c>
      <c r="M291" s="1">
        <f t="shared" si="438"/>
        <v>0</v>
      </c>
      <c r="N291" s="7" t="s">
        <v>57</v>
      </c>
    </row>
    <row r="292" spans="1:14" x14ac:dyDescent="0.25">
      <c r="A292" s="9">
        <f t="shared" si="394"/>
        <v>73</v>
      </c>
      <c r="B292" s="5" t="e">
        <f>+'libro compras'!P291</f>
        <v>#N/A</v>
      </c>
      <c r="C292" s="1" t="str">
        <f t="shared" ref="C292:E292" si="439">+C291</f>
        <v>103</v>
      </c>
      <c r="D292" s="1">
        <f t="shared" si="439"/>
        <v>0</v>
      </c>
      <c r="E292" s="12" t="str">
        <f t="shared" si="439"/>
        <v/>
      </c>
      <c r="F292" s="7"/>
      <c r="G292" s="2">
        <f>-'libro compras'!AI291</f>
        <v>0</v>
      </c>
      <c r="H292" s="7"/>
      <c r="I292" s="7" t="s">
        <v>36</v>
      </c>
      <c r="J292" s="7" t="str">
        <f>+CONCATENATE('libro compras'!C291," ",'libro compras'!D291)</f>
        <v xml:space="preserve"> </v>
      </c>
      <c r="K292" s="5">
        <f t="shared" ref="K292:M292" si="440">+K291</f>
        <v>0</v>
      </c>
      <c r="L292" s="1">
        <f t="shared" si="440"/>
        <v>0</v>
      </c>
      <c r="M292" s="1">
        <f t="shared" si="440"/>
        <v>0</v>
      </c>
      <c r="N292" s="7" t="s">
        <v>57</v>
      </c>
    </row>
    <row r="293" spans="1:14" x14ac:dyDescent="0.25">
      <c r="A293" s="9">
        <f t="shared" si="394"/>
        <v>73</v>
      </c>
      <c r="B293" s="2" t="e">
        <f>+VLOOKUP(B292,Hoja1!$A$1:$B$2,2,FALSE)</f>
        <v>#N/A</v>
      </c>
      <c r="C293" s="1" t="str">
        <f t="shared" ref="C293:E293" si="441">+C292</f>
        <v>103</v>
      </c>
      <c r="D293" s="1">
        <f t="shared" si="441"/>
        <v>0</v>
      </c>
      <c r="E293" s="12" t="str">
        <f t="shared" si="441"/>
        <v/>
      </c>
      <c r="F293" s="7"/>
      <c r="G293" s="2">
        <f>-'libro compras'!AB291</f>
        <v>0</v>
      </c>
      <c r="H293" s="7"/>
      <c r="I293" s="7" t="s">
        <v>36</v>
      </c>
      <c r="J293" s="7" t="str">
        <f>+CONCATENATE('libro compras'!C291," ",'libro compras'!D291)</f>
        <v xml:space="preserve"> </v>
      </c>
      <c r="K293" s="5">
        <f t="shared" ref="K293:M293" si="442">+K292</f>
        <v>0</v>
      </c>
      <c r="L293" s="1">
        <f t="shared" si="442"/>
        <v>0</v>
      </c>
      <c r="M293" s="1">
        <f t="shared" si="442"/>
        <v>0</v>
      </c>
      <c r="N293" s="7" t="s">
        <v>57</v>
      </c>
    </row>
    <row r="294" spans="1:14" x14ac:dyDescent="0.25">
      <c r="A294" s="9">
        <f t="shared" si="394"/>
        <v>74</v>
      </c>
      <c r="B294" s="5" t="str">
        <f>+'libro compras'!$AI$1</f>
        <v>281110</v>
      </c>
      <c r="C294" s="1" t="str">
        <f>+'libro compras'!Q295</f>
        <v>103</v>
      </c>
      <c r="D294" s="1">
        <f>+'libro compras'!R295</f>
        <v>0</v>
      </c>
      <c r="E294" s="12" t="str">
        <f>+'libro compras'!S295</f>
        <v/>
      </c>
      <c r="F294" s="7"/>
      <c r="G294" s="2">
        <f>+'libro compras'!AK295</f>
        <v>0</v>
      </c>
      <c r="H294" s="7"/>
      <c r="I294" s="7" t="s">
        <v>56</v>
      </c>
      <c r="J294" s="7" t="str">
        <f>+CONCATENATE('libro compras'!C295," ",'libro compras'!D295)</f>
        <v xml:space="preserve"> </v>
      </c>
      <c r="K294" s="5">
        <f>+'libro compras'!F295</f>
        <v>0</v>
      </c>
      <c r="L294" s="1">
        <f>+'libro compras'!C295</f>
        <v>0</v>
      </c>
      <c r="M294" s="5">
        <f>+'libro compras'!D295</f>
        <v>0</v>
      </c>
      <c r="N294" s="7" t="s">
        <v>57</v>
      </c>
    </row>
    <row r="295" spans="1:14" hidden="1" x14ac:dyDescent="0.25">
      <c r="A295" s="9">
        <f t="shared" si="394"/>
        <v>74</v>
      </c>
      <c r="B295" s="5" t="str">
        <f>+'libro compras'!$AJ$1</f>
        <v>401110</v>
      </c>
      <c r="C295" s="1" t="str">
        <f t="shared" ref="C295:E295" si="443">+C294</f>
        <v>103</v>
      </c>
      <c r="D295" s="1">
        <f t="shared" si="443"/>
        <v>0</v>
      </c>
      <c r="E295" s="12" t="str">
        <f t="shared" si="443"/>
        <v/>
      </c>
      <c r="F295" s="7"/>
      <c r="G295" s="2">
        <f>+'libro compras'!AJ295</f>
        <v>0</v>
      </c>
      <c r="H295" s="7"/>
      <c r="I295" s="7" t="s">
        <v>56</v>
      </c>
      <c r="J295" s="7" t="str">
        <f t="shared" ref="J295:M295" si="444">+J294</f>
        <v xml:space="preserve"> </v>
      </c>
      <c r="K295" s="5">
        <f t="shared" si="444"/>
        <v>0</v>
      </c>
      <c r="L295" s="1">
        <f t="shared" si="444"/>
        <v>0</v>
      </c>
      <c r="M295" s="1">
        <f t="shared" si="444"/>
        <v>0</v>
      </c>
      <c r="N295" s="7" t="s">
        <v>57</v>
      </c>
    </row>
    <row r="296" spans="1:14" x14ac:dyDescent="0.25">
      <c r="A296" s="9">
        <f t="shared" si="394"/>
        <v>74</v>
      </c>
      <c r="B296" s="5" t="e">
        <f>+'libro compras'!P295</f>
        <v>#N/A</v>
      </c>
      <c r="C296" s="1" t="str">
        <f t="shared" ref="C296:E296" si="445">+C295</f>
        <v>103</v>
      </c>
      <c r="D296" s="1">
        <f t="shared" si="445"/>
        <v>0</v>
      </c>
      <c r="E296" s="12" t="str">
        <f t="shared" si="445"/>
        <v/>
      </c>
      <c r="F296" s="7"/>
      <c r="G296" s="2">
        <f>-'libro compras'!AI295</f>
        <v>0</v>
      </c>
      <c r="H296" s="7"/>
      <c r="I296" s="7" t="s">
        <v>36</v>
      </c>
      <c r="J296" s="7" t="str">
        <f>+CONCATENATE('libro compras'!C295," ",'libro compras'!D295)</f>
        <v xml:space="preserve"> </v>
      </c>
      <c r="K296" s="5">
        <f t="shared" ref="K296:M296" si="446">+K295</f>
        <v>0</v>
      </c>
      <c r="L296" s="1">
        <f t="shared" si="446"/>
        <v>0</v>
      </c>
      <c r="M296" s="1">
        <f t="shared" si="446"/>
        <v>0</v>
      </c>
      <c r="N296" s="7" t="s">
        <v>57</v>
      </c>
    </row>
    <row r="297" spans="1:14" x14ac:dyDescent="0.25">
      <c r="A297" s="9">
        <f t="shared" si="394"/>
        <v>74</v>
      </c>
      <c r="B297" s="2" t="e">
        <f>+VLOOKUP(B296,Hoja1!$A$1:$B$2,2,FALSE)</f>
        <v>#N/A</v>
      </c>
      <c r="C297" s="1" t="str">
        <f t="shared" ref="C297:E297" si="447">+C296</f>
        <v>103</v>
      </c>
      <c r="D297" s="1">
        <f t="shared" si="447"/>
        <v>0</v>
      </c>
      <c r="E297" s="12" t="str">
        <f t="shared" si="447"/>
        <v/>
      </c>
      <c r="F297" s="7"/>
      <c r="G297" s="2">
        <f>-'libro compras'!AB295</f>
        <v>0</v>
      </c>
      <c r="H297" s="7"/>
      <c r="I297" s="7" t="s">
        <v>36</v>
      </c>
      <c r="J297" s="7" t="str">
        <f>+CONCATENATE('libro compras'!C295," ",'libro compras'!D295)</f>
        <v xml:space="preserve"> </v>
      </c>
      <c r="K297" s="5">
        <f t="shared" ref="K297:M297" si="448">+K296</f>
        <v>0</v>
      </c>
      <c r="L297" s="1">
        <f t="shared" si="448"/>
        <v>0</v>
      </c>
      <c r="M297" s="1">
        <f t="shared" si="448"/>
        <v>0</v>
      </c>
      <c r="N297" s="7" t="s">
        <v>57</v>
      </c>
    </row>
    <row r="298" spans="1:14" x14ac:dyDescent="0.25">
      <c r="A298" s="9">
        <f t="shared" si="394"/>
        <v>75</v>
      </c>
      <c r="B298" s="5" t="str">
        <f>+'libro compras'!$AI$1</f>
        <v>281110</v>
      </c>
      <c r="C298" s="1" t="str">
        <f>+'libro compras'!Q299</f>
        <v>103</v>
      </c>
      <c r="D298" s="1">
        <f>+'libro compras'!R299</f>
        <v>0</v>
      </c>
      <c r="E298" s="12" t="str">
        <f>+'libro compras'!S299</f>
        <v/>
      </c>
      <c r="F298" s="7"/>
      <c r="G298" s="2">
        <f>+'libro compras'!AK299</f>
        <v>0</v>
      </c>
      <c r="H298" s="7"/>
      <c r="I298" s="7" t="s">
        <v>56</v>
      </c>
      <c r="J298" s="7" t="str">
        <f>+CONCATENATE('libro compras'!C299," ",'libro compras'!D299)</f>
        <v xml:space="preserve"> </v>
      </c>
      <c r="K298" s="5">
        <f>+'libro compras'!F299</f>
        <v>0</v>
      </c>
      <c r="L298" s="1">
        <f>+'libro compras'!C299</f>
        <v>0</v>
      </c>
      <c r="M298" s="5">
        <f>+'libro compras'!D299</f>
        <v>0</v>
      </c>
      <c r="N298" s="7" t="s">
        <v>57</v>
      </c>
    </row>
    <row r="299" spans="1:14" hidden="1" x14ac:dyDescent="0.25">
      <c r="A299" s="9">
        <f t="shared" si="394"/>
        <v>75</v>
      </c>
      <c r="B299" s="5" t="str">
        <f>+'libro compras'!$AJ$1</f>
        <v>401110</v>
      </c>
      <c r="C299" s="1" t="str">
        <f t="shared" ref="C299:E299" si="449">+C298</f>
        <v>103</v>
      </c>
      <c r="D299" s="1">
        <f t="shared" si="449"/>
        <v>0</v>
      </c>
      <c r="E299" s="12" t="str">
        <f t="shared" si="449"/>
        <v/>
      </c>
      <c r="F299" s="7"/>
      <c r="G299" s="2">
        <f>+'libro compras'!AJ299</f>
        <v>0</v>
      </c>
      <c r="H299" s="7"/>
      <c r="I299" s="7" t="s">
        <v>56</v>
      </c>
      <c r="J299" s="7" t="str">
        <f t="shared" ref="J299:M299" si="450">+J298</f>
        <v xml:space="preserve"> </v>
      </c>
      <c r="K299" s="5">
        <f t="shared" si="450"/>
        <v>0</v>
      </c>
      <c r="L299" s="1">
        <f t="shared" si="450"/>
        <v>0</v>
      </c>
      <c r="M299" s="1">
        <f t="shared" si="450"/>
        <v>0</v>
      </c>
      <c r="N299" s="7" t="s">
        <v>57</v>
      </c>
    </row>
    <row r="300" spans="1:14" x14ac:dyDescent="0.25">
      <c r="A300" s="9">
        <f t="shared" si="394"/>
        <v>75</v>
      </c>
      <c r="B300" s="5" t="e">
        <f>+'libro compras'!P299</f>
        <v>#N/A</v>
      </c>
      <c r="C300" s="1" t="str">
        <f t="shared" ref="C300:E300" si="451">+C299</f>
        <v>103</v>
      </c>
      <c r="D300" s="1">
        <f t="shared" si="451"/>
        <v>0</v>
      </c>
      <c r="E300" s="12" t="str">
        <f t="shared" si="451"/>
        <v/>
      </c>
      <c r="F300" s="7"/>
      <c r="G300" s="2">
        <f>-'libro compras'!AI299</f>
        <v>0</v>
      </c>
      <c r="H300" s="7"/>
      <c r="I300" s="7" t="s">
        <v>36</v>
      </c>
      <c r="J300" s="7" t="str">
        <f>+CONCATENATE('libro compras'!C299," ",'libro compras'!D299)</f>
        <v xml:space="preserve"> </v>
      </c>
      <c r="K300" s="5">
        <f t="shared" ref="K300:M300" si="452">+K299</f>
        <v>0</v>
      </c>
      <c r="L300" s="1">
        <f t="shared" si="452"/>
        <v>0</v>
      </c>
      <c r="M300" s="1">
        <f t="shared" si="452"/>
        <v>0</v>
      </c>
      <c r="N300" s="7" t="s">
        <v>57</v>
      </c>
    </row>
    <row r="301" spans="1:14" x14ac:dyDescent="0.25">
      <c r="A301" s="9">
        <f t="shared" si="394"/>
        <v>75</v>
      </c>
      <c r="B301" s="2" t="e">
        <f>+VLOOKUP(B300,Hoja1!$A$1:$B$2,2,FALSE)</f>
        <v>#N/A</v>
      </c>
      <c r="C301" s="1" t="str">
        <f t="shared" ref="C301:E301" si="453">+C300</f>
        <v>103</v>
      </c>
      <c r="D301" s="1">
        <f t="shared" si="453"/>
        <v>0</v>
      </c>
      <c r="E301" s="12" t="str">
        <f t="shared" si="453"/>
        <v/>
      </c>
      <c r="F301" s="7"/>
      <c r="G301" s="2">
        <f>-'libro compras'!AB299</f>
        <v>0</v>
      </c>
      <c r="H301" s="7"/>
      <c r="I301" s="7" t="s">
        <v>36</v>
      </c>
      <c r="J301" s="7" t="str">
        <f>+CONCATENATE('libro compras'!C299," ",'libro compras'!D299)</f>
        <v xml:space="preserve"> </v>
      </c>
      <c r="K301" s="5">
        <f t="shared" ref="K301:M301" si="454">+K300</f>
        <v>0</v>
      </c>
      <c r="L301" s="1">
        <f t="shared" si="454"/>
        <v>0</v>
      </c>
      <c r="M301" s="1">
        <f t="shared" si="454"/>
        <v>0</v>
      </c>
      <c r="N301" s="7" t="s">
        <v>57</v>
      </c>
    </row>
    <row r="302" spans="1:14" x14ac:dyDescent="0.25">
      <c r="A302" s="9">
        <f t="shared" si="394"/>
        <v>76</v>
      </c>
      <c r="B302" s="5" t="str">
        <f>+'libro compras'!$AI$1</f>
        <v>281110</v>
      </c>
      <c r="C302" s="1" t="str">
        <f>+'libro compras'!Q303</f>
        <v>103</v>
      </c>
      <c r="D302" s="1">
        <f>+'libro compras'!R303</f>
        <v>0</v>
      </c>
      <c r="E302" s="12" t="str">
        <f>+'libro compras'!S303</f>
        <v/>
      </c>
      <c r="F302" s="7"/>
      <c r="G302" s="2">
        <f>+'libro compras'!AK303</f>
        <v>0</v>
      </c>
      <c r="H302" s="7"/>
      <c r="I302" s="7" t="s">
        <v>56</v>
      </c>
      <c r="J302" s="7" t="str">
        <f>+CONCATENATE('libro compras'!C303," ",'libro compras'!D303)</f>
        <v xml:space="preserve"> </v>
      </c>
      <c r="K302" s="5">
        <f>+'libro compras'!F303</f>
        <v>0</v>
      </c>
      <c r="L302" s="1">
        <f>+'libro compras'!C303</f>
        <v>0</v>
      </c>
      <c r="M302" s="5">
        <f>+'libro compras'!D303</f>
        <v>0</v>
      </c>
      <c r="N302" s="7" t="s">
        <v>57</v>
      </c>
    </row>
    <row r="303" spans="1:14" hidden="1" x14ac:dyDescent="0.25">
      <c r="A303" s="9">
        <f t="shared" si="394"/>
        <v>76</v>
      </c>
      <c r="B303" s="5" t="str">
        <f>+'libro compras'!$AJ$1</f>
        <v>401110</v>
      </c>
      <c r="C303" s="1" t="str">
        <f t="shared" ref="C303:E303" si="455">+C302</f>
        <v>103</v>
      </c>
      <c r="D303" s="1">
        <f t="shared" si="455"/>
        <v>0</v>
      </c>
      <c r="E303" s="12" t="str">
        <f t="shared" si="455"/>
        <v/>
      </c>
      <c r="F303" s="7"/>
      <c r="G303" s="2">
        <f>+'libro compras'!AJ303</f>
        <v>0</v>
      </c>
      <c r="H303" s="7"/>
      <c r="I303" s="7" t="s">
        <v>56</v>
      </c>
      <c r="J303" s="7" t="str">
        <f t="shared" ref="J303:M303" si="456">+J302</f>
        <v xml:space="preserve"> </v>
      </c>
      <c r="K303" s="5">
        <f t="shared" si="456"/>
        <v>0</v>
      </c>
      <c r="L303" s="1">
        <f t="shared" si="456"/>
        <v>0</v>
      </c>
      <c r="M303" s="1">
        <f t="shared" si="456"/>
        <v>0</v>
      </c>
      <c r="N303" s="7" t="s">
        <v>57</v>
      </c>
    </row>
    <row r="304" spans="1:14" x14ac:dyDescent="0.25">
      <c r="A304" s="9">
        <f t="shared" si="394"/>
        <v>76</v>
      </c>
      <c r="B304" s="5" t="e">
        <f>+'libro compras'!P303</f>
        <v>#N/A</v>
      </c>
      <c r="C304" s="1" t="str">
        <f t="shared" ref="C304:E304" si="457">+C303</f>
        <v>103</v>
      </c>
      <c r="D304" s="1">
        <f t="shared" si="457"/>
        <v>0</v>
      </c>
      <c r="E304" s="12" t="str">
        <f t="shared" si="457"/>
        <v/>
      </c>
      <c r="F304" s="7"/>
      <c r="G304" s="2">
        <f>-'libro compras'!AI303</f>
        <v>0</v>
      </c>
      <c r="H304" s="7"/>
      <c r="I304" s="7" t="s">
        <v>36</v>
      </c>
      <c r="J304" s="7" t="str">
        <f>+CONCATENATE('libro compras'!C303," ",'libro compras'!D303)</f>
        <v xml:space="preserve"> </v>
      </c>
      <c r="K304" s="5">
        <f t="shared" ref="K304:M304" si="458">+K303</f>
        <v>0</v>
      </c>
      <c r="L304" s="1">
        <f t="shared" si="458"/>
        <v>0</v>
      </c>
      <c r="M304" s="1">
        <f t="shared" si="458"/>
        <v>0</v>
      </c>
      <c r="N304" s="7" t="s">
        <v>57</v>
      </c>
    </row>
    <row r="305" spans="1:14" x14ac:dyDescent="0.25">
      <c r="A305" s="9">
        <f t="shared" si="394"/>
        <v>76</v>
      </c>
      <c r="B305" s="2" t="e">
        <f>+VLOOKUP(B304,Hoja1!$A$1:$B$2,2,FALSE)</f>
        <v>#N/A</v>
      </c>
      <c r="C305" s="1" t="str">
        <f t="shared" ref="C305:E305" si="459">+C304</f>
        <v>103</v>
      </c>
      <c r="D305" s="1">
        <f t="shared" si="459"/>
        <v>0</v>
      </c>
      <c r="E305" s="12" t="str">
        <f t="shared" si="459"/>
        <v/>
      </c>
      <c r="F305" s="7"/>
      <c r="G305" s="2">
        <f>-'libro compras'!AB303</f>
        <v>0</v>
      </c>
      <c r="H305" s="7"/>
      <c r="I305" s="7" t="s">
        <v>36</v>
      </c>
      <c r="J305" s="7" t="str">
        <f>+CONCATENATE('libro compras'!C303," ",'libro compras'!D303)</f>
        <v xml:space="preserve"> </v>
      </c>
      <c r="K305" s="5">
        <f t="shared" ref="K305:M305" si="460">+K304</f>
        <v>0</v>
      </c>
      <c r="L305" s="1">
        <f t="shared" si="460"/>
        <v>0</v>
      </c>
      <c r="M305" s="1">
        <f t="shared" si="460"/>
        <v>0</v>
      </c>
      <c r="N305" s="7" t="s">
        <v>57</v>
      </c>
    </row>
    <row r="306" spans="1:14" x14ac:dyDescent="0.25">
      <c r="A306" s="9">
        <f t="shared" si="394"/>
        <v>77</v>
      </c>
      <c r="B306" s="5" t="str">
        <f>+'libro compras'!$AI$1</f>
        <v>281110</v>
      </c>
      <c r="C306" s="1" t="str">
        <f>+'libro compras'!Q307</f>
        <v>103</v>
      </c>
      <c r="D306" s="1">
        <f>+'libro compras'!R307</f>
        <v>0</v>
      </c>
      <c r="E306" s="12" t="str">
        <f>+'libro compras'!S307</f>
        <v/>
      </c>
      <c r="F306" s="7"/>
      <c r="G306" s="2">
        <f>+'libro compras'!AK307</f>
        <v>0</v>
      </c>
      <c r="H306" s="7"/>
      <c r="I306" s="7" t="s">
        <v>56</v>
      </c>
      <c r="J306" s="7" t="str">
        <f>+CONCATENATE('libro compras'!C307," ",'libro compras'!D307)</f>
        <v xml:space="preserve"> </v>
      </c>
      <c r="K306" s="5">
        <f>+'libro compras'!F307</f>
        <v>0</v>
      </c>
      <c r="L306" s="1">
        <f>+'libro compras'!C307</f>
        <v>0</v>
      </c>
      <c r="M306" s="5">
        <f>+'libro compras'!D307</f>
        <v>0</v>
      </c>
      <c r="N306" s="7" t="s">
        <v>57</v>
      </c>
    </row>
    <row r="307" spans="1:14" hidden="1" x14ac:dyDescent="0.25">
      <c r="A307" s="9">
        <f t="shared" si="394"/>
        <v>77</v>
      </c>
      <c r="B307" s="5" t="str">
        <f>+'libro compras'!$AJ$1</f>
        <v>401110</v>
      </c>
      <c r="C307" s="1" t="str">
        <f t="shared" ref="C307:E307" si="461">+C306</f>
        <v>103</v>
      </c>
      <c r="D307" s="1">
        <f t="shared" si="461"/>
        <v>0</v>
      </c>
      <c r="E307" s="12" t="str">
        <f t="shared" si="461"/>
        <v/>
      </c>
      <c r="F307" s="7"/>
      <c r="G307" s="2">
        <f>+'libro compras'!AJ307</f>
        <v>0</v>
      </c>
      <c r="H307" s="7"/>
      <c r="I307" s="7" t="s">
        <v>56</v>
      </c>
      <c r="J307" s="7" t="str">
        <f t="shared" ref="J307:M307" si="462">+J306</f>
        <v xml:space="preserve"> </v>
      </c>
      <c r="K307" s="5">
        <f t="shared" si="462"/>
        <v>0</v>
      </c>
      <c r="L307" s="1">
        <f t="shared" si="462"/>
        <v>0</v>
      </c>
      <c r="M307" s="1">
        <f t="shared" si="462"/>
        <v>0</v>
      </c>
      <c r="N307" s="7" t="s">
        <v>57</v>
      </c>
    </row>
    <row r="308" spans="1:14" x14ac:dyDescent="0.25">
      <c r="A308" s="9">
        <f t="shared" si="394"/>
        <v>77</v>
      </c>
      <c r="B308" s="5" t="e">
        <f>+'libro compras'!P307</f>
        <v>#N/A</v>
      </c>
      <c r="C308" s="1" t="str">
        <f t="shared" ref="C308:E308" si="463">+C307</f>
        <v>103</v>
      </c>
      <c r="D308" s="1">
        <f t="shared" si="463"/>
        <v>0</v>
      </c>
      <c r="E308" s="12" t="str">
        <f t="shared" si="463"/>
        <v/>
      </c>
      <c r="F308" s="7"/>
      <c r="G308" s="2">
        <f>-'libro compras'!AI307</f>
        <v>0</v>
      </c>
      <c r="H308" s="7"/>
      <c r="I308" s="7" t="s">
        <v>36</v>
      </c>
      <c r="J308" s="7" t="str">
        <f>+CONCATENATE('libro compras'!C307," ",'libro compras'!D307)</f>
        <v xml:space="preserve"> </v>
      </c>
      <c r="K308" s="5">
        <f t="shared" ref="K308:M308" si="464">+K307</f>
        <v>0</v>
      </c>
      <c r="L308" s="1">
        <f t="shared" si="464"/>
        <v>0</v>
      </c>
      <c r="M308" s="1">
        <f t="shared" si="464"/>
        <v>0</v>
      </c>
      <c r="N308" s="7" t="s">
        <v>57</v>
      </c>
    </row>
    <row r="309" spans="1:14" x14ac:dyDescent="0.25">
      <c r="A309" s="9">
        <f t="shared" si="394"/>
        <v>77</v>
      </c>
      <c r="B309" s="2" t="e">
        <f>+VLOOKUP(B308,Hoja1!$A$1:$B$2,2,FALSE)</f>
        <v>#N/A</v>
      </c>
      <c r="C309" s="1" t="str">
        <f t="shared" ref="C309:E309" si="465">+C308</f>
        <v>103</v>
      </c>
      <c r="D309" s="1">
        <f t="shared" si="465"/>
        <v>0</v>
      </c>
      <c r="E309" s="12" t="str">
        <f t="shared" si="465"/>
        <v/>
      </c>
      <c r="F309" s="7"/>
      <c r="G309" s="2">
        <f>-'libro compras'!AB307</f>
        <v>0</v>
      </c>
      <c r="H309" s="7"/>
      <c r="I309" s="7" t="s">
        <v>36</v>
      </c>
      <c r="J309" s="7" t="str">
        <f>+CONCATENATE('libro compras'!C307," ",'libro compras'!D307)</f>
        <v xml:space="preserve"> </v>
      </c>
      <c r="K309" s="5">
        <f t="shared" ref="K309:M309" si="466">+K308</f>
        <v>0</v>
      </c>
      <c r="L309" s="1">
        <f t="shared" si="466"/>
        <v>0</v>
      </c>
      <c r="M309" s="1">
        <f t="shared" si="466"/>
        <v>0</v>
      </c>
      <c r="N309" s="7" t="s">
        <v>57</v>
      </c>
    </row>
    <row r="310" spans="1:14" x14ac:dyDescent="0.25">
      <c r="A310" s="9">
        <f t="shared" si="394"/>
        <v>78</v>
      </c>
      <c r="B310" s="5" t="str">
        <f>+'libro compras'!$AI$1</f>
        <v>281110</v>
      </c>
      <c r="C310" s="1" t="str">
        <f>+'libro compras'!Q311</f>
        <v>103</v>
      </c>
      <c r="D310" s="1">
        <f>+'libro compras'!R311</f>
        <v>0</v>
      </c>
      <c r="E310" s="12" t="str">
        <f>+'libro compras'!S311</f>
        <v/>
      </c>
      <c r="F310" s="7"/>
      <c r="G310" s="2">
        <f>+'libro compras'!AK311</f>
        <v>0</v>
      </c>
      <c r="H310" s="7"/>
      <c r="I310" s="7" t="s">
        <v>56</v>
      </c>
      <c r="J310" s="7" t="str">
        <f>+CONCATENATE('libro compras'!C311," ",'libro compras'!D311)</f>
        <v xml:space="preserve"> </v>
      </c>
      <c r="K310" s="5">
        <f>+'libro compras'!F311</f>
        <v>0</v>
      </c>
      <c r="L310" s="1">
        <f>+'libro compras'!C311</f>
        <v>0</v>
      </c>
      <c r="M310" s="5">
        <f>+'libro compras'!D311</f>
        <v>0</v>
      </c>
      <c r="N310" s="7" t="s">
        <v>57</v>
      </c>
    </row>
    <row r="311" spans="1:14" hidden="1" x14ac:dyDescent="0.25">
      <c r="A311" s="9">
        <f t="shared" si="394"/>
        <v>78</v>
      </c>
      <c r="B311" s="5" t="str">
        <f>+'libro compras'!$AJ$1</f>
        <v>401110</v>
      </c>
      <c r="C311" s="1" t="str">
        <f t="shared" ref="C311:E311" si="467">+C310</f>
        <v>103</v>
      </c>
      <c r="D311" s="1">
        <f t="shared" si="467"/>
        <v>0</v>
      </c>
      <c r="E311" s="12" t="str">
        <f t="shared" si="467"/>
        <v/>
      </c>
      <c r="F311" s="7"/>
      <c r="G311" s="2">
        <f>+'libro compras'!AJ311</f>
        <v>0</v>
      </c>
      <c r="H311" s="7"/>
      <c r="I311" s="7" t="s">
        <v>56</v>
      </c>
      <c r="J311" s="7" t="str">
        <f t="shared" ref="J311:M311" si="468">+J310</f>
        <v xml:space="preserve"> </v>
      </c>
      <c r="K311" s="5">
        <f t="shared" si="468"/>
        <v>0</v>
      </c>
      <c r="L311" s="1">
        <f t="shared" si="468"/>
        <v>0</v>
      </c>
      <c r="M311" s="1">
        <f t="shared" si="468"/>
        <v>0</v>
      </c>
      <c r="N311" s="7" t="s">
        <v>57</v>
      </c>
    </row>
    <row r="312" spans="1:14" x14ac:dyDescent="0.25">
      <c r="A312" s="9">
        <f t="shared" si="394"/>
        <v>78</v>
      </c>
      <c r="B312" s="5" t="e">
        <f>+'libro compras'!P311</f>
        <v>#N/A</v>
      </c>
      <c r="C312" s="1" t="str">
        <f t="shared" ref="C312:E312" si="469">+C311</f>
        <v>103</v>
      </c>
      <c r="D312" s="1">
        <f t="shared" si="469"/>
        <v>0</v>
      </c>
      <c r="E312" s="12" t="str">
        <f t="shared" si="469"/>
        <v/>
      </c>
      <c r="F312" s="7"/>
      <c r="G312" s="2">
        <f>-'libro compras'!AI311</f>
        <v>0</v>
      </c>
      <c r="H312" s="7"/>
      <c r="I312" s="7" t="s">
        <v>36</v>
      </c>
      <c r="J312" s="7" t="str">
        <f>+CONCATENATE('libro compras'!C311," ",'libro compras'!D311)</f>
        <v xml:space="preserve"> </v>
      </c>
      <c r="K312" s="5">
        <f t="shared" ref="K312:M312" si="470">+K311</f>
        <v>0</v>
      </c>
      <c r="L312" s="1">
        <f t="shared" si="470"/>
        <v>0</v>
      </c>
      <c r="M312" s="1">
        <f t="shared" si="470"/>
        <v>0</v>
      </c>
      <c r="N312" s="7" t="s">
        <v>57</v>
      </c>
    </row>
    <row r="313" spans="1:14" x14ac:dyDescent="0.25">
      <c r="A313" s="9">
        <f t="shared" si="394"/>
        <v>78</v>
      </c>
      <c r="B313" s="2" t="e">
        <f>+VLOOKUP(B312,Hoja1!$A$1:$B$2,2,FALSE)</f>
        <v>#N/A</v>
      </c>
      <c r="C313" s="1" t="str">
        <f t="shared" ref="C313:E313" si="471">+C312</f>
        <v>103</v>
      </c>
      <c r="D313" s="1">
        <f t="shared" si="471"/>
        <v>0</v>
      </c>
      <c r="E313" s="12" t="str">
        <f t="shared" si="471"/>
        <v/>
      </c>
      <c r="F313" s="7"/>
      <c r="G313" s="2">
        <f>-'libro compras'!AB311</f>
        <v>0</v>
      </c>
      <c r="H313" s="7"/>
      <c r="I313" s="7" t="s">
        <v>36</v>
      </c>
      <c r="J313" s="7" t="str">
        <f>+CONCATENATE('libro compras'!C311," ",'libro compras'!D311)</f>
        <v xml:space="preserve"> </v>
      </c>
      <c r="K313" s="5">
        <f t="shared" ref="K313:M313" si="472">+K312</f>
        <v>0</v>
      </c>
      <c r="L313" s="1">
        <f t="shared" si="472"/>
        <v>0</v>
      </c>
      <c r="M313" s="1">
        <f t="shared" si="472"/>
        <v>0</v>
      </c>
      <c r="N313" s="7" t="s">
        <v>57</v>
      </c>
    </row>
    <row r="314" spans="1:14" x14ac:dyDescent="0.25">
      <c r="A314" s="9">
        <f t="shared" si="394"/>
        <v>79</v>
      </c>
      <c r="B314" s="5" t="str">
        <f>+'libro compras'!$AI$1</f>
        <v>281110</v>
      </c>
      <c r="C314" s="1" t="str">
        <f>+'libro compras'!Q315</f>
        <v>103</v>
      </c>
      <c r="D314" s="1">
        <f>+'libro compras'!R315</f>
        <v>0</v>
      </c>
      <c r="E314" s="12" t="str">
        <f>+'libro compras'!S315</f>
        <v/>
      </c>
      <c r="F314" s="7"/>
      <c r="G314" s="2">
        <f>+'libro compras'!AK315</f>
        <v>0</v>
      </c>
      <c r="H314" s="7"/>
      <c r="I314" s="7" t="s">
        <v>56</v>
      </c>
      <c r="J314" s="7" t="str">
        <f>+CONCATENATE('libro compras'!C315," ",'libro compras'!D315)</f>
        <v xml:space="preserve"> </v>
      </c>
      <c r="K314" s="5">
        <f>+'libro compras'!F315</f>
        <v>0</v>
      </c>
      <c r="L314" s="1">
        <f>+'libro compras'!C315</f>
        <v>0</v>
      </c>
      <c r="M314" s="5">
        <f>+'libro compras'!D315</f>
        <v>0</v>
      </c>
      <c r="N314" s="7" t="s">
        <v>57</v>
      </c>
    </row>
    <row r="315" spans="1:14" hidden="1" x14ac:dyDescent="0.25">
      <c r="A315" s="9">
        <f t="shared" si="394"/>
        <v>79</v>
      </c>
      <c r="B315" s="5" t="str">
        <f>+'libro compras'!$AJ$1</f>
        <v>401110</v>
      </c>
      <c r="C315" s="1" t="str">
        <f t="shared" ref="C315:E315" si="473">+C314</f>
        <v>103</v>
      </c>
      <c r="D315" s="1">
        <f t="shared" si="473"/>
        <v>0</v>
      </c>
      <c r="E315" s="12" t="str">
        <f t="shared" si="473"/>
        <v/>
      </c>
      <c r="F315" s="7"/>
      <c r="G315" s="2">
        <f>+'libro compras'!AJ315</f>
        <v>0</v>
      </c>
      <c r="H315" s="7"/>
      <c r="I315" s="7" t="s">
        <v>56</v>
      </c>
      <c r="J315" s="7" t="str">
        <f t="shared" ref="J315:M315" si="474">+J314</f>
        <v xml:space="preserve"> </v>
      </c>
      <c r="K315" s="5">
        <f t="shared" si="474"/>
        <v>0</v>
      </c>
      <c r="L315" s="1">
        <f t="shared" si="474"/>
        <v>0</v>
      </c>
      <c r="M315" s="1">
        <f t="shared" si="474"/>
        <v>0</v>
      </c>
      <c r="N315" s="7" t="s">
        <v>57</v>
      </c>
    </row>
    <row r="316" spans="1:14" x14ac:dyDescent="0.25">
      <c r="A316" s="9">
        <f t="shared" si="394"/>
        <v>79</v>
      </c>
      <c r="B316" s="5" t="e">
        <f>+'libro compras'!P315</f>
        <v>#N/A</v>
      </c>
      <c r="C316" s="1" t="str">
        <f t="shared" ref="C316:E316" si="475">+C315</f>
        <v>103</v>
      </c>
      <c r="D316" s="1">
        <f t="shared" si="475"/>
        <v>0</v>
      </c>
      <c r="E316" s="12" t="str">
        <f t="shared" si="475"/>
        <v/>
      </c>
      <c r="F316" s="7"/>
      <c r="G316" s="2">
        <f>-'libro compras'!AI315</f>
        <v>0</v>
      </c>
      <c r="H316" s="7"/>
      <c r="I316" s="7" t="s">
        <v>36</v>
      </c>
      <c r="J316" s="7" t="str">
        <f>+CONCATENATE('libro compras'!C315," ",'libro compras'!D315)</f>
        <v xml:space="preserve"> </v>
      </c>
      <c r="K316" s="5">
        <f t="shared" ref="K316:M316" si="476">+K315</f>
        <v>0</v>
      </c>
      <c r="L316" s="1">
        <f t="shared" si="476"/>
        <v>0</v>
      </c>
      <c r="M316" s="1">
        <f t="shared" si="476"/>
        <v>0</v>
      </c>
      <c r="N316" s="7" t="s">
        <v>57</v>
      </c>
    </row>
    <row r="317" spans="1:14" x14ac:dyDescent="0.25">
      <c r="A317" s="9">
        <f t="shared" si="394"/>
        <v>79</v>
      </c>
      <c r="B317" s="2" t="e">
        <f>+VLOOKUP(B316,Hoja1!$A$1:$B$2,2,FALSE)</f>
        <v>#N/A</v>
      </c>
      <c r="C317" s="1" t="str">
        <f t="shared" ref="C317:E317" si="477">+C316</f>
        <v>103</v>
      </c>
      <c r="D317" s="1">
        <f t="shared" si="477"/>
        <v>0</v>
      </c>
      <c r="E317" s="12" t="str">
        <f t="shared" si="477"/>
        <v/>
      </c>
      <c r="F317" s="7"/>
      <c r="G317" s="2">
        <f>-'libro compras'!AB315</f>
        <v>0</v>
      </c>
      <c r="H317" s="7"/>
      <c r="I317" s="7" t="s">
        <v>36</v>
      </c>
      <c r="J317" s="7" t="str">
        <f>+CONCATENATE('libro compras'!C315," ",'libro compras'!D315)</f>
        <v xml:space="preserve"> </v>
      </c>
      <c r="K317" s="5">
        <f t="shared" ref="K317:M317" si="478">+K316</f>
        <v>0</v>
      </c>
      <c r="L317" s="1">
        <f t="shared" si="478"/>
        <v>0</v>
      </c>
      <c r="M317" s="1">
        <f t="shared" si="478"/>
        <v>0</v>
      </c>
      <c r="N317" s="7" t="s">
        <v>57</v>
      </c>
    </row>
    <row r="318" spans="1:14" x14ac:dyDescent="0.25">
      <c r="A318" s="9">
        <f t="shared" si="394"/>
        <v>80</v>
      </c>
      <c r="B318" s="5" t="str">
        <f>+'libro compras'!$AI$1</f>
        <v>281110</v>
      </c>
      <c r="C318" s="1" t="str">
        <f>+'libro compras'!Q319</f>
        <v>103</v>
      </c>
      <c r="D318" s="1">
        <f>+'libro compras'!R319</f>
        <v>0</v>
      </c>
      <c r="E318" s="12" t="str">
        <f>+'libro compras'!S319</f>
        <v/>
      </c>
      <c r="F318" s="7"/>
      <c r="G318" s="2">
        <f>+'libro compras'!AK319</f>
        <v>0</v>
      </c>
      <c r="H318" s="7"/>
      <c r="I318" s="7" t="s">
        <v>56</v>
      </c>
      <c r="J318" s="7" t="str">
        <f>+CONCATENATE('libro compras'!C319," ",'libro compras'!D319)</f>
        <v xml:space="preserve"> </v>
      </c>
      <c r="K318" s="5">
        <f>+'libro compras'!F319</f>
        <v>0</v>
      </c>
      <c r="L318" s="1">
        <f>+'libro compras'!C319</f>
        <v>0</v>
      </c>
      <c r="M318" s="5">
        <f>+'libro compras'!D319</f>
        <v>0</v>
      </c>
      <c r="N318" s="7" t="s">
        <v>57</v>
      </c>
    </row>
    <row r="319" spans="1:14" hidden="1" x14ac:dyDescent="0.25">
      <c r="A319" s="9">
        <f t="shared" si="394"/>
        <v>80</v>
      </c>
      <c r="B319" s="5" t="str">
        <f>+'libro compras'!$AJ$1</f>
        <v>401110</v>
      </c>
      <c r="C319" s="1" t="str">
        <f t="shared" ref="C319:E319" si="479">+C318</f>
        <v>103</v>
      </c>
      <c r="D319" s="1">
        <f t="shared" si="479"/>
        <v>0</v>
      </c>
      <c r="E319" s="12" t="str">
        <f t="shared" si="479"/>
        <v/>
      </c>
      <c r="F319" s="7"/>
      <c r="G319" s="2">
        <f>+'libro compras'!AJ319</f>
        <v>0</v>
      </c>
      <c r="H319" s="7"/>
      <c r="I319" s="7" t="s">
        <v>56</v>
      </c>
      <c r="J319" s="7" t="str">
        <f t="shared" ref="J319:M319" si="480">+J318</f>
        <v xml:space="preserve"> </v>
      </c>
      <c r="K319" s="5">
        <f t="shared" si="480"/>
        <v>0</v>
      </c>
      <c r="L319" s="1">
        <f t="shared" si="480"/>
        <v>0</v>
      </c>
      <c r="M319" s="1">
        <f t="shared" si="480"/>
        <v>0</v>
      </c>
      <c r="N319" s="7" t="s">
        <v>57</v>
      </c>
    </row>
    <row r="320" spans="1:14" x14ac:dyDescent="0.25">
      <c r="A320" s="9">
        <f t="shared" si="394"/>
        <v>80</v>
      </c>
      <c r="B320" s="5" t="e">
        <f>+'libro compras'!P319</f>
        <v>#N/A</v>
      </c>
      <c r="C320" s="1" t="str">
        <f t="shared" ref="C320:E320" si="481">+C319</f>
        <v>103</v>
      </c>
      <c r="D320" s="1">
        <f t="shared" si="481"/>
        <v>0</v>
      </c>
      <c r="E320" s="12" t="str">
        <f t="shared" si="481"/>
        <v/>
      </c>
      <c r="F320" s="7"/>
      <c r="G320" s="2">
        <f>-'libro compras'!AI319</f>
        <v>0</v>
      </c>
      <c r="H320" s="7"/>
      <c r="I320" s="7" t="s">
        <v>36</v>
      </c>
      <c r="J320" s="7" t="str">
        <f>+CONCATENATE('libro compras'!C319," ",'libro compras'!D319)</f>
        <v xml:space="preserve"> </v>
      </c>
      <c r="K320" s="5">
        <f t="shared" ref="K320:M320" si="482">+K319</f>
        <v>0</v>
      </c>
      <c r="L320" s="1">
        <f t="shared" si="482"/>
        <v>0</v>
      </c>
      <c r="M320" s="1">
        <f t="shared" si="482"/>
        <v>0</v>
      </c>
      <c r="N320" s="7" t="s">
        <v>57</v>
      </c>
    </row>
    <row r="321" spans="1:14" x14ac:dyDescent="0.25">
      <c r="A321" s="9">
        <f t="shared" si="394"/>
        <v>80</v>
      </c>
      <c r="B321" s="2" t="e">
        <f>+VLOOKUP(B320,Hoja1!$A$1:$B$2,2,FALSE)</f>
        <v>#N/A</v>
      </c>
      <c r="C321" s="1" t="str">
        <f t="shared" ref="C321:E321" si="483">+C320</f>
        <v>103</v>
      </c>
      <c r="D321" s="1">
        <f t="shared" si="483"/>
        <v>0</v>
      </c>
      <c r="E321" s="12" t="str">
        <f t="shared" si="483"/>
        <v/>
      </c>
      <c r="F321" s="7"/>
      <c r="G321" s="2">
        <f>-'libro compras'!AB319</f>
        <v>0</v>
      </c>
      <c r="H321" s="7"/>
      <c r="I321" s="7" t="s">
        <v>36</v>
      </c>
      <c r="J321" s="7" t="str">
        <f>+CONCATENATE('libro compras'!C319," ",'libro compras'!D319)</f>
        <v xml:space="preserve"> </v>
      </c>
      <c r="K321" s="5">
        <f t="shared" ref="K321:M321" si="484">+K320</f>
        <v>0</v>
      </c>
      <c r="L321" s="1">
        <f t="shared" si="484"/>
        <v>0</v>
      </c>
      <c r="M321" s="1">
        <f t="shared" si="484"/>
        <v>0</v>
      </c>
      <c r="N321" s="7" t="s">
        <v>57</v>
      </c>
    </row>
    <row r="322" spans="1:14" x14ac:dyDescent="0.25">
      <c r="A322" s="9">
        <f t="shared" si="394"/>
        <v>81</v>
      </c>
      <c r="B322" s="5" t="str">
        <f>+'libro compras'!$AI$1</f>
        <v>281110</v>
      </c>
      <c r="C322" s="1" t="str">
        <f>+'libro compras'!Q323</f>
        <v>103</v>
      </c>
      <c r="D322" s="1">
        <f>+'libro compras'!R323</f>
        <v>0</v>
      </c>
      <c r="E322" s="12" t="str">
        <f>+'libro compras'!S323</f>
        <v/>
      </c>
      <c r="F322" s="7"/>
      <c r="G322" s="2">
        <f>+'libro compras'!AK323</f>
        <v>0</v>
      </c>
      <c r="H322" s="7"/>
      <c r="I322" s="7" t="s">
        <v>56</v>
      </c>
      <c r="J322" s="7" t="str">
        <f>+CONCATENATE('libro compras'!C323," ",'libro compras'!D323)</f>
        <v xml:space="preserve"> </v>
      </c>
      <c r="K322" s="5">
        <f>+'libro compras'!F323</f>
        <v>0</v>
      </c>
      <c r="L322" s="1">
        <f>+'libro compras'!C323</f>
        <v>0</v>
      </c>
      <c r="M322" s="5">
        <f>+'libro compras'!D323</f>
        <v>0</v>
      </c>
      <c r="N322" s="7" t="s">
        <v>57</v>
      </c>
    </row>
    <row r="323" spans="1:14" hidden="1" x14ac:dyDescent="0.25">
      <c r="A323" s="9">
        <f t="shared" si="394"/>
        <v>81</v>
      </c>
      <c r="B323" s="5" t="str">
        <f>+'libro compras'!$AJ$1</f>
        <v>401110</v>
      </c>
      <c r="C323" s="1" t="str">
        <f t="shared" ref="C323:E323" si="485">+C322</f>
        <v>103</v>
      </c>
      <c r="D323" s="1">
        <f t="shared" si="485"/>
        <v>0</v>
      </c>
      <c r="E323" s="12" t="str">
        <f t="shared" si="485"/>
        <v/>
      </c>
      <c r="F323" s="7"/>
      <c r="G323" s="2">
        <f>+'libro compras'!AJ323</f>
        <v>0</v>
      </c>
      <c r="H323" s="7"/>
      <c r="I323" s="7" t="s">
        <v>56</v>
      </c>
      <c r="J323" s="7" t="str">
        <f t="shared" ref="J323:M323" si="486">+J322</f>
        <v xml:space="preserve"> </v>
      </c>
      <c r="K323" s="5">
        <f t="shared" si="486"/>
        <v>0</v>
      </c>
      <c r="L323" s="1">
        <f t="shared" si="486"/>
        <v>0</v>
      </c>
      <c r="M323" s="1">
        <f t="shared" si="486"/>
        <v>0</v>
      </c>
      <c r="N323" s="7" t="s">
        <v>57</v>
      </c>
    </row>
    <row r="324" spans="1:14" x14ac:dyDescent="0.25">
      <c r="A324" s="9">
        <f t="shared" si="394"/>
        <v>81</v>
      </c>
      <c r="B324" s="5" t="e">
        <f>+'libro compras'!P323</f>
        <v>#N/A</v>
      </c>
      <c r="C324" s="1" t="str">
        <f t="shared" ref="C324:E324" si="487">+C323</f>
        <v>103</v>
      </c>
      <c r="D324" s="1">
        <f t="shared" si="487"/>
        <v>0</v>
      </c>
      <c r="E324" s="12" t="str">
        <f t="shared" si="487"/>
        <v/>
      </c>
      <c r="F324" s="7"/>
      <c r="G324" s="2">
        <f>-'libro compras'!AI323</f>
        <v>0</v>
      </c>
      <c r="H324" s="7"/>
      <c r="I324" s="7" t="s">
        <v>36</v>
      </c>
      <c r="J324" s="7" t="str">
        <f>+CONCATENATE('libro compras'!C323," ",'libro compras'!D323)</f>
        <v xml:space="preserve"> </v>
      </c>
      <c r="K324" s="5">
        <f t="shared" ref="K324:M324" si="488">+K323</f>
        <v>0</v>
      </c>
      <c r="L324" s="1">
        <f t="shared" si="488"/>
        <v>0</v>
      </c>
      <c r="M324" s="1">
        <f t="shared" si="488"/>
        <v>0</v>
      </c>
      <c r="N324" s="7" t="s">
        <v>57</v>
      </c>
    </row>
    <row r="325" spans="1:14" x14ac:dyDescent="0.25">
      <c r="A325" s="9">
        <f t="shared" si="394"/>
        <v>81</v>
      </c>
      <c r="B325" s="2" t="e">
        <f>+VLOOKUP(B324,Hoja1!$A$1:$B$2,2,FALSE)</f>
        <v>#N/A</v>
      </c>
      <c r="C325" s="1" t="str">
        <f t="shared" ref="C325:E325" si="489">+C324</f>
        <v>103</v>
      </c>
      <c r="D325" s="1">
        <f t="shared" si="489"/>
        <v>0</v>
      </c>
      <c r="E325" s="12" t="str">
        <f t="shared" si="489"/>
        <v/>
      </c>
      <c r="F325" s="7"/>
      <c r="G325" s="2">
        <f>-'libro compras'!AB323</f>
        <v>0</v>
      </c>
      <c r="H325" s="7"/>
      <c r="I325" s="7" t="s">
        <v>36</v>
      </c>
      <c r="J325" s="7" t="str">
        <f>+CONCATENATE('libro compras'!C323," ",'libro compras'!D323)</f>
        <v xml:space="preserve"> </v>
      </c>
      <c r="K325" s="5">
        <f t="shared" ref="K325:M325" si="490">+K324</f>
        <v>0</v>
      </c>
      <c r="L325" s="1">
        <f t="shared" si="490"/>
        <v>0</v>
      </c>
      <c r="M325" s="1">
        <f t="shared" si="490"/>
        <v>0</v>
      </c>
      <c r="N325" s="7" t="s">
        <v>57</v>
      </c>
    </row>
    <row r="326" spans="1:14" x14ac:dyDescent="0.25">
      <c r="A326" s="9">
        <f t="shared" ref="A326:A389" si="491">1+A322</f>
        <v>82</v>
      </c>
      <c r="B326" s="5" t="str">
        <f>+'libro compras'!$AI$1</f>
        <v>281110</v>
      </c>
      <c r="C326" s="1" t="str">
        <f>+'libro compras'!Q327</f>
        <v>103</v>
      </c>
      <c r="D326" s="1">
        <f>+'libro compras'!R327</f>
        <v>0</v>
      </c>
      <c r="E326" s="12" t="str">
        <f>+'libro compras'!S327</f>
        <v/>
      </c>
      <c r="F326" s="7"/>
      <c r="G326" s="2">
        <f>+'libro compras'!AK327</f>
        <v>0</v>
      </c>
      <c r="H326" s="7"/>
      <c r="I326" s="7" t="s">
        <v>56</v>
      </c>
      <c r="J326" s="7" t="str">
        <f>+CONCATENATE('libro compras'!C327," ",'libro compras'!D327)</f>
        <v xml:space="preserve"> </v>
      </c>
      <c r="K326" s="5">
        <f>+'libro compras'!F327</f>
        <v>0</v>
      </c>
      <c r="L326" s="1">
        <f>+'libro compras'!C327</f>
        <v>0</v>
      </c>
      <c r="M326" s="5">
        <f>+'libro compras'!D327</f>
        <v>0</v>
      </c>
      <c r="N326" s="7" t="s">
        <v>57</v>
      </c>
    </row>
    <row r="327" spans="1:14" hidden="1" x14ac:dyDescent="0.25">
      <c r="A327" s="9">
        <f t="shared" si="491"/>
        <v>82</v>
      </c>
      <c r="B327" s="5" t="str">
        <f>+'libro compras'!$AJ$1</f>
        <v>401110</v>
      </c>
      <c r="C327" s="1" t="str">
        <f t="shared" ref="C327:E327" si="492">+C326</f>
        <v>103</v>
      </c>
      <c r="D327" s="1">
        <f t="shared" si="492"/>
        <v>0</v>
      </c>
      <c r="E327" s="12" t="str">
        <f t="shared" si="492"/>
        <v/>
      </c>
      <c r="F327" s="7"/>
      <c r="G327" s="2">
        <f>+'libro compras'!AJ327</f>
        <v>0</v>
      </c>
      <c r="H327" s="7"/>
      <c r="I327" s="7" t="s">
        <v>56</v>
      </c>
      <c r="J327" s="7" t="str">
        <f t="shared" ref="J327:M327" si="493">+J326</f>
        <v xml:space="preserve"> </v>
      </c>
      <c r="K327" s="5">
        <f t="shared" si="493"/>
        <v>0</v>
      </c>
      <c r="L327" s="1">
        <f t="shared" si="493"/>
        <v>0</v>
      </c>
      <c r="M327" s="1">
        <f t="shared" si="493"/>
        <v>0</v>
      </c>
      <c r="N327" s="7" t="s">
        <v>57</v>
      </c>
    </row>
    <row r="328" spans="1:14" x14ac:dyDescent="0.25">
      <c r="A328" s="9">
        <f t="shared" si="491"/>
        <v>82</v>
      </c>
      <c r="B328" s="5" t="e">
        <f>+'libro compras'!P327</f>
        <v>#N/A</v>
      </c>
      <c r="C328" s="1" t="str">
        <f t="shared" ref="C328:E328" si="494">+C327</f>
        <v>103</v>
      </c>
      <c r="D328" s="1">
        <f t="shared" si="494"/>
        <v>0</v>
      </c>
      <c r="E328" s="12" t="str">
        <f t="shared" si="494"/>
        <v/>
      </c>
      <c r="F328" s="7"/>
      <c r="G328" s="2">
        <f>-'libro compras'!AI327</f>
        <v>0</v>
      </c>
      <c r="H328" s="7"/>
      <c r="I328" s="7" t="s">
        <v>36</v>
      </c>
      <c r="J328" s="7" t="str">
        <f>+CONCATENATE('libro compras'!C327," ",'libro compras'!D327)</f>
        <v xml:space="preserve"> </v>
      </c>
      <c r="K328" s="5">
        <f t="shared" ref="K328:M328" si="495">+K327</f>
        <v>0</v>
      </c>
      <c r="L328" s="1">
        <f t="shared" si="495"/>
        <v>0</v>
      </c>
      <c r="M328" s="1">
        <f t="shared" si="495"/>
        <v>0</v>
      </c>
      <c r="N328" s="7" t="s">
        <v>57</v>
      </c>
    </row>
    <row r="329" spans="1:14" x14ac:dyDescent="0.25">
      <c r="A329" s="9">
        <f t="shared" si="491"/>
        <v>82</v>
      </c>
      <c r="B329" s="2" t="e">
        <f>+VLOOKUP(B328,Hoja1!$A$1:$B$2,2,FALSE)</f>
        <v>#N/A</v>
      </c>
      <c r="C329" s="1" t="str">
        <f t="shared" ref="C329:E329" si="496">+C328</f>
        <v>103</v>
      </c>
      <c r="D329" s="1">
        <f t="shared" si="496"/>
        <v>0</v>
      </c>
      <c r="E329" s="12" t="str">
        <f t="shared" si="496"/>
        <v/>
      </c>
      <c r="F329" s="7"/>
      <c r="G329" s="2">
        <f>-'libro compras'!AB327</f>
        <v>0</v>
      </c>
      <c r="H329" s="7"/>
      <c r="I329" s="7" t="s">
        <v>36</v>
      </c>
      <c r="J329" s="7" t="str">
        <f>+CONCATENATE('libro compras'!C327," ",'libro compras'!D327)</f>
        <v xml:space="preserve"> </v>
      </c>
      <c r="K329" s="5">
        <f t="shared" ref="K329:M329" si="497">+K328</f>
        <v>0</v>
      </c>
      <c r="L329" s="1">
        <f t="shared" si="497"/>
        <v>0</v>
      </c>
      <c r="M329" s="1">
        <f t="shared" si="497"/>
        <v>0</v>
      </c>
      <c r="N329" s="7" t="s">
        <v>57</v>
      </c>
    </row>
    <row r="330" spans="1:14" x14ac:dyDescent="0.25">
      <c r="A330" s="9">
        <f t="shared" si="491"/>
        <v>83</v>
      </c>
      <c r="B330" s="5" t="str">
        <f>+'libro compras'!$AI$1</f>
        <v>281110</v>
      </c>
      <c r="C330" s="1" t="str">
        <f>+'libro compras'!Q331</f>
        <v>103</v>
      </c>
      <c r="D330" s="1">
        <f>+'libro compras'!R331</f>
        <v>0</v>
      </c>
      <c r="E330" s="12" t="str">
        <f>+'libro compras'!S331</f>
        <v/>
      </c>
      <c r="F330" s="7"/>
      <c r="G330" s="2">
        <f>+'libro compras'!AK331</f>
        <v>0</v>
      </c>
      <c r="H330" s="7"/>
      <c r="I330" s="7" t="s">
        <v>56</v>
      </c>
      <c r="J330" s="7" t="str">
        <f>+CONCATENATE('libro compras'!C331," ",'libro compras'!D331)</f>
        <v xml:space="preserve"> </v>
      </c>
      <c r="K330" s="5">
        <f>+'libro compras'!F331</f>
        <v>0</v>
      </c>
      <c r="L330" s="1">
        <f>+'libro compras'!C331</f>
        <v>0</v>
      </c>
      <c r="M330" s="5">
        <f>+'libro compras'!D331</f>
        <v>0</v>
      </c>
      <c r="N330" s="7" t="s">
        <v>57</v>
      </c>
    </row>
    <row r="331" spans="1:14" hidden="1" x14ac:dyDescent="0.25">
      <c r="A331" s="9">
        <f t="shared" si="491"/>
        <v>83</v>
      </c>
      <c r="B331" s="5" t="str">
        <f>+'libro compras'!$AJ$1</f>
        <v>401110</v>
      </c>
      <c r="C331" s="1" t="str">
        <f t="shared" ref="C331:E331" si="498">+C330</f>
        <v>103</v>
      </c>
      <c r="D331" s="1">
        <f t="shared" si="498"/>
        <v>0</v>
      </c>
      <c r="E331" s="12" t="str">
        <f t="shared" si="498"/>
        <v/>
      </c>
      <c r="F331" s="7"/>
      <c r="G331" s="2">
        <f>+'libro compras'!AJ331</f>
        <v>0</v>
      </c>
      <c r="H331" s="7"/>
      <c r="I331" s="7" t="s">
        <v>56</v>
      </c>
      <c r="J331" s="7" t="str">
        <f t="shared" ref="J331:M331" si="499">+J330</f>
        <v xml:space="preserve"> </v>
      </c>
      <c r="K331" s="5">
        <f t="shared" si="499"/>
        <v>0</v>
      </c>
      <c r="L331" s="1">
        <f t="shared" si="499"/>
        <v>0</v>
      </c>
      <c r="M331" s="1">
        <f t="shared" si="499"/>
        <v>0</v>
      </c>
      <c r="N331" s="7" t="s">
        <v>57</v>
      </c>
    </row>
    <row r="332" spans="1:14" x14ac:dyDescent="0.25">
      <c r="A332" s="9">
        <f t="shared" si="491"/>
        <v>83</v>
      </c>
      <c r="B332" s="5" t="e">
        <f>+'libro compras'!P331</f>
        <v>#N/A</v>
      </c>
      <c r="C332" s="1" t="str">
        <f t="shared" ref="C332:E332" si="500">+C331</f>
        <v>103</v>
      </c>
      <c r="D332" s="1">
        <f t="shared" si="500"/>
        <v>0</v>
      </c>
      <c r="E332" s="12" t="str">
        <f t="shared" si="500"/>
        <v/>
      </c>
      <c r="F332" s="7"/>
      <c r="G332" s="2">
        <f>-'libro compras'!AI331</f>
        <v>0</v>
      </c>
      <c r="H332" s="7"/>
      <c r="I332" s="7" t="s">
        <v>36</v>
      </c>
      <c r="J332" s="7" t="str">
        <f>+CONCATENATE('libro compras'!C331," ",'libro compras'!D331)</f>
        <v xml:space="preserve"> </v>
      </c>
      <c r="K332" s="5">
        <f t="shared" ref="K332:M332" si="501">+K331</f>
        <v>0</v>
      </c>
      <c r="L332" s="1">
        <f t="shared" si="501"/>
        <v>0</v>
      </c>
      <c r="M332" s="1">
        <f t="shared" si="501"/>
        <v>0</v>
      </c>
      <c r="N332" s="7" t="s">
        <v>57</v>
      </c>
    </row>
    <row r="333" spans="1:14" x14ac:dyDescent="0.25">
      <c r="A333" s="9">
        <f t="shared" si="491"/>
        <v>83</v>
      </c>
      <c r="B333" s="2" t="e">
        <f>+VLOOKUP(B332,Hoja1!$A$1:$B$2,2,FALSE)</f>
        <v>#N/A</v>
      </c>
      <c r="C333" s="1" t="str">
        <f t="shared" ref="C333:E333" si="502">+C332</f>
        <v>103</v>
      </c>
      <c r="D333" s="1">
        <f t="shared" si="502"/>
        <v>0</v>
      </c>
      <c r="E333" s="12" t="str">
        <f t="shared" si="502"/>
        <v/>
      </c>
      <c r="F333" s="7"/>
      <c r="G333" s="2">
        <f>-'libro compras'!AB331</f>
        <v>0</v>
      </c>
      <c r="H333" s="7"/>
      <c r="I333" s="7" t="s">
        <v>36</v>
      </c>
      <c r="J333" s="7" t="str">
        <f>+CONCATENATE('libro compras'!C331," ",'libro compras'!D331)</f>
        <v xml:space="preserve"> </v>
      </c>
      <c r="K333" s="5">
        <f t="shared" ref="K333:M333" si="503">+K332</f>
        <v>0</v>
      </c>
      <c r="L333" s="1">
        <f t="shared" si="503"/>
        <v>0</v>
      </c>
      <c r="M333" s="1">
        <f t="shared" si="503"/>
        <v>0</v>
      </c>
      <c r="N333" s="7" t="s">
        <v>57</v>
      </c>
    </row>
    <row r="334" spans="1:14" hidden="1" x14ac:dyDescent="0.25">
      <c r="A334" s="9">
        <f t="shared" si="491"/>
        <v>84</v>
      </c>
      <c r="B334" s="5" t="str">
        <f>+'libro compras'!$AI$1</f>
        <v>281110</v>
      </c>
      <c r="C334" s="1" t="str">
        <f>+'libro compras'!Q335</f>
        <v>103</v>
      </c>
      <c r="D334" s="1">
        <f>+'libro compras'!R335</f>
        <v>0</v>
      </c>
      <c r="E334" s="12" t="str">
        <f>+'libro compras'!S335</f>
        <v/>
      </c>
      <c r="F334" s="7"/>
      <c r="G334" s="2">
        <f>+'libro compras'!AK335</f>
        <v>0</v>
      </c>
      <c r="H334" s="7"/>
      <c r="I334" s="7" t="s">
        <v>56</v>
      </c>
      <c r="J334" s="7" t="str">
        <f>+CONCATENATE('libro compras'!C335," ",'libro compras'!D335)</f>
        <v xml:space="preserve"> </v>
      </c>
      <c r="K334" s="5">
        <f>+'libro compras'!F335</f>
        <v>0</v>
      </c>
      <c r="L334" s="1">
        <f>+'libro compras'!C335</f>
        <v>0</v>
      </c>
      <c r="M334" s="5">
        <f>+'libro compras'!D335</f>
        <v>0</v>
      </c>
      <c r="N334" s="7" t="s">
        <v>57</v>
      </c>
    </row>
    <row r="335" spans="1:14" hidden="1" x14ac:dyDescent="0.25">
      <c r="A335" s="9">
        <f t="shared" si="491"/>
        <v>84</v>
      </c>
      <c r="B335" s="5" t="str">
        <f>+'libro compras'!$AJ$1</f>
        <v>401110</v>
      </c>
      <c r="C335" s="1" t="str">
        <f t="shared" ref="C335:E335" si="504">+C334</f>
        <v>103</v>
      </c>
      <c r="D335" s="1">
        <f t="shared" si="504"/>
        <v>0</v>
      </c>
      <c r="E335" s="12" t="str">
        <f t="shared" si="504"/>
        <v/>
      </c>
      <c r="F335" s="7"/>
      <c r="G335" s="2">
        <f>+'libro compras'!AJ335</f>
        <v>0</v>
      </c>
      <c r="H335" s="7"/>
      <c r="I335" s="7" t="s">
        <v>56</v>
      </c>
      <c r="J335" s="7" t="str">
        <f t="shared" ref="J335:M335" si="505">+J334</f>
        <v xml:space="preserve"> </v>
      </c>
      <c r="K335" s="5">
        <f t="shared" si="505"/>
        <v>0</v>
      </c>
      <c r="L335" s="1">
        <f t="shared" si="505"/>
        <v>0</v>
      </c>
      <c r="M335" s="1">
        <f t="shared" si="505"/>
        <v>0</v>
      </c>
      <c r="N335" s="7" t="s">
        <v>57</v>
      </c>
    </row>
    <row r="336" spans="1:14" hidden="1" x14ac:dyDescent="0.25">
      <c r="A336" s="9">
        <f t="shared" si="491"/>
        <v>84</v>
      </c>
      <c r="B336" s="5" t="e">
        <f>+'libro compras'!P335</f>
        <v>#N/A</v>
      </c>
      <c r="C336" s="1" t="str">
        <f t="shared" ref="C336:E336" si="506">+C335</f>
        <v>103</v>
      </c>
      <c r="D336" s="1">
        <f t="shared" si="506"/>
        <v>0</v>
      </c>
      <c r="E336" s="12" t="str">
        <f t="shared" si="506"/>
        <v/>
      </c>
      <c r="F336" s="7"/>
      <c r="G336" s="2">
        <f>-'libro compras'!AI335</f>
        <v>0</v>
      </c>
      <c r="H336" s="7"/>
      <c r="I336" s="7" t="s">
        <v>36</v>
      </c>
      <c r="J336" s="7" t="str">
        <f>+CONCATENATE('libro compras'!C335," ",'libro compras'!D335)</f>
        <v xml:space="preserve"> </v>
      </c>
      <c r="K336" s="5">
        <f t="shared" ref="K336:M336" si="507">+K335</f>
        <v>0</v>
      </c>
      <c r="L336" s="1">
        <f t="shared" si="507"/>
        <v>0</v>
      </c>
      <c r="M336" s="1">
        <f t="shared" si="507"/>
        <v>0</v>
      </c>
      <c r="N336" s="7" t="s">
        <v>57</v>
      </c>
    </row>
    <row r="337" spans="1:14" hidden="1" x14ac:dyDescent="0.25">
      <c r="A337" s="9">
        <f t="shared" si="491"/>
        <v>84</v>
      </c>
      <c r="B337" s="2" t="e">
        <f>+VLOOKUP(B336,Hoja1!$A$1:$B$2,2,FALSE)</f>
        <v>#N/A</v>
      </c>
      <c r="C337" s="1" t="str">
        <f t="shared" ref="C337:E337" si="508">+C336</f>
        <v>103</v>
      </c>
      <c r="D337" s="1">
        <f t="shared" si="508"/>
        <v>0</v>
      </c>
      <c r="E337" s="12" t="str">
        <f t="shared" si="508"/>
        <v/>
      </c>
      <c r="F337" s="7"/>
      <c r="G337" s="2">
        <f>-'libro compras'!AB335</f>
        <v>0</v>
      </c>
      <c r="H337" s="7"/>
      <c r="I337" s="7" t="s">
        <v>36</v>
      </c>
      <c r="J337" s="7" t="str">
        <f>+CONCATENATE('libro compras'!C335," ",'libro compras'!D335)</f>
        <v xml:space="preserve"> </v>
      </c>
      <c r="K337" s="5">
        <f t="shared" ref="K337:M337" si="509">+K336</f>
        <v>0</v>
      </c>
      <c r="L337" s="1">
        <f t="shared" si="509"/>
        <v>0</v>
      </c>
      <c r="M337" s="1">
        <f t="shared" si="509"/>
        <v>0</v>
      </c>
      <c r="N337" s="7" t="s">
        <v>57</v>
      </c>
    </row>
    <row r="338" spans="1:14" x14ac:dyDescent="0.25">
      <c r="A338" s="9">
        <f t="shared" si="491"/>
        <v>85</v>
      </c>
      <c r="B338" s="5" t="str">
        <f>+'libro compras'!$AI$1</f>
        <v>281110</v>
      </c>
      <c r="C338" s="1" t="str">
        <f>+'libro compras'!Q339</f>
        <v>103</v>
      </c>
      <c r="D338" s="1">
        <f>+'libro compras'!R339</f>
        <v>0</v>
      </c>
      <c r="E338" s="12" t="str">
        <f>+'libro compras'!S339</f>
        <v/>
      </c>
      <c r="F338" s="7"/>
      <c r="G338" s="2">
        <f>+'libro compras'!AK339</f>
        <v>0</v>
      </c>
      <c r="H338" s="7"/>
      <c r="I338" s="7" t="s">
        <v>56</v>
      </c>
      <c r="J338" s="7" t="str">
        <f>+CONCATENATE('libro compras'!C339," ",'libro compras'!D339)</f>
        <v xml:space="preserve"> </v>
      </c>
      <c r="K338" s="5">
        <f>+'libro compras'!F339</f>
        <v>0</v>
      </c>
      <c r="L338" s="1">
        <f>+'libro compras'!C339</f>
        <v>0</v>
      </c>
      <c r="M338" s="5">
        <f>+'libro compras'!D339</f>
        <v>0</v>
      </c>
      <c r="N338" s="7" t="s">
        <v>57</v>
      </c>
    </row>
    <row r="339" spans="1:14" hidden="1" x14ac:dyDescent="0.25">
      <c r="A339" s="9">
        <f t="shared" si="491"/>
        <v>85</v>
      </c>
      <c r="B339" s="5" t="str">
        <f>+'libro compras'!$AJ$1</f>
        <v>401110</v>
      </c>
      <c r="C339" s="1" t="str">
        <f t="shared" ref="C339:E339" si="510">+C338</f>
        <v>103</v>
      </c>
      <c r="D339" s="1">
        <f t="shared" si="510"/>
        <v>0</v>
      </c>
      <c r="E339" s="12" t="str">
        <f t="shared" si="510"/>
        <v/>
      </c>
      <c r="F339" s="7"/>
      <c r="G339" s="2">
        <f>+'libro compras'!AJ339</f>
        <v>0</v>
      </c>
      <c r="H339" s="7"/>
      <c r="I339" s="7" t="s">
        <v>56</v>
      </c>
      <c r="J339" s="7" t="str">
        <f t="shared" ref="J339:M339" si="511">+J338</f>
        <v xml:space="preserve"> </v>
      </c>
      <c r="K339" s="5">
        <f t="shared" si="511"/>
        <v>0</v>
      </c>
      <c r="L339" s="1">
        <f t="shared" si="511"/>
        <v>0</v>
      </c>
      <c r="M339" s="1">
        <f t="shared" si="511"/>
        <v>0</v>
      </c>
      <c r="N339" s="7" t="s">
        <v>57</v>
      </c>
    </row>
    <row r="340" spans="1:14" x14ac:dyDescent="0.25">
      <c r="A340" s="9">
        <f t="shared" si="491"/>
        <v>85</v>
      </c>
      <c r="B340" s="5" t="e">
        <f>+'libro compras'!P339</f>
        <v>#N/A</v>
      </c>
      <c r="C340" s="1" t="str">
        <f t="shared" ref="C340:E340" si="512">+C339</f>
        <v>103</v>
      </c>
      <c r="D340" s="1">
        <f t="shared" si="512"/>
        <v>0</v>
      </c>
      <c r="E340" s="12" t="str">
        <f t="shared" si="512"/>
        <v/>
      </c>
      <c r="F340" s="7"/>
      <c r="G340" s="2">
        <f>-'libro compras'!AI339</f>
        <v>0</v>
      </c>
      <c r="H340" s="7"/>
      <c r="I340" s="7" t="s">
        <v>36</v>
      </c>
      <c r="J340" s="7" t="str">
        <f>+CONCATENATE('libro compras'!C339," ",'libro compras'!D339)</f>
        <v xml:space="preserve"> </v>
      </c>
      <c r="K340" s="5">
        <f t="shared" ref="K340:M340" si="513">+K339</f>
        <v>0</v>
      </c>
      <c r="L340" s="1">
        <f t="shared" si="513"/>
        <v>0</v>
      </c>
      <c r="M340" s="1">
        <f t="shared" si="513"/>
        <v>0</v>
      </c>
      <c r="N340" s="7" t="s">
        <v>57</v>
      </c>
    </row>
    <row r="341" spans="1:14" x14ac:dyDescent="0.25">
      <c r="A341" s="9">
        <f t="shared" si="491"/>
        <v>85</v>
      </c>
      <c r="B341" s="2" t="e">
        <f>+VLOOKUP(B340,Hoja1!$A$1:$B$2,2,FALSE)</f>
        <v>#N/A</v>
      </c>
      <c r="C341" s="1" t="str">
        <f t="shared" ref="C341:E341" si="514">+C340</f>
        <v>103</v>
      </c>
      <c r="D341" s="1">
        <f t="shared" si="514"/>
        <v>0</v>
      </c>
      <c r="E341" s="12" t="str">
        <f t="shared" si="514"/>
        <v/>
      </c>
      <c r="F341" s="7"/>
      <c r="G341" s="2">
        <f>-'libro compras'!AB339</f>
        <v>0</v>
      </c>
      <c r="H341" s="7"/>
      <c r="I341" s="7" t="s">
        <v>36</v>
      </c>
      <c r="J341" s="7" t="str">
        <f>+CONCATENATE('libro compras'!C339," ",'libro compras'!D339)</f>
        <v xml:space="preserve"> </v>
      </c>
      <c r="K341" s="5">
        <f t="shared" ref="K341:M341" si="515">+K340</f>
        <v>0</v>
      </c>
      <c r="L341" s="1">
        <f t="shared" si="515"/>
        <v>0</v>
      </c>
      <c r="M341" s="1">
        <f t="shared" si="515"/>
        <v>0</v>
      </c>
      <c r="N341" s="7" t="s">
        <v>57</v>
      </c>
    </row>
    <row r="342" spans="1:14" x14ac:dyDescent="0.25">
      <c r="A342" s="9">
        <f t="shared" si="491"/>
        <v>86</v>
      </c>
      <c r="B342" s="5" t="str">
        <f>+'libro compras'!$AI$1</f>
        <v>281110</v>
      </c>
      <c r="C342" s="1" t="str">
        <f>+'libro compras'!Q343</f>
        <v>103</v>
      </c>
      <c r="D342" s="1">
        <f>+'libro compras'!R343</f>
        <v>0</v>
      </c>
      <c r="E342" s="12" t="str">
        <f>+'libro compras'!S343</f>
        <v/>
      </c>
      <c r="F342" s="7"/>
      <c r="G342" s="2">
        <f>+'libro compras'!AK343</f>
        <v>0</v>
      </c>
      <c r="H342" s="7"/>
      <c r="I342" s="7" t="s">
        <v>56</v>
      </c>
      <c r="J342" s="7" t="str">
        <f>+CONCATENATE('libro compras'!C343," ",'libro compras'!D343)</f>
        <v xml:space="preserve"> </v>
      </c>
      <c r="K342" s="5">
        <f>+'libro compras'!F343</f>
        <v>0</v>
      </c>
      <c r="L342" s="1">
        <f>+'libro compras'!C343</f>
        <v>0</v>
      </c>
      <c r="M342" s="5">
        <f>+'libro compras'!D343</f>
        <v>0</v>
      </c>
      <c r="N342" s="7" t="s">
        <v>57</v>
      </c>
    </row>
    <row r="343" spans="1:14" hidden="1" x14ac:dyDescent="0.25">
      <c r="A343" s="9">
        <f t="shared" si="491"/>
        <v>86</v>
      </c>
      <c r="B343" s="5" t="str">
        <f>+'libro compras'!$AJ$1</f>
        <v>401110</v>
      </c>
      <c r="C343" s="1" t="str">
        <f t="shared" ref="C343:E343" si="516">+C342</f>
        <v>103</v>
      </c>
      <c r="D343" s="1">
        <f t="shared" si="516"/>
        <v>0</v>
      </c>
      <c r="E343" s="12" t="str">
        <f t="shared" si="516"/>
        <v/>
      </c>
      <c r="F343" s="7"/>
      <c r="G343" s="2">
        <f>+'libro compras'!AJ343</f>
        <v>0</v>
      </c>
      <c r="H343" s="7"/>
      <c r="I343" s="7" t="s">
        <v>56</v>
      </c>
      <c r="J343" s="7" t="str">
        <f t="shared" ref="J343:M343" si="517">+J342</f>
        <v xml:space="preserve"> </v>
      </c>
      <c r="K343" s="5">
        <f t="shared" si="517"/>
        <v>0</v>
      </c>
      <c r="L343" s="1">
        <f t="shared" si="517"/>
        <v>0</v>
      </c>
      <c r="M343" s="1">
        <f t="shared" si="517"/>
        <v>0</v>
      </c>
      <c r="N343" s="7" t="s">
        <v>57</v>
      </c>
    </row>
    <row r="344" spans="1:14" x14ac:dyDescent="0.25">
      <c r="A344" s="9">
        <f t="shared" si="491"/>
        <v>86</v>
      </c>
      <c r="B344" s="5" t="e">
        <f>+'libro compras'!P343</f>
        <v>#N/A</v>
      </c>
      <c r="C344" s="1" t="str">
        <f t="shared" ref="C344:E344" si="518">+C343</f>
        <v>103</v>
      </c>
      <c r="D344" s="1">
        <f t="shared" si="518"/>
        <v>0</v>
      </c>
      <c r="E344" s="12" t="str">
        <f t="shared" si="518"/>
        <v/>
      </c>
      <c r="F344" s="7"/>
      <c r="G344" s="2">
        <f>-'libro compras'!AI343</f>
        <v>0</v>
      </c>
      <c r="H344" s="7"/>
      <c r="I344" s="7" t="s">
        <v>36</v>
      </c>
      <c r="J344" s="7" t="str">
        <f>+CONCATENATE('libro compras'!C343," ",'libro compras'!D343)</f>
        <v xml:space="preserve"> </v>
      </c>
      <c r="K344" s="5">
        <f t="shared" ref="K344:M344" si="519">+K343</f>
        <v>0</v>
      </c>
      <c r="L344" s="1">
        <f t="shared" si="519"/>
        <v>0</v>
      </c>
      <c r="M344" s="1">
        <f t="shared" si="519"/>
        <v>0</v>
      </c>
      <c r="N344" s="7" t="s">
        <v>57</v>
      </c>
    </row>
    <row r="345" spans="1:14" x14ac:dyDescent="0.25">
      <c r="A345" s="9">
        <f t="shared" si="491"/>
        <v>86</v>
      </c>
      <c r="B345" s="2" t="e">
        <f>+VLOOKUP(B344,Hoja1!$A$1:$B$2,2,FALSE)</f>
        <v>#N/A</v>
      </c>
      <c r="C345" s="1" t="str">
        <f t="shared" ref="C345:E345" si="520">+C344</f>
        <v>103</v>
      </c>
      <c r="D345" s="1">
        <f t="shared" si="520"/>
        <v>0</v>
      </c>
      <c r="E345" s="12" t="str">
        <f t="shared" si="520"/>
        <v/>
      </c>
      <c r="F345" s="7"/>
      <c r="G345" s="2">
        <f>-'libro compras'!AB343</f>
        <v>0</v>
      </c>
      <c r="H345" s="7"/>
      <c r="I345" s="7" t="s">
        <v>36</v>
      </c>
      <c r="J345" s="7" t="str">
        <f>+CONCATENATE('libro compras'!C343," ",'libro compras'!D343)</f>
        <v xml:space="preserve"> </v>
      </c>
      <c r="K345" s="5">
        <f t="shared" ref="K345:M345" si="521">+K344</f>
        <v>0</v>
      </c>
      <c r="L345" s="1">
        <f t="shared" si="521"/>
        <v>0</v>
      </c>
      <c r="M345" s="1">
        <f t="shared" si="521"/>
        <v>0</v>
      </c>
      <c r="N345" s="7" t="s">
        <v>57</v>
      </c>
    </row>
    <row r="346" spans="1:14" x14ac:dyDescent="0.25">
      <c r="A346" s="9">
        <f t="shared" si="491"/>
        <v>87</v>
      </c>
      <c r="B346" s="5" t="str">
        <f>+'libro compras'!$AI$1</f>
        <v>281110</v>
      </c>
      <c r="C346" s="1" t="str">
        <f>+'libro compras'!Q347</f>
        <v>103</v>
      </c>
      <c r="D346" s="1">
        <f>+'libro compras'!R347</f>
        <v>0</v>
      </c>
      <c r="E346" s="12" t="str">
        <f>+'libro compras'!S347</f>
        <v/>
      </c>
      <c r="F346" s="7"/>
      <c r="G346" s="2">
        <f>+'libro compras'!AK347</f>
        <v>0</v>
      </c>
      <c r="H346" s="7"/>
      <c r="I346" s="7" t="s">
        <v>56</v>
      </c>
      <c r="J346" s="7" t="str">
        <f>+CONCATENATE('libro compras'!C347," ",'libro compras'!D347)</f>
        <v xml:space="preserve"> </v>
      </c>
      <c r="K346" s="5">
        <f>+'libro compras'!F347</f>
        <v>0</v>
      </c>
      <c r="L346" s="1">
        <f>+'libro compras'!C347</f>
        <v>0</v>
      </c>
      <c r="M346" s="5">
        <f>+'libro compras'!D347</f>
        <v>0</v>
      </c>
      <c r="N346" s="7" t="s">
        <v>57</v>
      </c>
    </row>
    <row r="347" spans="1:14" hidden="1" x14ac:dyDescent="0.25">
      <c r="A347" s="9">
        <f t="shared" si="491"/>
        <v>87</v>
      </c>
      <c r="B347" s="5" t="str">
        <f>+'libro compras'!$AJ$1</f>
        <v>401110</v>
      </c>
      <c r="C347" s="1" t="str">
        <f t="shared" ref="C347:E347" si="522">+C346</f>
        <v>103</v>
      </c>
      <c r="D347" s="1">
        <f t="shared" si="522"/>
        <v>0</v>
      </c>
      <c r="E347" s="12" t="str">
        <f t="shared" si="522"/>
        <v/>
      </c>
      <c r="F347" s="7"/>
      <c r="G347" s="2">
        <f>+'libro compras'!AJ347</f>
        <v>0</v>
      </c>
      <c r="H347" s="7"/>
      <c r="I347" s="7" t="s">
        <v>56</v>
      </c>
      <c r="J347" s="7" t="str">
        <f t="shared" ref="J347:M347" si="523">+J346</f>
        <v xml:space="preserve"> </v>
      </c>
      <c r="K347" s="5">
        <f t="shared" si="523"/>
        <v>0</v>
      </c>
      <c r="L347" s="1">
        <f t="shared" si="523"/>
        <v>0</v>
      </c>
      <c r="M347" s="1">
        <f t="shared" si="523"/>
        <v>0</v>
      </c>
      <c r="N347" s="7" t="s">
        <v>57</v>
      </c>
    </row>
    <row r="348" spans="1:14" x14ac:dyDescent="0.25">
      <c r="A348" s="9">
        <f t="shared" si="491"/>
        <v>87</v>
      </c>
      <c r="B348" s="5" t="e">
        <f>+'libro compras'!P347</f>
        <v>#N/A</v>
      </c>
      <c r="C348" s="1" t="str">
        <f t="shared" ref="C348:E348" si="524">+C347</f>
        <v>103</v>
      </c>
      <c r="D348" s="1">
        <f t="shared" si="524"/>
        <v>0</v>
      </c>
      <c r="E348" s="12" t="str">
        <f t="shared" si="524"/>
        <v/>
      </c>
      <c r="F348" s="7"/>
      <c r="G348" s="2">
        <f>-'libro compras'!AI347</f>
        <v>0</v>
      </c>
      <c r="H348" s="7"/>
      <c r="I348" s="7" t="s">
        <v>36</v>
      </c>
      <c r="J348" s="7" t="str">
        <f>+CONCATENATE('libro compras'!C347," ",'libro compras'!D347)</f>
        <v xml:space="preserve"> </v>
      </c>
      <c r="K348" s="5">
        <f t="shared" ref="K348:M348" si="525">+K347</f>
        <v>0</v>
      </c>
      <c r="L348" s="1">
        <f t="shared" si="525"/>
        <v>0</v>
      </c>
      <c r="M348" s="1">
        <f t="shared" si="525"/>
        <v>0</v>
      </c>
      <c r="N348" s="7" t="s">
        <v>57</v>
      </c>
    </row>
    <row r="349" spans="1:14" x14ac:dyDescent="0.25">
      <c r="A349" s="9">
        <f t="shared" si="491"/>
        <v>87</v>
      </c>
      <c r="B349" s="2" t="e">
        <f>+VLOOKUP(B348,Hoja1!$A$1:$B$2,2,FALSE)</f>
        <v>#N/A</v>
      </c>
      <c r="C349" s="1" t="str">
        <f t="shared" ref="C349:E349" si="526">+C348</f>
        <v>103</v>
      </c>
      <c r="D349" s="1">
        <f t="shared" si="526"/>
        <v>0</v>
      </c>
      <c r="E349" s="12" t="str">
        <f t="shared" si="526"/>
        <v/>
      </c>
      <c r="F349" s="7"/>
      <c r="G349" s="2">
        <f>-'libro compras'!AB347</f>
        <v>0</v>
      </c>
      <c r="H349" s="7"/>
      <c r="I349" s="7" t="s">
        <v>36</v>
      </c>
      <c r="J349" s="7" t="str">
        <f>+CONCATENATE('libro compras'!C347," ",'libro compras'!D347)</f>
        <v xml:space="preserve"> </v>
      </c>
      <c r="K349" s="5">
        <f t="shared" ref="K349:M349" si="527">+K348</f>
        <v>0</v>
      </c>
      <c r="L349" s="1">
        <f t="shared" si="527"/>
        <v>0</v>
      </c>
      <c r="M349" s="1">
        <f t="shared" si="527"/>
        <v>0</v>
      </c>
      <c r="N349" s="7" t="s">
        <v>57</v>
      </c>
    </row>
    <row r="350" spans="1:14" x14ac:dyDescent="0.25">
      <c r="A350" s="9">
        <f t="shared" si="491"/>
        <v>88</v>
      </c>
      <c r="B350" s="5" t="str">
        <f>+'libro compras'!$AI$1</f>
        <v>281110</v>
      </c>
      <c r="C350" s="1" t="str">
        <f>+'libro compras'!Q351</f>
        <v>103</v>
      </c>
      <c r="D350" s="1">
        <f>+'libro compras'!R351</f>
        <v>0</v>
      </c>
      <c r="E350" s="12" t="str">
        <f>+'libro compras'!S351</f>
        <v/>
      </c>
      <c r="F350" s="7"/>
      <c r="G350" s="2">
        <f>+'libro compras'!AK351</f>
        <v>0</v>
      </c>
      <c r="H350" s="7"/>
      <c r="I350" s="7" t="s">
        <v>56</v>
      </c>
      <c r="J350" s="7" t="str">
        <f>+CONCATENATE('libro compras'!C351," ",'libro compras'!D351)</f>
        <v xml:space="preserve"> </v>
      </c>
      <c r="K350" s="5">
        <f>+'libro compras'!F351</f>
        <v>0</v>
      </c>
      <c r="L350" s="1">
        <f>+'libro compras'!C351</f>
        <v>0</v>
      </c>
      <c r="M350" s="5">
        <f>+'libro compras'!D351</f>
        <v>0</v>
      </c>
      <c r="N350" s="7" t="s">
        <v>57</v>
      </c>
    </row>
    <row r="351" spans="1:14" hidden="1" x14ac:dyDescent="0.25">
      <c r="A351" s="9">
        <f t="shared" si="491"/>
        <v>88</v>
      </c>
      <c r="B351" s="5" t="str">
        <f>+'libro compras'!$AJ$1</f>
        <v>401110</v>
      </c>
      <c r="C351" s="1" t="str">
        <f t="shared" ref="C351:E351" si="528">+C350</f>
        <v>103</v>
      </c>
      <c r="D351" s="1">
        <f t="shared" si="528"/>
        <v>0</v>
      </c>
      <c r="E351" s="12" t="str">
        <f t="shared" si="528"/>
        <v/>
      </c>
      <c r="F351" s="7"/>
      <c r="G351" s="2">
        <f>+'libro compras'!AJ351</f>
        <v>0</v>
      </c>
      <c r="H351" s="7"/>
      <c r="I351" s="7" t="s">
        <v>56</v>
      </c>
      <c r="J351" s="7" t="str">
        <f t="shared" ref="J351:M351" si="529">+J350</f>
        <v xml:space="preserve"> </v>
      </c>
      <c r="K351" s="5">
        <f t="shared" si="529"/>
        <v>0</v>
      </c>
      <c r="L351" s="1">
        <f t="shared" si="529"/>
        <v>0</v>
      </c>
      <c r="M351" s="1">
        <f t="shared" si="529"/>
        <v>0</v>
      </c>
      <c r="N351" s="7" t="s">
        <v>57</v>
      </c>
    </row>
    <row r="352" spans="1:14" x14ac:dyDescent="0.25">
      <c r="A352" s="9">
        <f t="shared" si="491"/>
        <v>88</v>
      </c>
      <c r="B352" s="5" t="e">
        <f>+'libro compras'!P351</f>
        <v>#N/A</v>
      </c>
      <c r="C352" s="1" t="str">
        <f t="shared" ref="C352:E352" si="530">+C351</f>
        <v>103</v>
      </c>
      <c r="D352" s="1">
        <f t="shared" si="530"/>
        <v>0</v>
      </c>
      <c r="E352" s="12" t="str">
        <f t="shared" si="530"/>
        <v/>
      </c>
      <c r="F352" s="7"/>
      <c r="G352" s="2">
        <f>-'libro compras'!AI351</f>
        <v>0</v>
      </c>
      <c r="H352" s="7"/>
      <c r="I352" s="7" t="s">
        <v>36</v>
      </c>
      <c r="J352" s="7" t="str">
        <f>+CONCATENATE('libro compras'!C351," ",'libro compras'!D351)</f>
        <v xml:space="preserve"> </v>
      </c>
      <c r="K352" s="5">
        <f t="shared" ref="K352:M352" si="531">+K351</f>
        <v>0</v>
      </c>
      <c r="L352" s="1">
        <f t="shared" si="531"/>
        <v>0</v>
      </c>
      <c r="M352" s="1">
        <f t="shared" si="531"/>
        <v>0</v>
      </c>
      <c r="N352" s="7" t="s">
        <v>57</v>
      </c>
    </row>
    <row r="353" spans="1:14" x14ac:dyDescent="0.25">
      <c r="A353" s="9">
        <f t="shared" si="491"/>
        <v>88</v>
      </c>
      <c r="B353" s="2" t="e">
        <f>+VLOOKUP(B352,Hoja1!$A$1:$B$2,2,FALSE)</f>
        <v>#N/A</v>
      </c>
      <c r="C353" s="1" t="str">
        <f t="shared" ref="C353:E353" si="532">+C352</f>
        <v>103</v>
      </c>
      <c r="D353" s="1">
        <f t="shared" si="532"/>
        <v>0</v>
      </c>
      <c r="E353" s="12" t="str">
        <f t="shared" si="532"/>
        <v/>
      </c>
      <c r="F353" s="7"/>
      <c r="G353" s="2">
        <f>-'libro compras'!AB351</f>
        <v>0</v>
      </c>
      <c r="H353" s="7"/>
      <c r="I353" s="7" t="s">
        <v>36</v>
      </c>
      <c r="J353" s="7" t="str">
        <f>+CONCATENATE('libro compras'!C351," ",'libro compras'!D351)</f>
        <v xml:space="preserve"> </v>
      </c>
      <c r="K353" s="5">
        <f t="shared" ref="K353:M353" si="533">+K352</f>
        <v>0</v>
      </c>
      <c r="L353" s="1">
        <f t="shared" si="533"/>
        <v>0</v>
      </c>
      <c r="M353" s="1">
        <f t="shared" si="533"/>
        <v>0</v>
      </c>
      <c r="N353" s="7" t="s">
        <v>57</v>
      </c>
    </row>
    <row r="354" spans="1:14" x14ac:dyDescent="0.25">
      <c r="A354" s="9">
        <f t="shared" si="491"/>
        <v>89</v>
      </c>
      <c r="B354" s="5" t="str">
        <f>+'libro compras'!$AI$1</f>
        <v>281110</v>
      </c>
      <c r="C354" s="1" t="str">
        <f>+'libro compras'!Q355</f>
        <v>103</v>
      </c>
      <c r="D354" s="1">
        <f>+'libro compras'!R355</f>
        <v>0</v>
      </c>
      <c r="E354" s="12" t="str">
        <f>+'libro compras'!S355</f>
        <v/>
      </c>
      <c r="F354" s="7"/>
      <c r="G354" s="2">
        <f>+'libro compras'!AK355</f>
        <v>0</v>
      </c>
      <c r="H354" s="7"/>
      <c r="I354" s="7" t="s">
        <v>56</v>
      </c>
      <c r="J354" s="7" t="str">
        <f>+CONCATENATE('libro compras'!C355," ",'libro compras'!D355)</f>
        <v xml:space="preserve"> </v>
      </c>
      <c r="K354" s="5">
        <f>+'libro compras'!F355</f>
        <v>0</v>
      </c>
      <c r="L354" s="1">
        <f>+'libro compras'!C355</f>
        <v>0</v>
      </c>
      <c r="M354" s="5">
        <f>+'libro compras'!D355</f>
        <v>0</v>
      </c>
      <c r="N354" s="7" t="s">
        <v>57</v>
      </c>
    </row>
    <row r="355" spans="1:14" hidden="1" x14ac:dyDescent="0.25">
      <c r="A355" s="9">
        <f t="shared" si="491"/>
        <v>89</v>
      </c>
      <c r="B355" s="5" t="str">
        <f>+'libro compras'!$AJ$1</f>
        <v>401110</v>
      </c>
      <c r="C355" s="1" t="str">
        <f t="shared" ref="C355:E355" si="534">+C354</f>
        <v>103</v>
      </c>
      <c r="D355" s="1">
        <f t="shared" si="534"/>
        <v>0</v>
      </c>
      <c r="E355" s="12" t="str">
        <f t="shared" si="534"/>
        <v/>
      </c>
      <c r="F355" s="7"/>
      <c r="G355" s="2">
        <f>+'libro compras'!AJ355</f>
        <v>0</v>
      </c>
      <c r="H355" s="7"/>
      <c r="I355" s="7" t="s">
        <v>56</v>
      </c>
      <c r="J355" s="7" t="str">
        <f t="shared" ref="J355:M355" si="535">+J354</f>
        <v xml:space="preserve"> </v>
      </c>
      <c r="K355" s="5">
        <f t="shared" si="535"/>
        <v>0</v>
      </c>
      <c r="L355" s="1">
        <f t="shared" si="535"/>
        <v>0</v>
      </c>
      <c r="M355" s="1">
        <f t="shared" si="535"/>
        <v>0</v>
      </c>
      <c r="N355" s="7" t="s">
        <v>57</v>
      </c>
    </row>
    <row r="356" spans="1:14" x14ac:dyDescent="0.25">
      <c r="A356" s="9">
        <f t="shared" si="491"/>
        <v>89</v>
      </c>
      <c r="B356" s="5" t="e">
        <f>+'libro compras'!P355</f>
        <v>#N/A</v>
      </c>
      <c r="C356" s="1" t="str">
        <f t="shared" ref="C356:E356" si="536">+C355</f>
        <v>103</v>
      </c>
      <c r="D356" s="1">
        <f t="shared" si="536"/>
        <v>0</v>
      </c>
      <c r="E356" s="12" t="str">
        <f t="shared" si="536"/>
        <v/>
      </c>
      <c r="F356" s="7"/>
      <c r="G356" s="2">
        <f>-'libro compras'!AI355</f>
        <v>0</v>
      </c>
      <c r="H356" s="7"/>
      <c r="I356" s="7" t="s">
        <v>36</v>
      </c>
      <c r="J356" s="7" t="str">
        <f>+CONCATENATE('libro compras'!C355," ",'libro compras'!D355)</f>
        <v xml:space="preserve"> </v>
      </c>
      <c r="K356" s="5">
        <f t="shared" ref="K356:M356" si="537">+K355</f>
        <v>0</v>
      </c>
      <c r="L356" s="1">
        <f t="shared" si="537"/>
        <v>0</v>
      </c>
      <c r="M356" s="1">
        <f t="shared" si="537"/>
        <v>0</v>
      </c>
      <c r="N356" s="7" t="s">
        <v>57</v>
      </c>
    </row>
    <row r="357" spans="1:14" x14ac:dyDescent="0.25">
      <c r="A357" s="9">
        <f t="shared" si="491"/>
        <v>89</v>
      </c>
      <c r="B357" s="2" t="e">
        <f>+VLOOKUP(B356,Hoja1!$A$1:$B$2,2,FALSE)</f>
        <v>#N/A</v>
      </c>
      <c r="C357" s="1" t="str">
        <f t="shared" ref="C357:E357" si="538">+C356</f>
        <v>103</v>
      </c>
      <c r="D357" s="1">
        <f t="shared" si="538"/>
        <v>0</v>
      </c>
      <c r="E357" s="12" t="str">
        <f t="shared" si="538"/>
        <v/>
      </c>
      <c r="F357" s="7"/>
      <c r="G357" s="2">
        <f>-'libro compras'!AB355</f>
        <v>0</v>
      </c>
      <c r="H357" s="7"/>
      <c r="I357" s="7" t="s">
        <v>36</v>
      </c>
      <c r="J357" s="7" t="str">
        <f>+CONCATENATE('libro compras'!C355," ",'libro compras'!D355)</f>
        <v xml:space="preserve"> </v>
      </c>
      <c r="K357" s="5">
        <f t="shared" ref="K357:M357" si="539">+K356</f>
        <v>0</v>
      </c>
      <c r="L357" s="1">
        <f t="shared" si="539"/>
        <v>0</v>
      </c>
      <c r="M357" s="1">
        <f t="shared" si="539"/>
        <v>0</v>
      </c>
      <c r="N357" s="7" t="s">
        <v>57</v>
      </c>
    </row>
    <row r="358" spans="1:14" x14ac:dyDescent="0.25">
      <c r="A358" s="9">
        <f t="shared" si="491"/>
        <v>90</v>
      </c>
      <c r="B358" s="5" t="str">
        <f>+'libro compras'!$AI$1</f>
        <v>281110</v>
      </c>
      <c r="C358" s="1" t="str">
        <f>+'libro compras'!Q359</f>
        <v>103</v>
      </c>
      <c r="D358" s="1">
        <f>+'libro compras'!R359</f>
        <v>0</v>
      </c>
      <c r="E358" s="12" t="str">
        <f>+'libro compras'!S359</f>
        <v/>
      </c>
      <c r="F358" s="7"/>
      <c r="G358" s="2">
        <f>+'libro compras'!AK359</f>
        <v>0</v>
      </c>
      <c r="H358" s="7"/>
      <c r="I358" s="7" t="s">
        <v>56</v>
      </c>
      <c r="J358" s="7" t="str">
        <f>+CONCATENATE('libro compras'!C359," ",'libro compras'!D359)</f>
        <v xml:space="preserve"> </v>
      </c>
      <c r="K358" s="5">
        <f>+'libro compras'!F359</f>
        <v>0</v>
      </c>
      <c r="L358" s="1">
        <f>+'libro compras'!C359</f>
        <v>0</v>
      </c>
      <c r="M358" s="5">
        <f>+'libro compras'!D359</f>
        <v>0</v>
      </c>
      <c r="N358" s="7" t="s">
        <v>57</v>
      </c>
    </row>
    <row r="359" spans="1:14" hidden="1" x14ac:dyDescent="0.25">
      <c r="A359" s="9">
        <f t="shared" si="491"/>
        <v>90</v>
      </c>
      <c r="B359" s="5" t="str">
        <f>+'libro compras'!$AJ$1</f>
        <v>401110</v>
      </c>
      <c r="C359" s="1" t="str">
        <f t="shared" ref="C359:E359" si="540">+C358</f>
        <v>103</v>
      </c>
      <c r="D359" s="1">
        <f t="shared" si="540"/>
        <v>0</v>
      </c>
      <c r="E359" s="12" t="str">
        <f t="shared" si="540"/>
        <v/>
      </c>
      <c r="F359" s="7"/>
      <c r="G359" s="2">
        <f>+'libro compras'!AJ359</f>
        <v>0</v>
      </c>
      <c r="H359" s="7"/>
      <c r="I359" s="7" t="s">
        <v>56</v>
      </c>
      <c r="J359" s="7" t="str">
        <f t="shared" ref="J359:M359" si="541">+J358</f>
        <v xml:space="preserve"> </v>
      </c>
      <c r="K359" s="5">
        <f t="shared" si="541"/>
        <v>0</v>
      </c>
      <c r="L359" s="1">
        <f t="shared" si="541"/>
        <v>0</v>
      </c>
      <c r="M359" s="1">
        <f t="shared" si="541"/>
        <v>0</v>
      </c>
      <c r="N359" s="7" t="s">
        <v>57</v>
      </c>
    </row>
    <row r="360" spans="1:14" x14ac:dyDescent="0.25">
      <c r="A360" s="9">
        <f t="shared" si="491"/>
        <v>90</v>
      </c>
      <c r="B360" s="5" t="e">
        <f>+'libro compras'!P359</f>
        <v>#N/A</v>
      </c>
      <c r="C360" s="1" t="str">
        <f t="shared" ref="C360:E360" si="542">+C359</f>
        <v>103</v>
      </c>
      <c r="D360" s="1">
        <f t="shared" si="542"/>
        <v>0</v>
      </c>
      <c r="E360" s="12" t="str">
        <f t="shared" si="542"/>
        <v/>
      </c>
      <c r="F360" s="7"/>
      <c r="G360" s="2">
        <f>-'libro compras'!AI359</f>
        <v>0</v>
      </c>
      <c r="H360" s="7"/>
      <c r="I360" s="7" t="s">
        <v>36</v>
      </c>
      <c r="J360" s="7" t="str">
        <f>+CONCATENATE('libro compras'!C359," ",'libro compras'!D359)</f>
        <v xml:space="preserve"> </v>
      </c>
      <c r="K360" s="5">
        <f t="shared" ref="K360:M360" si="543">+K359</f>
        <v>0</v>
      </c>
      <c r="L360" s="1">
        <f t="shared" si="543"/>
        <v>0</v>
      </c>
      <c r="M360" s="1">
        <f t="shared" si="543"/>
        <v>0</v>
      </c>
      <c r="N360" s="7" t="s">
        <v>57</v>
      </c>
    </row>
    <row r="361" spans="1:14" x14ac:dyDescent="0.25">
      <c r="A361" s="9">
        <f t="shared" si="491"/>
        <v>90</v>
      </c>
      <c r="B361" s="2" t="e">
        <f>+VLOOKUP(B360,Hoja1!$A$1:$B$2,2,FALSE)</f>
        <v>#N/A</v>
      </c>
      <c r="C361" s="1" t="str">
        <f t="shared" ref="C361:E361" si="544">+C360</f>
        <v>103</v>
      </c>
      <c r="D361" s="1">
        <f t="shared" si="544"/>
        <v>0</v>
      </c>
      <c r="E361" s="12" t="str">
        <f t="shared" si="544"/>
        <v/>
      </c>
      <c r="F361" s="7"/>
      <c r="G361" s="2">
        <f>-'libro compras'!AB359</f>
        <v>0</v>
      </c>
      <c r="H361" s="7"/>
      <c r="I361" s="7" t="s">
        <v>36</v>
      </c>
      <c r="J361" s="7" t="str">
        <f>+CONCATENATE('libro compras'!C359," ",'libro compras'!D359)</f>
        <v xml:space="preserve"> </v>
      </c>
      <c r="K361" s="5">
        <f t="shared" ref="K361:M361" si="545">+K360</f>
        <v>0</v>
      </c>
      <c r="L361" s="1">
        <f t="shared" si="545"/>
        <v>0</v>
      </c>
      <c r="M361" s="1">
        <f t="shared" si="545"/>
        <v>0</v>
      </c>
      <c r="N361" s="7" t="s">
        <v>57</v>
      </c>
    </row>
    <row r="362" spans="1:14" x14ac:dyDescent="0.25">
      <c r="A362" s="9">
        <f t="shared" si="491"/>
        <v>91</v>
      </c>
      <c r="B362" s="5" t="str">
        <f>+'libro compras'!$AI$1</f>
        <v>281110</v>
      </c>
      <c r="C362" s="1" t="str">
        <f>+'libro compras'!Q363</f>
        <v>103</v>
      </c>
      <c r="D362" s="1">
        <f>+'libro compras'!R363</f>
        <v>0</v>
      </c>
      <c r="E362" s="12" t="str">
        <f>+'libro compras'!S363</f>
        <v/>
      </c>
      <c r="F362" s="7"/>
      <c r="G362" s="2">
        <f>+'libro compras'!AK363</f>
        <v>0</v>
      </c>
      <c r="H362" s="7"/>
      <c r="I362" s="7" t="s">
        <v>56</v>
      </c>
      <c r="J362" s="7" t="str">
        <f>+CONCATENATE('libro compras'!C363," ",'libro compras'!D363)</f>
        <v xml:space="preserve"> </v>
      </c>
      <c r="K362" s="5">
        <f>+'libro compras'!F363</f>
        <v>0</v>
      </c>
      <c r="L362" s="1">
        <f>+'libro compras'!C363</f>
        <v>0</v>
      </c>
      <c r="M362" s="5">
        <f>+'libro compras'!D363</f>
        <v>0</v>
      </c>
      <c r="N362" s="7" t="s">
        <v>57</v>
      </c>
    </row>
    <row r="363" spans="1:14" hidden="1" x14ac:dyDescent="0.25">
      <c r="A363" s="9">
        <f t="shared" si="491"/>
        <v>91</v>
      </c>
      <c r="B363" s="5" t="str">
        <f>+'libro compras'!$AJ$1</f>
        <v>401110</v>
      </c>
      <c r="C363" s="1" t="str">
        <f t="shared" ref="C363:E363" si="546">+C362</f>
        <v>103</v>
      </c>
      <c r="D363" s="1">
        <f t="shared" si="546"/>
        <v>0</v>
      </c>
      <c r="E363" s="12" t="str">
        <f t="shared" si="546"/>
        <v/>
      </c>
      <c r="F363" s="7"/>
      <c r="G363" s="2">
        <f>+'libro compras'!AJ363</f>
        <v>0</v>
      </c>
      <c r="H363" s="7"/>
      <c r="I363" s="7" t="s">
        <v>56</v>
      </c>
      <c r="J363" s="7" t="str">
        <f t="shared" ref="J363:M363" si="547">+J362</f>
        <v xml:space="preserve"> </v>
      </c>
      <c r="K363" s="5">
        <f t="shared" si="547"/>
        <v>0</v>
      </c>
      <c r="L363" s="1">
        <f t="shared" si="547"/>
        <v>0</v>
      </c>
      <c r="M363" s="1">
        <f t="shared" si="547"/>
        <v>0</v>
      </c>
      <c r="N363" s="7" t="s">
        <v>57</v>
      </c>
    </row>
    <row r="364" spans="1:14" x14ac:dyDescent="0.25">
      <c r="A364" s="9">
        <f t="shared" si="491"/>
        <v>91</v>
      </c>
      <c r="B364" s="5" t="e">
        <f>+'libro compras'!P363</f>
        <v>#N/A</v>
      </c>
      <c r="C364" s="1" t="str">
        <f t="shared" ref="C364:E364" si="548">+C363</f>
        <v>103</v>
      </c>
      <c r="D364" s="1">
        <f t="shared" si="548"/>
        <v>0</v>
      </c>
      <c r="E364" s="12" t="str">
        <f t="shared" si="548"/>
        <v/>
      </c>
      <c r="F364" s="7"/>
      <c r="G364" s="2">
        <f>-'libro compras'!AI363</f>
        <v>0</v>
      </c>
      <c r="H364" s="7"/>
      <c r="I364" s="7" t="s">
        <v>36</v>
      </c>
      <c r="J364" s="7" t="str">
        <f>+CONCATENATE('libro compras'!C363," ",'libro compras'!D363)</f>
        <v xml:space="preserve"> </v>
      </c>
      <c r="K364" s="5">
        <f t="shared" ref="K364:M364" si="549">+K363</f>
        <v>0</v>
      </c>
      <c r="L364" s="1">
        <f t="shared" si="549"/>
        <v>0</v>
      </c>
      <c r="M364" s="1">
        <f t="shared" si="549"/>
        <v>0</v>
      </c>
      <c r="N364" s="7" t="s">
        <v>57</v>
      </c>
    </row>
    <row r="365" spans="1:14" x14ac:dyDescent="0.25">
      <c r="A365" s="9">
        <f t="shared" si="491"/>
        <v>91</v>
      </c>
      <c r="B365" s="2" t="e">
        <f>+VLOOKUP(B364,Hoja1!$A$1:$B$2,2,FALSE)</f>
        <v>#N/A</v>
      </c>
      <c r="C365" s="1" t="str">
        <f t="shared" ref="C365:E365" si="550">+C364</f>
        <v>103</v>
      </c>
      <c r="D365" s="1">
        <f t="shared" si="550"/>
        <v>0</v>
      </c>
      <c r="E365" s="12" t="str">
        <f t="shared" si="550"/>
        <v/>
      </c>
      <c r="F365" s="7"/>
      <c r="G365" s="2">
        <f>-'libro compras'!AB363</f>
        <v>0</v>
      </c>
      <c r="H365" s="7"/>
      <c r="I365" s="7" t="s">
        <v>36</v>
      </c>
      <c r="J365" s="7" t="str">
        <f>+CONCATENATE('libro compras'!C363," ",'libro compras'!D363)</f>
        <v xml:space="preserve"> </v>
      </c>
      <c r="K365" s="5">
        <f t="shared" ref="K365:M365" si="551">+K364</f>
        <v>0</v>
      </c>
      <c r="L365" s="1">
        <f t="shared" si="551"/>
        <v>0</v>
      </c>
      <c r="M365" s="1">
        <f t="shared" si="551"/>
        <v>0</v>
      </c>
      <c r="N365" s="7" t="s">
        <v>57</v>
      </c>
    </row>
    <row r="366" spans="1:14" x14ac:dyDescent="0.25">
      <c r="A366" s="9">
        <f t="shared" si="491"/>
        <v>92</v>
      </c>
      <c r="B366" s="5" t="str">
        <f>+'libro compras'!$AI$1</f>
        <v>281110</v>
      </c>
      <c r="C366" s="1" t="str">
        <f>+'libro compras'!Q367</f>
        <v>103</v>
      </c>
      <c r="D366" s="1">
        <f>+'libro compras'!R367</f>
        <v>0</v>
      </c>
      <c r="E366" s="12" t="str">
        <f>+'libro compras'!S367</f>
        <v/>
      </c>
      <c r="F366" s="7"/>
      <c r="G366" s="2">
        <f>+'libro compras'!AK367</f>
        <v>0</v>
      </c>
      <c r="H366" s="7"/>
      <c r="I366" s="7" t="s">
        <v>56</v>
      </c>
      <c r="J366" s="7" t="str">
        <f>+CONCATENATE('libro compras'!C367," ",'libro compras'!D367)</f>
        <v xml:space="preserve"> </v>
      </c>
      <c r="K366" s="5">
        <f>+'libro compras'!F367</f>
        <v>0</v>
      </c>
      <c r="L366" s="1">
        <f>+'libro compras'!C367</f>
        <v>0</v>
      </c>
      <c r="M366" s="5">
        <f>+'libro compras'!D367</f>
        <v>0</v>
      </c>
      <c r="N366" s="7" t="s">
        <v>57</v>
      </c>
    </row>
    <row r="367" spans="1:14" hidden="1" x14ac:dyDescent="0.25">
      <c r="A367" s="9">
        <f t="shared" si="491"/>
        <v>92</v>
      </c>
      <c r="B367" s="5" t="str">
        <f>+'libro compras'!$AJ$1</f>
        <v>401110</v>
      </c>
      <c r="C367" s="1" t="str">
        <f t="shared" ref="C367:E367" si="552">+C366</f>
        <v>103</v>
      </c>
      <c r="D367" s="1">
        <f t="shared" si="552"/>
        <v>0</v>
      </c>
      <c r="E367" s="12" t="str">
        <f t="shared" si="552"/>
        <v/>
      </c>
      <c r="F367" s="7"/>
      <c r="G367" s="2">
        <f>+'libro compras'!AJ367</f>
        <v>0</v>
      </c>
      <c r="H367" s="7"/>
      <c r="I367" s="7" t="s">
        <v>56</v>
      </c>
      <c r="J367" s="7" t="str">
        <f t="shared" ref="J367:M367" si="553">+J366</f>
        <v xml:space="preserve"> </v>
      </c>
      <c r="K367" s="5">
        <f t="shared" si="553"/>
        <v>0</v>
      </c>
      <c r="L367" s="1">
        <f t="shared" si="553"/>
        <v>0</v>
      </c>
      <c r="M367" s="1">
        <f t="shared" si="553"/>
        <v>0</v>
      </c>
      <c r="N367" s="7" t="s">
        <v>57</v>
      </c>
    </row>
    <row r="368" spans="1:14" x14ac:dyDescent="0.25">
      <c r="A368" s="9">
        <f t="shared" si="491"/>
        <v>92</v>
      </c>
      <c r="B368" s="5" t="e">
        <f>+'libro compras'!P367</f>
        <v>#N/A</v>
      </c>
      <c r="C368" s="1" t="str">
        <f t="shared" ref="C368:E368" si="554">+C367</f>
        <v>103</v>
      </c>
      <c r="D368" s="1">
        <f t="shared" si="554"/>
        <v>0</v>
      </c>
      <c r="E368" s="12" t="str">
        <f t="shared" si="554"/>
        <v/>
      </c>
      <c r="F368" s="7"/>
      <c r="G368" s="2">
        <f>-'libro compras'!AI367</f>
        <v>0</v>
      </c>
      <c r="H368" s="7"/>
      <c r="I368" s="7" t="s">
        <v>36</v>
      </c>
      <c r="J368" s="7" t="str">
        <f>+CONCATENATE('libro compras'!C367," ",'libro compras'!D367)</f>
        <v xml:space="preserve"> </v>
      </c>
      <c r="K368" s="5">
        <f t="shared" ref="K368:M368" si="555">+K367</f>
        <v>0</v>
      </c>
      <c r="L368" s="1">
        <f t="shared" si="555"/>
        <v>0</v>
      </c>
      <c r="M368" s="1">
        <f t="shared" si="555"/>
        <v>0</v>
      </c>
      <c r="N368" s="7" t="s">
        <v>57</v>
      </c>
    </row>
    <row r="369" spans="1:14" x14ac:dyDescent="0.25">
      <c r="A369" s="9">
        <f t="shared" si="491"/>
        <v>92</v>
      </c>
      <c r="B369" s="2" t="e">
        <f>+VLOOKUP(B368,Hoja1!$A$1:$B$2,2,FALSE)</f>
        <v>#N/A</v>
      </c>
      <c r="C369" s="1" t="str">
        <f t="shared" ref="C369:E369" si="556">+C368</f>
        <v>103</v>
      </c>
      <c r="D369" s="1">
        <f t="shared" si="556"/>
        <v>0</v>
      </c>
      <c r="E369" s="12" t="str">
        <f t="shared" si="556"/>
        <v/>
      </c>
      <c r="F369" s="7"/>
      <c r="G369" s="2">
        <f>-'libro compras'!AB367</f>
        <v>0</v>
      </c>
      <c r="H369" s="7"/>
      <c r="I369" s="7" t="s">
        <v>36</v>
      </c>
      <c r="J369" s="7" t="str">
        <f>+CONCATENATE('libro compras'!C367," ",'libro compras'!D367)</f>
        <v xml:space="preserve"> </v>
      </c>
      <c r="K369" s="5">
        <f t="shared" ref="K369:M369" si="557">+K368</f>
        <v>0</v>
      </c>
      <c r="L369" s="1">
        <f t="shared" si="557"/>
        <v>0</v>
      </c>
      <c r="M369" s="1">
        <f t="shared" si="557"/>
        <v>0</v>
      </c>
      <c r="N369" s="7" t="s">
        <v>57</v>
      </c>
    </row>
    <row r="370" spans="1:14" x14ac:dyDescent="0.25">
      <c r="A370" s="9">
        <f t="shared" si="491"/>
        <v>93</v>
      </c>
      <c r="B370" s="5" t="str">
        <f>+'libro compras'!$AI$1</f>
        <v>281110</v>
      </c>
      <c r="C370" s="1" t="str">
        <f>+'libro compras'!Q371</f>
        <v>103</v>
      </c>
      <c r="D370" s="1">
        <f>+'libro compras'!R371</f>
        <v>0</v>
      </c>
      <c r="E370" s="12" t="str">
        <f>+'libro compras'!S371</f>
        <v/>
      </c>
      <c r="F370" s="7"/>
      <c r="G370" s="2">
        <f>+'libro compras'!AK371</f>
        <v>0</v>
      </c>
      <c r="H370" s="7"/>
      <c r="I370" s="7" t="s">
        <v>56</v>
      </c>
      <c r="J370" s="7" t="str">
        <f>+CONCATENATE('libro compras'!C371," ",'libro compras'!D371)</f>
        <v xml:space="preserve"> </v>
      </c>
      <c r="K370" s="5">
        <f>+'libro compras'!F371</f>
        <v>0</v>
      </c>
      <c r="L370" s="1">
        <f>+'libro compras'!C371</f>
        <v>0</v>
      </c>
      <c r="M370" s="5">
        <f>+'libro compras'!D371</f>
        <v>0</v>
      </c>
      <c r="N370" s="7" t="s">
        <v>57</v>
      </c>
    </row>
    <row r="371" spans="1:14" hidden="1" x14ac:dyDescent="0.25">
      <c r="A371" s="9">
        <f t="shared" si="491"/>
        <v>93</v>
      </c>
      <c r="B371" s="5" t="str">
        <f>+'libro compras'!$AJ$1</f>
        <v>401110</v>
      </c>
      <c r="C371" s="1" t="str">
        <f t="shared" ref="C371:E371" si="558">+C370</f>
        <v>103</v>
      </c>
      <c r="D371" s="1">
        <f t="shared" si="558"/>
        <v>0</v>
      </c>
      <c r="E371" s="12" t="str">
        <f t="shared" si="558"/>
        <v/>
      </c>
      <c r="F371" s="7"/>
      <c r="G371" s="2">
        <f>+'libro compras'!AJ371</f>
        <v>0</v>
      </c>
      <c r="H371" s="7"/>
      <c r="I371" s="7" t="s">
        <v>56</v>
      </c>
      <c r="J371" s="7" t="str">
        <f t="shared" ref="J371:M371" si="559">+J370</f>
        <v xml:space="preserve"> </v>
      </c>
      <c r="K371" s="5">
        <f t="shared" si="559"/>
        <v>0</v>
      </c>
      <c r="L371" s="1">
        <f t="shared" si="559"/>
        <v>0</v>
      </c>
      <c r="M371" s="1">
        <f t="shared" si="559"/>
        <v>0</v>
      </c>
      <c r="N371" s="7" t="s">
        <v>57</v>
      </c>
    </row>
    <row r="372" spans="1:14" x14ac:dyDescent="0.25">
      <c r="A372" s="9">
        <f t="shared" si="491"/>
        <v>93</v>
      </c>
      <c r="B372" s="5" t="e">
        <f>+'libro compras'!P371</f>
        <v>#N/A</v>
      </c>
      <c r="C372" s="1" t="str">
        <f t="shared" ref="C372:E372" si="560">+C371</f>
        <v>103</v>
      </c>
      <c r="D372" s="1">
        <f t="shared" si="560"/>
        <v>0</v>
      </c>
      <c r="E372" s="12" t="str">
        <f t="shared" si="560"/>
        <v/>
      </c>
      <c r="F372" s="7"/>
      <c r="G372" s="2">
        <f>-'libro compras'!AI371</f>
        <v>0</v>
      </c>
      <c r="H372" s="7"/>
      <c r="I372" s="7" t="s">
        <v>36</v>
      </c>
      <c r="J372" s="7" t="str">
        <f>+CONCATENATE('libro compras'!C371," ",'libro compras'!D371)</f>
        <v xml:space="preserve"> </v>
      </c>
      <c r="K372" s="5">
        <f t="shared" ref="K372:M372" si="561">+K371</f>
        <v>0</v>
      </c>
      <c r="L372" s="1">
        <f t="shared" si="561"/>
        <v>0</v>
      </c>
      <c r="M372" s="1">
        <f t="shared" si="561"/>
        <v>0</v>
      </c>
      <c r="N372" s="7" t="s">
        <v>57</v>
      </c>
    </row>
    <row r="373" spans="1:14" x14ac:dyDescent="0.25">
      <c r="A373" s="9">
        <f t="shared" si="491"/>
        <v>93</v>
      </c>
      <c r="B373" s="2" t="e">
        <f>+VLOOKUP(B372,Hoja1!$A$1:$B$2,2,FALSE)</f>
        <v>#N/A</v>
      </c>
      <c r="C373" s="1" t="str">
        <f t="shared" ref="C373:E373" si="562">+C372</f>
        <v>103</v>
      </c>
      <c r="D373" s="1">
        <f t="shared" si="562"/>
        <v>0</v>
      </c>
      <c r="E373" s="12" t="str">
        <f t="shared" si="562"/>
        <v/>
      </c>
      <c r="F373" s="7"/>
      <c r="G373" s="2">
        <f>-'libro compras'!AB371</f>
        <v>0</v>
      </c>
      <c r="H373" s="7"/>
      <c r="I373" s="7" t="s">
        <v>36</v>
      </c>
      <c r="J373" s="7" t="str">
        <f>+CONCATENATE('libro compras'!C371," ",'libro compras'!D371)</f>
        <v xml:space="preserve"> </v>
      </c>
      <c r="K373" s="5">
        <f t="shared" ref="K373:M373" si="563">+K372</f>
        <v>0</v>
      </c>
      <c r="L373" s="1">
        <f t="shared" si="563"/>
        <v>0</v>
      </c>
      <c r="M373" s="1">
        <f t="shared" si="563"/>
        <v>0</v>
      </c>
      <c r="N373" s="7" t="s">
        <v>57</v>
      </c>
    </row>
    <row r="374" spans="1:14" x14ac:dyDescent="0.25">
      <c r="A374" s="9">
        <f t="shared" si="491"/>
        <v>94</v>
      </c>
      <c r="B374" s="5" t="str">
        <f>+'libro compras'!$AI$1</f>
        <v>281110</v>
      </c>
      <c r="C374" s="1" t="str">
        <f>+'libro compras'!Q375</f>
        <v>103</v>
      </c>
      <c r="D374" s="1">
        <f>+'libro compras'!R375</f>
        <v>0</v>
      </c>
      <c r="E374" s="12" t="str">
        <f>+'libro compras'!S375</f>
        <v/>
      </c>
      <c r="F374" s="7"/>
      <c r="G374" s="2">
        <f>+'libro compras'!AK375</f>
        <v>0</v>
      </c>
      <c r="H374" s="7"/>
      <c r="I374" s="7" t="s">
        <v>56</v>
      </c>
      <c r="J374" s="7" t="str">
        <f>+CONCATENATE('libro compras'!C375," ",'libro compras'!D375)</f>
        <v xml:space="preserve"> </v>
      </c>
      <c r="K374" s="5">
        <f>+'libro compras'!F375</f>
        <v>0</v>
      </c>
      <c r="L374" s="1">
        <f>+'libro compras'!C375</f>
        <v>0</v>
      </c>
      <c r="M374" s="5">
        <f>+'libro compras'!D375</f>
        <v>0</v>
      </c>
      <c r="N374" s="7" t="s">
        <v>57</v>
      </c>
    </row>
    <row r="375" spans="1:14" hidden="1" x14ac:dyDescent="0.25">
      <c r="A375" s="9">
        <f t="shared" si="491"/>
        <v>94</v>
      </c>
      <c r="B375" s="5" t="str">
        <f>+'libro compras'!$AJ$1</f>
        <v>401110</v>
      </c>
      <c r="C375" s="1" t="str">
        <f t="shared" ref="C375:E375" si="564">+C374</f>
        <v>103</v>
      </c>
      <c r="D375" s="1">
        <f t="shared" si="564"/>
        <v>0</v>
      </c>
      <c r="E375" s="12" t="str">
        <f t="shared" si="564"/>
        <v/>
      </c>
      <c r="F375" s="7"/>
      <c r="G375" s="2">
        <f>+'libro compras'!AJ375</f>
        <v>0</v>
      </c>
      <c r="H375" s="7"/>
      <c r="I375" s="7" t="s">
        <v>56</v>
      </c>
      <c r="J375" s="7" t="str">
        <f t="shared" ref="J375:M375" si="565">+J374</f>
        <v xml:space="preserve"> </v>
      </c>
      <c r="K375" s="5">
        <f t="shared" si="565"/>
        <v>0</v>
      </c>
      <c r="L375" s="1">
        <f t="shared" si="565"/>
        <v>0</v>
      </c>
      <c r="M375" s="1">
        <f t="shared" si="565"/>
        <v>0</v>
      </c>
      <c r="N375" s="7" t="s">
        <v>57</v>
      </c>
    </row>
    <row r="376" spans="1:14" x14ac:dyDescent="0.25">
      <c r="A376" s="9">
        <f t="shared" si="491"/>
        <v>94</v>
      </c>
      <c r="B376" s="5" t="e">
        <f>+'libro compras'!P375</f>
        <v>#N/A</v>
      </c>
      <c r="C376" s="1" t="str">
        <f t="shared" ref="C376:E376" si="566">+C375</f>
        <v>103</v>
      </c>
      <c r="D376" s="1">
        <f t="shared" si="566"/>
        <v>0</v>
      </c>
      <c r="E376" s="12" t="str">
        <f t="shared" si="566"/>
        <v/>
      </c>
      <c r="F376" s="7"/>
      <c r="G376" s="2">
        <f>-'libro compras'!AI375</f>
        <v>0</v>
      </c>
      <c r="H376" s="7"/>
      <c r="I376" s="7" t="s">
        <v>36</v>
      </c>
      <c r="J376" s="7" t="str">
        <f>+CONCATENATE('libro compras'!C375," ",'libro compras'!D375)</f>
        <v xml:space="preserve"> </v>
      </c>
      <c r="K376" s="5">
        <f t="shared" ref="K376:M376" si="567">+K375</f>
        <v>0</v>
      </c>
      <c r="L376" s="1">
        <f t="shared" si="567"/>
        <v>0</v>
      </c>
      <c r="M376" s="1">
        <f t="shared" si="567"/>
        <v>0</v>
      </c>
      <c r="N376" s="7" t="s">
        <v>57</v>
      </c>
    </row>
    <row r="377" spans="1:14" x14ac:dyDescent="0.25">
      <c r="A377" s="9">
        <f t="shared" si="491"/>
        <v>94</v>
      </c>
      <c r="B377" s="2" t="e">
        <f>+VLOOKUP(B376,Hoja1!$A$1:$B$2,2,FALSE)</f>
        <v>#N/A</v>
      </c>
      <c r="C377" s="1" t="str">
        <f t="shared" ref="C377:E377" si="568">+C376</f>
        <v>103</v>
      </c>
      <c r="D377" s="1">
        <f t="shared" si="568"/>
        <v>0</v>
      </c>
      <c r="E377" s="12" t="str">
        <f t="shared" si="568"/>
        <v/>
      </c>
      <c r="F377" s="7"/>
      <c r="G377" s="2">
        <f>-'libro compras'!AB375</f>
        <v>0</v>
      </c>
      <c r="H377" s="7"/>
      <c r="I377" s="7" t="s">
        <v>36</v>
      </c>
      <c r="J377" s="7" t="str">
        <f>+CONCATENATE('libro compras'!C375," ",'libro compras'!D375)</f>
        <v xml:space="preserve"> </v>
      </c>
      <c r="K377" s="5">
        <f t="shared" ref="K377:M377" si="569">+K376</f>
        <v>0</v>
      </c>
      <c r="L377" s="1">
        <f t="shared" si="569"/>
        <v>0</v>
      </c>
      <c r="M377" s="1">
        <f t="shared" si="569"/>
        <v>0</v>
      </c>
      <c r="N377" s="7" t="s">
        <v>57</v>
      </c>
    </row>
    <row r="378" spans="1:14" x14ac:dyDescent="0.25">
      <c r="A378" s="9">
        <f t="shared" si="491"/>
        <v>95</v>
      </c>
      <c r="B378" s="5" t="str">
        <f>+'libro compras'!$AI$1</f>
        <v>281110</v>
      </c>
      <c r="C378" s="1" t="str">
        <f>+'libro compras'!Q379</f>
        <v>103</v>
      </c>
      <c r="D378" s="1">
        <f>+'libro compras'!R379</f>
        <v>0</v>
      </c>
      <c r="E378" s="12" t="str">
        <f>+'libro compras'!S379</f>
        <v/>
      </c>
      <c r="F378" s="7"/>
      <c r="G378" s="2">
        <f>+'libro compras'!AK379</f>
        <v>0</v>
      </c>
      <c r="H378" s="7"/>
      <c r="I378" s="7" t="s">
        <v>56</v>
      </c>
      <c r="J378" s="7" t="str">
        <f>+CONCATENATE('libro compras'!C379," ",'libro compras'!D379)</f>
        <v xml:space="preserve"> </v>
      </c>
      <c r="K378" s="5">
        <f>+'libro compras'!F379</f>
        <v>0</v>
      </c>
      <c r="L378" s="1">
        <f>+'libro compras'!C379</f>
        <v>0</v>
      </c>
      <c r="M378" s="5">
        <f>+'libro compras'!D379</f>
        <v>0</v>
      </c>
      <c r="N378" s="7" t="s">
        <v>57</v>
      </c>
    </row>
    <row r="379" spans="1:14" hidden="1" x14ac:dyDescent="0.25">
      <c r="A379" s="9">
        <f t="shared" si="491"/>
        <v>95</v>
      </c>
      <c r="B379" s="5" t="str">
        <f>+'libro compras'!$AJ$1</f>
        <v>401110</v>
      </c>
      <c r="C379" s="1" t="str">
        <f t="shared" ref="C379:E379" si="570">+C378</f>
        <v>103</v>
      </c>
      <c r="D379" s="1">
        <f t="shared" si="570"/>
        <v>0</v>
      </c>
      <c r="E379" s="12" t="str">
        <f t="shared" si="570"/>
        <v/>
      </c>
      <c r="F379" s="7"/>
      <c r="G379" s="2">
        <f>+'libro compras'!AJ379</f>
        <v>0</v>
      </c>
      <c r="H379" s="7"/>
      <c r="I379" s="7" t="s">
        <v>56</v>
      </c>
      <c r="J379" s="7" t="str">
        <f t="shared" ref="J379:M379" si="571">+J378</f>
        <v xml:space="preserve"> </v>
      </c>
      <c r="K379" s="5">
        <f t="shared" si="571"/>
        <v>0</v>
      </c>
      <c r="L379" s="1">
        <f t="shared" si="571"/>
        <v>0</v>
      </c>
      <c r="M379" s="1">
        <f t="shared" si="571"/>
        <v>0</v>
      </c>
      <c r="N379" s="7" t="s">
        <v>57</v>
      </c>
    </row>
    <row r="380" spans="1:14" x14ac:dyDescent="0.25">
      <c r="A380" s="9">
        <f t="shared" si="491"/>
        <v>95</v>
      </c>
      <c r="B380" s="5" t="e">
        <f>+'libro compras'!P379</f>
        <v>#N/A</v>
      </c>
      <c r="C380" s="1" t="str">
        <f t="shared" ref="C380:E380" si="572">+C379</f>
        <v>103</v>
      </c>
      <c r="D380" s="1">
        <f t="shared" si="572"/>
        <v>0</v>
      </c>
      <c r="E380" s="12" t="str">
        <f t="shared" si="572"/>
        <v/>
      </c>
      <c r="F380" s="7"/>
      <c r="G380" s="2">
        <f>-'libro compras'!AI379</f>
        <v>0</v>
      </c>
      <c r="H380" s="7"/>
      <c r="I380" s="7" t="s">
        <v>36</v>
      </c>
      <c r="J380" s="7" t="str">
        <f>+CONCATENATE('libro compras'!C379," ",'libro compras'!D379)</f>
        <v xml:space="preserve"> </v>
      </c>
      <c r="K380" s="5">
        <f t="shared" ref="K380:M380" si="573">+K379</f>
        <v>0</v>
      </c>
      <c r="L380" s="1">
        <f t="shared" si="573"/>
        <v>0</v>
      </c>
      <c r="M380" s="1">
        <f t="shared" si="573"/>
        <v>0</v>
      </c>
      <c r="N380" s="7" t="s">
        <v>57</v>
      </c>
    </row>
    <row r="381" spans="1:14" x14ac:dyDescent="0.25">
      <c r="A381" s="9">
        <f t="shared" si="491"/>
        <v>95</v>
      </c>
      <c r="B381" s="2" t="e">
        <f>+VLOOKUP(B380,Hoja1!$A$1:$B$2,2,FALSE)</f>
        <v>#N/A</v>
      </c>
      <c r="C381" s="1" t="str">
        <f t="shared" ref="C381:E381" si="574">+C380</f>
        <v>103</v>
      </c>
      <c r="D381" s="1">
        <f t="shared" si="574"/>
        <v>0</v>
      </c>
      <c r="E381" s="12" t="str">
        <f t="shared" si="574"/>
        <v/>
      </c>
      <c r="F381" s="7"/>
      <c r="G381" s="2">
        <f>-'libro compras'!AB379</f>
        <v>0</v>
      </c>
      <c r="H381" s="7"/>
      <c r="I381" s="7" t="s">
        <v>36</v>
      </c>
      <c r="J381" s="7" t="str">
        <f>+CONCATENATE('libro compras'!C379," ",'libro compras'!D379)</f>
        <v xml:space="preserve"> </v>
      </c>
      <c r="K381" s="5">
        <f t="shared" ref="K381:M381" si="575">+K380</f>
        <v>0</v>
      </c>
      <c r="L381" s="1">
        <f t="shared" si="575"/>
        <v>0</v>
      </c>
      <c r="M381" s="1">
        <f t="shared" si="575"/>
        <v>0</v>
      </c>
      <c r="N381" s="7" t="s">
        <v>57</v>
      </c>
    </row>
    <row r="382" spans="1:14" x14ac:dyDescent="0.25">
      <c r="A382" s="9">
        <f t="shared" si="491"/>
        <v>96</v>
      </c>
      <c r="B382" s="5" t="str">
        <f>+'libro compras'!$AI$1</f>
        <v>281110</v>
      </c>
      <c r="C382" s="1" t="str">
        <f>+'libro compras'!Q383</f>
        <v>103</v>
      </c>
      <c r="D382" s="1">
        <f>+'libro compras'!R383</f>
        <v>0</v>
      </c>
      <c r="E382" s="12" t="str">
        <f>+'libro compras'!S383</f>
        <v/>
      </c>
      <c r="F382" s="7"/>
      <c r="G382" s="2">
        <f>+'libro compras'!AK383</f>
        <v>0</v>
      </c>
      <c r="H382" s="7"/>
      <c r="I382" s="7" t="s">
        <v>56</v>
      </c>
      <c r="J382" s="7" t="str">
        <f>+CONCATENATE('libro compras'!C383," ",'libro compras'!D383)</f>
        <v xml:space="preserve"> </v>
      </c>
      <c r="K382" s="5">
        <f>+'libro compras'!F383</f>
        <v>0</v>
      </c>
      <c r="L382" s="1">
        <f>+'libro compras'!C383</f>
        <v>0</v>
      </c>
      <c r="M382" s="5">
        <f>+'libro compras'!D383</f>
        <v>0</v>
      </c>
      <c r="N382" s="7" t="s">
        <v>57</v>
      </c>
    </row>
    <row r="383" spans="1:14" hidden="1" x14ac:dyDescent="0.25">
      <c r="A383" s="9">
        <f t="shared" si="491"/>
        <v>96</v>
      </c>
      <c r="B383" s="5" t="str">
        <f>+'libro compras'!$AJ$1</f>
        <v>401110</v>
      </c>
      <c r="C383" s="1" t="str">
        <f t="shared" ref="C383:E383" si="576">+C382</f>
        <v>103</v>
      </c>
      <c r="D383" s="1">
        <f t="shared" si="576"/>
        <v>0</v>
      </c>
      <c r="E383" s="12" t="str">
        <f t="shared" si="576"/>
        <v/>
      </c>
      <c r="F383" s="7"/>
      <c r="G383" s="2">
        <f>+'libro compras'!AJ383</f>
        <v>0</v>
      </c>
      <c r="H383" s="7"/>
      <c r="I383" s="7" t="s">
        <v>56</v>
      </c>
      <c r="J383" s="7" t="str">
        <f t="shared" ref="J383:M383" si="577">+J382</f>
        <v xml:space="preserve"> </v>
      </c>
      <c r="K383" s="5">
        <f t="shared" si="577"/>
        <v>0</v>
      </c>
      <c r="L383" s="1">
        <f t="shared" si="577"/>
        <v>0</v>
      </c>
      <c r="M383" s="1">
        <f t="shared" si="577"/>
        <v>0</v>
      </c>
      <c r="N383" s="7" t="s">
        <v>57</v>
      </c>
    </row>
    <row r="384" spans="1:14" x14ac:dyDescent="0.25">
      <c r="A384" s="9">
        <f t="shared" si="491"/>
        <v>96</v>
      </c>
      <c r="B384" s="5" t="e">
        <f>+'libro compras'!P383</f>
        <v>#N/A</v>
      </c>
      <c r="C384" s="1" t="str">
        <f t="shared" ref="C384:E384" si="578">+C383</f>
        <v>103</v>
      </c>
      <c r="D384" s="1">
        <f t="shared" si="578"/>
        <v>0</v>
      </c>
      <c r="E384" s="12" t="str">
        <f t="shared" si="578"/>
        <v/>
      </c>
      <c r="F384" s="7"/>
      <c r="G384" s="2">
        <f>-'libro compras'!AI383</f>
        <v>0</v>
      </c>
      <c r="H384" s="7"/>
      <c r="I384" s="7" t="s">
        <v>36</v>
      </c>
      <c r="J384" s="7" t="str">
        <f>+CONCATENATE('libro compras'!C383," ",'libro compras'!D383)</f>
        <v xml:space="preserve"> </v>
      </c>
      <c r="K384" s="5">
        <f t="shared" ref="K384:M384" si="579">+K383</f>
        <v>0</v>
      </c>
      <c r="L384" s="1">
        <f t="shared" si="579"/>
        <v>0</v>
      </c>
      <c r="M384" s="1">
        <f t="shared" si="579"/>
        <v>0</v>
      </c>
      <c r="N384" s="7" t="s">
        <v>57</v>
      </c>
    </row>
    <row r="385" spans="1:14" x14ac:dyDescent="0.25">
      <c r="A385" s="9">
        <f t="shared" si="491"/>
        <v>96</v>
      </c>
      <c r="B385" s="2" t="e">
        <f>+VLOOKUP(B384,Hoja1!$A$1:$B$2,2,FALSE)</f>
        <v>#N/A</v>
      </c>
      <c r="C385" s="1" t="str">
        <f t="shared" ref="C385:E385" si="580">+C384</f>
        <v>103</v>
      </c>
      <c r="D385" s="1">
        <f t="shared" si="580"/>
        <v>0</v>
      </c>
      <c r="E385" s="12" t="str">
        <f t="shared" si="580"/>
        <v/>
      </c>
      <c r="F385" s="7"/>
      <c r="G385" s="2">
        <f>-'libro compras'!AB383</f>
        <v>0</v>
      </c>
      <c r="H385" s="7"/>
      <c r="I385" s="7" t="s">
        <v>36</v>
      </c>
      <c r="J385" s="7" t="str">
        <f>+CONCATENATE('libro compras'!C383," ",'libro compras'!D383)</f>
        <v xml:space="preserve"> </v>
      </c>
      <c r="K385" s="5">
        <f t="shared" ref="K385:M385" si="581">+K384</f>
        <v>0</v>
      </c>
      <c r="L385" s="1">
        <f t="shared" si="581"/>
        <v>0</v>
      </c>
      <c r="M385" s="1">
        <f t="shared" si="581"/>
        <v>0</v>
      </c>
      <c r="N385" s="7" t="s">
        <v>57</v>
      </c>
    </row>
    <row r="386" spans="1:14" x14ac:dyDescent="0.25">
      <c r="A386" s="9">
        <f t="shared" si="491"/>
        <v>97</v>
      </c>
      <c r="B386" s="5" t="str">
        <f>+'libro compras'!$AI$1</f>
        <v>281110</v>
      </c>
      <c r="C386" s="1" t="str">
        <f>+'libro compras'!Q387</f>
        <v>103</v>
      </c>
      <c r="D386" s="1">
        <f>+'libro compras'!R387</f>
        <v>0</v>
      </c>
      <c r="E386" s="12" t="str">
        <f>+'libro compras'!S387</f>
        <v/>
      </c>
      <c r="F386" s="7"/>
      <c r="G386" s="2">
        <f>+'libro compras'!AK387</f>
        <v>0</v>
      </c>
      <c r="H386" s="7"/>
      <c r="I386" s="7" t="s">
        <v>56</v>
      </c>
      <c r="J386" s="7" t="str">
        <f>+CONCATENATE('libro compras'!C387," ",'libro compras'!D387)</f>
        <v xml:space="preserve"> </v>
      </c>
      <c r="K386" s="5">
        <f>+'libro compras'!F387</f>
        <v>0</v>
      </c>
      <c r="L386" s="1">
        <f>+'libro compras'!C387</f>
        <v>0</v>
      </c>
      <c r="M386" s="5">
        <f>+'libro compras'!D387</f>
        <v>0</v>
      </c>
      <c r="N386" s="7" t="s">
        <v>57</v>
      </c>
    </row>
    <row r="387" spans="1:14" hidden="1" x14ac:dyDescent="0.25">
      <c r="A387" s="9">
        <f t="shared" si="491"/>
        <v>97</v>
      </c>
      <c r="B387" s="5" t="str">
        <f>+'libro compras'!$AJ$1</f>
        <v>401110</v>
      </c>
      <c r="C387" s="1" t="str">
        <f t="shared" ref="C387:E387" si="582">+C386</f>
        <v>103</v>
      </c>
      <c r="D387" s="1">
        <f t="shared" si="582"/>
        <v>0</v>
      </c>
      <c r="E387" s="12" t="str">
        <f t="shared" si="582"/>
        <v/>
      </c>
      <c r="F387" s="7"/>
      <c r="G387" s="2">
        <f>+'libro compras'!AJ387</f>
        <v>0</v>
      </c>
      <c r="H387" s="7"/>
      <c r="I387" s="7" t="s">
        <v>56</v>
      </c>
      <c r="J387" s="7" t="str">
        <f t="shared" ref="J387:M387" si="583">+J386</f>
        <v xml:space="preserve"> </v>
      </c>
      <c r="K387" s="5">
        <f t="shared" si="583"/>
        <v>0</v>
      </c>
      <c r="L387" s="1">
        <f t="shared" si="583"/>
        <v>0</v>
      </c>
      <c r="M387" s="1">
        <f t="shared" si="583"/>
        <v>0</v>
      </c>
      <c r="N387" s="7" t="s">
        <v>57</v>
      </c>
    </row>
    <row r="388" spans="1:14" x14ac:dyDescent="0.25">
      <c r="A388" s="9">
        <f t="shared" si="491"/>
        <v>97</v>
      </c>
      <c r="B388" s="5" t="e">
        <f>+'libro compras'!P387</f>
        <v>#N/A</v>
      </c>
      <c r="C388" s="1" t="str">
        <f t="shared" ref="C388:E388" si="584">+C387</f>
        <v>103</v>
      </c>
      <c r="D388" s="1">
        <f t="shared" si="584"/>
        <v>0</v>
      </c>
      <c r="E388" s="12" t="str">
        <f t="shared" si="584"/>
        <v/>
      </c>
      <c r="F388" s="7"/>
      <c r="G388" s="2">
        <f>-'libro compras'!AI387</f>
        <v>0</v>
      </c>
      <c r="H388" s="7"/>
      <c r="I388" s="7" t="s">
        <v>36</v>
      </c>
      <c r="J388" s="7" t="str">
        <f>+CONCATENATE('libro compras'!C387," ",'libro compras'!D387)</f>
        <v xml:space="preserve"> </v>
      </c>
      <c r="K388" s="5">
        <f t="shared" ref="K388:M388" si="585">+K387</f>
        <v>0</v>
      </c>
      <c r="L388" s="1">
        <f t="shared" si="585"/>
        <v>0</v>
      </c>
      <c r="M388" s="1">
        <f t="shared" si="585"/>
        <v>0</v>
      </c>
      <c r="N388" s="7" t="s">
        <v>57</v>
      </c>
    </row>
    <row r="389" spans="1:14" x14ac:dyDescent="0.25">
      <c r="A389" s="9">
        <f t="shared" si="491"/>
        <v>97</v>
      </c>
      <c r="B389" s="2" t="e">
        <f>+VLOOKUP(B388,Hoja1!$A$1:$B$2,2,FALSE)</f>
        <v>#N/A</v>
      </c>
      <c r="C389" s="1" t="str">
        <f t="shared" ref="C389:E389" si="586">+C388</f>
        <v>103</v>
      </c>
      <c r="D389" s="1">
        <f t="shared" si="586"/>
        <v>0</v>
      </c>
      <c r="E389" s="12" t="str">
        <f t="shared" si="586"/>
        <v/>
      </c>
      <c r="F389" s="7"/>
      <c r="G389" s="2">
        <f>-'libro compras'!AB387</f>
        <v>0</v>
      </c>
      <c r="H389" s="7"/>
      <c r="I389" s="7" t="s">
        <v>36</v>
      </c>
      <c r="J389" s="7" t="str">
        <f>+CONCATENATE('libro compras'!C387," ",'libro compras'!D387)</f>
        <v xml:space="preserve"> </v>
      </c>
      <c r="K389" s="5">
        <f t="shared" ref="K389:M389" si="587">+K388</f>
        <v>0</v>
      </c>
      <c r="L389" s="1">
        <f t="shared" si="587"/>
        <v>0</v>
      </c>
      <c r="M389" s="1">
        <f t="shared" si="587"/>
        <v>0</v>
      </c>
      <c r="N389" s="7" t="s">
        <v>57</v>
      </c>
    </row>
    <row r="390" spans="1:14" x14ac:dyDescent="0.25">
      <c r="A390" s="9">
        <f t="shared" ref="A390:A453" si="588">1+A386</f>
        <v>98</v>
      </c>
      <c r="B390" s="5" t="str">
        <f>+'libro compras'!$AI$1</f>
        <v>281110</v>
      </c>
      <c r="C390" s="1" t="str">
        <f>+'libro compras'!Q391</f>
        <v>103</v>
      </c>
      <c r="D390" s="1">
        <f>+'libro compras'!R391</f>
        <v>0</v>
      </c>
      <c r="E390" s="12" t="str">
        <f>+'libro compras'!S391</f>
        <v/>
      </c>
      <c r="F390" s="7"/>
      <c r="G390" s="2">
        <f>+'libro compras'!AK391</f>
        <v>0</v>
      </c>
      <c r="H390" s="7"/>
      <c r="I390" s="7" t="s">
        <v>56</v>
      </c>
      <c r="J390" s="7" t="str">
        <f>+CONCATENATE('libro compras'!C391," ",'libro compras'!D391)</f>
        <v xml:space="preserve"> </v>
      </c>
      <c r="K390" s="5">
        <f>+'libro compras'!F391</f>
        <v>0</v>
      </c>
      <c r="L390" s="1">
        <f>+'libro compras'!C391</f>
        <v>0</v>
      </c>
      <c r="M390" s="5">
        <f>+'libro compras'!D391</f>
        <v>0</v>
      </c>
      <c r="N390" s="7" t="s">
        <v>57</v>
      </c>
    </row>
    <row r="391" spans="1:14" hidden="1" x14ac:dyDescent="0.25">
      <c r="A391" s="9">
        <f t="shared" si="588"/>
        <v>98</v>
      </c>
      <c r="B391" s="5" t="str">
        <f>+'libro compras'!$AJ$1</f>
        <v>401110</v>
      </c>
      <c r="C391" s="1" t="str">
        <f t="shared" ref="C391:E391" si="589">+C390</f>
        <v>103</v>
      </c>
      <c r="D391" s="1">
        <f t="shared" si="589"/>
        <v>0</v>
      </c>
      <c r="E391" s="12" t="str">
        <f t="shared" si="589"/>
        <v/>
      </c>
      <c r="F391" s="7"/>
      <c r="G391" s="2">
        <f>+'libro compras'!AJ391</f>
        <v>0</v>
      </c>
      <c r="H391" s="7"/>
      <c r="I391" s="7" t="s">
        <v>56</v>
      </c>
      <c r="J391" s="7" t="str">
        <f t="shared" ref="J391:M391" si="590">+J390</f>
        <v xml:space="preserve"> </v>
      </c>
      <c r="K391" s="5">
        <f t="shared" si="590"/>
        <v>0</v>
      </c>
      <c r="L391" s="1">
        <f t="shared" si="590"/>
        <v>0</v>
      </c>
      <c r="M391" s="1">
        <f t="shared" si="590"/>
        <v>0</v>
      </c>
      <c r="N391" s="7" t="s">
        <v>57</v>
      </c>
    </row>
    <row r="392" spans="1:14" x14ac:dyDescent="0.25">
      <c r="A392" s="9">
        <f t="shared" si="588"/>
        <v>98</v>
      </c>
      <c r="B392" s="5" t="e">
        <f>+'libro compras'!P391</f>
        <v>#N/A</v>
      </c>
      <c r="C392" s="1" t="str">
        <f t="shared" ref="C392:E392" si="591">+C391</f>
        <v>103</v>
      </c>
      <c r="D392" s="1">
        <f t="shared" si="591"/>
        <v>0</v>
      </c>
      <c r="E392" s="12" t="str">
        <f t="shared" si="591"/>
        <v/>
      </c>
      <c r="F392" s="7"/>
      <c r="G392" s="2">
        <f>-'libro compras'!AI391</f>
        <v>0</v>
      </c>
      <c r="H392" s="7"/>
      <c r="I392" s="7" t="s">
        <v>36</v>
      </c>
      <c r="J392" s="7" t="str">
        <f>+CONCATENATE('libro compras'!C391," ",'libro compras'!D391)</f>
        <v xml:space="preserve"> </v>
      </c>
      <c r="K392" s="5">
        <f t="shared" ref="K392:M392" si="592">+K391</f>
        <v>0</v>
      </c>
      <c r="L392" s="1">
        <f t="shared" si="592"/>
        <v>0</v>
      </c>
      <c r="M392" s="1">
        <f t="shared" si="592"/>
        <v>0</v>
      </c>
      <c r="N392" s="7" t="s">
        <v>57</v>
      </c>
    </row>
    <row r="393" spans="1:14" x14ac:dyDescent="0.25">
      <c r="A393" s="9">
        <f t="shared" si="588"/>
        <v>98</v>
      </c>
      <c r="B393" s="2" t="e">
        <f>+VLOOKUP(B392,Hoja1!$A$1:$B$2,2,FALSE)</f>
        <v>#N/A</v>
      </c>
      <c r="C393" s="1" t="str">
        <f t="shared" ref="C393:E393" si="593">+C392</f>
        <v>103</v>
      </c>
      <c r="D393" s="1">
        <f t="shared" si="593"/>
        <v>0</v>
      </c>
      <c r="E393" s="12" t="str">
        <f t="shared" si="593"/>
        <v/>
      </c>
      <c r="F393" s="7"/>
      <c r="G393" s="2">
        <f>-'libro compras'!AB391</f>
        <v>0</v>
      </c>
      <c r="H393" s="7"/>
      <c r="I393" s="7" t="s">
        <v>36</v>
      </c>
      <c r="J393" s="7" t="str">
        <f>+CONCATENATE('libro compras'!C391," ",'libro compras'!D391)</f>
        <v xml:space="preserve"> </v>
      </c>
      <c r="K393" s="5">
        <f t="shared" ref="K393:M393" si="594">+K392</f>
        <v>0</v>
      </c>
      <c r="L393" s="1">
        <f t="shared" si="594"/>
        <v>0</v>
      </c>
      <c r="M393" s="1">
        <f t="shared" si="594"/>
        <v>0</v>
      </c>
      <c r="N393" s="7" t="s">
        <v>57</v>
      </c>
    </row>
    <row r="394" spans="1:14" x14ac:dyDescent="0.25">
      <c r="A394" s="9">
        <f t="shared" si="588"/>
        <v>99</v>
      </c>
      <c r="B394" s="5" t="str">
        <f>+'libro compras'!$AI$1</f>
        <v>281110</v>
      </c>
      <c r="C394" s="1" t="str">
        <f>+'libro compras'!Q395</f>
        <v>103</v>
      </c>
      <c r="D394" s="1">
        <f>+'libro compras'!R395</f>
        <v>0</v>
      </c>
      <c r="E394" s="12" t="str">
        <f>+'libro compras'!S395</f>
        <v/>
      </c>
      <c r="F394" s="7"/>
      <c r="G394" s="2">
        <f>+'libro compras'!AK395</f>
        <v>0</v>
      </c>
      <c r="H394" s="7"/>
      <c r="I394" s="7" t="s">
        <v>56</v>
      </c>
      <c r="J394" s="7" t="str">
        <f>+CONCATENATE('libro compras'!C395," ",'libro compras'!D395)</f>
        <v xml:space="preserve"> </v>
      </c>
      <c r="K394" s="5">
        <f>+'libro compras'!F395</f>
        <v>0</v>
      </c>
      <c r="L394" s="1">
        <f>+'libro compras'!C395</f>
        <v>0</v>
      </c>
      <c r="M394" s="5">
        <f>+'libro compras'!D395</f>
        <v>0</v>
      </c>
      <c r="N394" s="7" t="s">
        <v>57</v>
      </c>
    </row>
    <row r="395" spans="1:14" hidden="1" x14ac:dyDescent="0.25">
      <c r="A395" s="9">
        <f t="shared" si="588"/>
        <v>99</v>
      </c>
      <c r="B395" s="5" t="str">
        <f>+'libro compras'!$AJ$1</f>
        <v>401110</v>
      </c>
      <c r="C395" s="1" t="str">
        <f t="shared" ref="C395:E395" si="595">+C394</f>
        <v>103</v>
      </c>
      <c r="D395" s="1">
        <f t="shared" si="595"/>
        <v>0</v>
      </c>
      <c r="E395" s="12" t="str">
        <f t="shared" si="595"/>
        <v/>
      </c>
      <c r="F395" s="7"/>
      <c r="G395" s="2">
        <f>+'libro compras'!AJ395</f>
        <v>0</v>
      </c>
      <c r="H395" s="7"/>
      <c r="I395" s="7" t="s">
        <v>56</v>
      </c>
      <c r="J395" s="7" t="str">
        <f t="shared" ref="J395:M395" si="596">+J394</f>
        <v xml:space="preserve"> </v>
      </c>
      <c r="K395" s="5">
        <f t="shared" si="596"/>
        <v>0</v>
      </c>
      <c r="L395" s="1">
        <f t="shared" si="596"/>
        <v>0</v>
      </c>
      <c r="M395" s="1">
        <f t="shared" si="596"/>
        <v>0</v>
      </c>
      <c r="N395" s="7" t="s">
        <v>57</v>
      </c>
    </row>
    <row r="396" spans="1:14" x14ac:dyDescent="0.25">
      <c r="A396" s="9">
        <f t="shared" si="588"/>
        <v>99</v>
      </c>
      <c r="B396" s="5" t="e">
        <f>+'libro compras'!P395</f>
        <v>#N/A</v>
      </c>
      <c r="C396" s="1" t="str">
        <f t="shared" ref="C396:E396" si="597">+C395</f>
        <v>103</v>
      </c>
      <c r="D396" s="1">
        <f t="shared" si="597"/>
        <v>0</v>
      </c>
      <c r="E396" s="12" t="str">
        <f t="shared" si="597"/>
        <v/>
      </c>
      <c r="F396" s="7"/>
      <c r="G396" s="2">
        <f>-'libro compras'!AI395</f>
        <v>0</v>
      </c>
      <c r="H396" s="7"/>
      <c r="I396" s="7" t="s">
        <v>36</v>
      </c>
      <c r="J396" s="7" t="str">
        <f>+CONCATENATE('libro compras'!C395," ",'libro compras'!D395)</f>
        <v xml:space="preserve"> </v>
      </c>
      <c r="K396" s="5">
        <f t="shared" ref="K396:M396" si="598">+K395</f>
        <v>0</v>
      </c>
      <c r="L396" s="1">
        <f t="shared" si="598"/>
        <v>0</v>
      </c>
      <c r="M396" s="1">
        <f t="shared" si="598"/>
        <v>0</v>
      </c>
      <c r="N396" s="7" t="s">
        <v>57</v>
      </c>
    </row>
    <row r="397" spans="1:14" x14ac:dyDescent="0.25">
      <c r="A397" s="9">
        <f t="shared" si="588"/>
        <v>99</v>
      </c>
      <c r="B397" s="2" t="e">
        <f>+VLOOKUP(B396,Hoja1!$A$1:$B$2,2,FALSE)</f>
        <v>#N/A</v>
      </c>
      <c r="C397" s="1" t="str">
        <f t="shared" ref="C397:E397" si="599">+C396</f>
        <v>103</v>
      </c>
      <c r="D397" s="1">
        <f t="shared" si="599"/>
        <v>0</v>
      </c>
      <c r="E397" s="12" t="str">
        <f t="shared" si="599"/>
        <v/>
      </c>
      <c r="F397" s="7"/>
      <c r="G397" s="2">
        <f>-'libro compras'!AB395</f>
        <v>0</v>
      </c>
      <c r="H397" s="7"/>
      <c r="I397" s="7" t="s">
        <v>36</v>
      </c>
      <c r="J397" s="7" t="str">
        <f>+CONCATENATE('libro compras'!C395," ",'libro compras'!D395)</f>
        <v xml:space="preserve"> </v>
      </c>
      <c r="K397" s="5">
        <f t="shared" ref="K397:M397" si="600">+K396</f>
        <v>0</v>
      </c>
      <c r="L397" s="1">
        <f t="shared" si="600"/>
        <v>0</v>
      </c>
      <c r="M397" s="1">
        <f t="shared" si="600"/>
        <v>0</v>
      </c>
      <c r="N397" s="7" t="s">
        <v>57</v>
      </c>
    </row>
    <row r="398" spans="1:14" x14ac:dyDescent="0.25">
      <c r="A398" s="9">
        <f t="shared" si="588"/>
        <v>100</v>
      </c>
      <c r="B398" s="5" t="str">
        <f>+'libro compras'!$AI$1</f>
        <v>281110</v>
      </c>
      <c r="C398" s="1" t="str">
        <f>+'libro compras'!Q399</f>
        <v>103</v>
      </c>
      <c r="D398" s="1">
        <f>+'libro compras'!R399</f>
        <v>0</v>
      </c>
      <c r="E398" s="12" t="str">
        <f>+'libro compras'!S399</f>
        <v/>
      </c>
      <c r="F398" s="7"/>
      <c r="G398" s="2">
        <f>+'libro compras'!AK399</f>
        <v>0</v>
      </c>
      <c r="H398" s="7"/>
      <c r="I398" s="7" t="s">
        <v>56</v>
      </c>
      <c r="J398" s="7" t="str">
        <f>+CONCATENATE('libro compras'!C399," ",'libro compras'!D399)</f>
        <v xml:space="preserve"> </v>
      </c>
      <c r="K398" s="5">
        <f>+'libro compras'!F399</f>
        <v>0</v>
      </c>
      <c r="L398" s="1">
        <f>+'libro compras'!C399</f>
        <v>0</v>
      </c>
      <c r="M398" s="5">
        <f>+'libro compras'!D399</f>
        <v>0</v>
      </c>
      <c r="N398" s="7" t="s">
        <v>57</v>
      </c>
    </row>
    <row r="399" spans="1:14" hidden="1" x14ac:dyDescent="0.25">
      <c r="A399" s="9">
        <f t="shared" si="588"/>
        <v>100</v>
      </c>
      <c r="B399" s="5" t="str">
        <f>+'libro compras'!$AJ$1</f>
        <v>401110</v>
      </c>
      <c r="C399" s="1" t="str">
        <f t="shared" ref="C399:E399" si="601">+C398</f>
        <v>103</v>
      </c>
      <c r="D399" s="1">
        <f t="shared" si="601"/>
        <v>0</v>
      </c>
      <c r="E399" s="12" t="str">
        <f t="shared" si="601"/>
        <v/>
      </c>
      <c r="F399" s="7"/>
      <c r="G399" s="2">
        <f>+'libro compras'!AJ399</f>
        <v>0</v>
      </c>
      <c r="H399" s="7"/>
      <c r="I399" s="7" t="s">
        <v>56</v>
      </c>
      <c r="J399" s="7" t="str">
        <f t="shared" ref="J399:M399" si="602">+J398</f>
        <v xml:space="preserve"> </v>
      </c>
      <c r="K399" s="5">
        <f t="shared" si="602"/>
        <v>0</v>
      </c>
      <c r="L399" s="1">
        <f t="shared" si="602"/>
        <v>0</v>
      </c>
      <c r="M399" s="1">
        <f t="shared" si="602"/>
        <v>0</v>
      </c>
      <c r="N399" s="7" t="s">
        <v>57</v>
      </c>
    </row>
    <row r="400" spans="1:14" x14ac:dyDescent="0.25">
      <c r="A400" s="9">
        <f t="shared" si="588"/>
        <v>100</v>
      </c>
      <c r="B400" s="5" t="e">
        <f>+'libro compras'!P399</f>
        <v>#N/A</v>
      </c>
      <c r="C400" s="1" t="str">
        <f t="shared" ref="C400:E400" si="603">+C399</f>
        <v>103</v>
      </c>
      <c r="D400" s="1">
        <f t="shared" si="603"/>
        <v>0</v>
      </c>
      <c r="E400" s="12" t="str">
        <f t="shared" si="603"/>
        <v/>
      </c>
      <c r="F400" s="7"/>
      <c r="G400" s="2">
        <f>-'libro compras'!AI399</f>
        <v>0</v>
      </c>
      <c r="H400" s="7"/>
      <c r="I400" s="7" t="s">
        <v>36</v>
      </c>
      <c r="J400" s="7" t="str">
        <f>+CONCATENATE('libro compras'!C399," ",'libro compras'!D399)</f>
        <v xml:space="preserve"> </v>
      </c>
      <c r="K400" s="5">
        <f t="shared" ref="K400:M400" si="604">+K399</f>
        <v>0</v>
      </c>
      <c r="L400" s="1">
        <f t="shared" si="604"/>
        <v>0</v>
      </c>
      <c r="M400" s="1">
        <f t="shared" si="604"/>
        <v>0</v>
      </c>
      <c r="N400" s="7" t="s">
        <v>57</v>
      </c>
    </row>
    <row r="401" spans="1:14" x14ac:dyDescent="0.25">
      <c r="A401" s="9">
        <f t="shared" si="588"/>
        <v>100</v>
      </c>
      <c r="B401" s="2" t="e">
        <f>+VLOOKUP(B400,Hoja1!$A$1:$B$2,2,FALSE)</f>
        <v>#N/A</v>
      </c>
      <c r="C401" s="1" t="str">
        <f t="shared" ref="C401:E401" si="605">+C400</f>
        <v>103</v>
      </c>
      <c r="D401" s="1">
        <f t="shared" si="605"/>
        <v>0</v>
      </c>
      <c r="E401" s="12" t="str">
        <f t="shared" si="605"/>
        <v/>
      </c>
      <c r="F401" s="7"/>
      <c r="G401" s="2">
        <f>-'libro compras'!AB399</f>
        <v>0</v>
      </c>
      <c r="H401" s="7"/>
      <c r="I401" s="7" t="s">
        <v>36</v>
      </c>
      <c r="J401" s="7" t="str">
        <f>+CONCATENATE('libro compras'!C399," ",'libro compras'!D399)</f>
        <v xml:space="preserve"> </v>
      </c>
      <c r="K401" s="5">
        <f t="shared" ref="K401:M401" si="606">+K400</f>
        <v>0</v>
      </c>
      <c r="L401" s="1">
        <f t="shared" si="606"/>
        <v>0</v>
      </c>
      <c r="M401" s="1">
        <f t="shared" si="606"/>
        <v>0</v>
      </c>
      <c r="N401" s="7" t="s">
        <v>57</v>
      </c>
    </row>
    <row r="402" spans="1:14" x14ac:dyDescent="0.25">
      <c r="A402" s="9">
        <f t="shared" si="588"/>
        <v>101</v>
      </c>
      <c r="B402" s="5" t="str">
        <f>+'libro compras'!$AI$1</f>
        <v>281110</v>
      </c>
      <c r="C402" s="1" t="str">
        <f>+'libro compras'!Q403</f>
        <v>103</v>
      </c>
      <c r="D402" s="1">
        <f>+'libro compras'!R403</f>
        <v>0</v>
      </c>
      <c r="E402" s="12" t="str">
        <f>+'libro compras'!S403</f>
        <v/>
      </c>
      <c r="F402" s="7"/>
      <c r="G402" s="2">
        <f>+'libro compras'!AK403</f>
        <v>0</v>
      </c>
      <c r="H402" s="7"/>
      <c r="I402" s="7" t="s">
        <v>56</v>
      </c>
      <c r="J402" s="7" t="str">
        <f>+CONCATENATE('libro compras'!C403," ",'libro compras'!D403)</f>
        <v xml:space="preserve"> </v>
      </c>
      <c r="K402" s="5">
        <f>+'libro compras'!F403</f>
        <v>0</v>
      </c>
      <c r="L402" s="1">
        <f>+'libro compras'!C403</f>
        <v>0</v>
      </c>
      <c r="M402" s="5">
        <f>+'libro compras'!D403</f>
        <v>0</v>
      </c>
      <c r="N402" s="7" t="s">
        <v>57</v>
      </c>
    </row>
    <row r="403" spans="1:14" hidden="1" x14ac:dyDescent="0.25">
      <c r="A403" s="9">
        <f t="shared" si="588"/>
        <v>101</v>
      </c>
      <c r="B403" s="5" t="str">
        <f>+'libro compras'!$AJ$1</f>
        <v>401110</v>
      </c>
      <c r="C403" s="1" t="str">
        <f t="shared" ref="C403:E403" si="607">+C402</f>
        <v>103</v>
      </c>
      <c r="D403" s="1">
        <f t="shared" si="607"/>
        <v>0</v>
      </c>
      <c r="E403" s="12" t="str">
        <f t="shared" si="607"/>
        <v/>
      </c>
      <c r="F403" s="7"/>
      <c r="G403" s="2">
        <f>+'libro compras'!AJ403</f>
        <v>0</v>
      </c>
      <c r="H403" s="7"/>
      <c r="I403" s="7" t="s">
        <v>56</v>
      </c>
      <c r="J403" s="7" t="str">
        <f t="shared" ref="J403:M403" si="608">+J402</f>
        <v xml:space="preserve"> </v>
      </c>
      <c r="K403" s="5">
        <f t="shared" si="608"/>
        <v>0</v>
      </c>
      <c r="L403" s="1">
        <f t="shared" si="608"/>
        <v>0</v>
      </c>
      <c r="M403" s="1">
        <f t="shared" si="608"/>
        <v>0</v>
      </c>
      <c r="N403" s="7" t="s">
        <v>57</v>
      </c>
    </row>
    <row r="404" spans="1:14" x14ac:dyDescent="0.25">
      <c r="A404" s="9">
        <f t="shared" si="588"/>
        <v>101</v>
      </c>
      <c r="B404" s="5" t="e">
        <f>+'libro compras'!P403</f>
        <v>#N/A</v>
      </c>
      <c r="C404" s="1" t="str">
        <f t="shared" ref="C404:E404" si="609">+C403</f>
        <v>103</v>
      </c>
      <c r="D404" s="1">
        <f t="shared" si="609"/>
        <v>0</v>
      </c>
      <c r="E404" s="12" t="str">
        <f t="shared" si="609"/>
        <v/>
      </c>
      <c r="F404" s="7"/>
      <c r="G404" s="2">
        <f>-'libro compras'!AI403</f>
        <v>0</v>
      </c>
      <c r="H404" s="7"/>
      <c r="I404" s="7" t="s">
        <v>36</v>
      </c>
      <c r="J404" s="7" t="str">
        <f>+CONCATENATE('libro compras'!C403," ",'libro compras'!D403)</f>
        <v xml:space="preserve"> </v>
      </c>
      <c r="K404" s="5">
        <f t="shared" ref="K404:M404" si="610">+K403</f>
        <v>0</v>
      </c>
      <c r="L404" s="1">
        <f t="shared" si="610"/>
        <v>0</v>
      </c>
      <c r="M404" s="1">
        <f t="shared" si="610"/>
        <v>0</v>
      </c>
      <c r="N404" s="7" t="s">
        <v>57</v>
      </c>
    </row>
    <row r="405" spans="1:14" x14ac:dyDescent="0.25">
      <c r="A405" s="9">
        <f t="shared" si="588"/>
        <v>101</v>
      </c>
      <c r="B405" s="2" t="e">
        <f>+VLOOKUP(B404,Hoja1!$A$1:$B$2,2,FALSE)</f>
        <v>#N/A</v>
      </c>
      <c r="C405" s="1" t="str">
        <f t="shared" ref="C405:E405" si="611">+C404</f>
        <v>103</v>
      </c>
      <c r="D405" s="1">
        <f t="shared" si="611"/>
        <v>0</v>
      </c>
      <c r="E405" s="12" t="str">
        <f t="shared" si="611"/>
        <v/>
      </c>
      <c r="F405" s="7"/>
      <c r="G405" s="2">
        <f>-'libro compras'!AB403</f>
        <v>0</v>
      </c>
      <c r="H405" s="7"/>
      <c r="I405" s="7" t="s">
        <v>36</v>
      </c>
      <c r="J405" s="7" t="str">
        <f>+CONCATENATE('libro compras'!C403," ",'libro compras'!D403)</f>
        <v xml:space="preserve"> </v>
      </c>
      <c r="K405" s="5">
        <f t="shared" ref="K405:M405" si="612">+K404</f>
        <v>0</v>
      </c>
      <c r="L405" s="1">
        <f t="shared" si="612"/>
        <v>0</v>
      </c>
      <c r="M405" s="1">
        <f t="shared" si="612"/>
        <v>0</v>
      </c>
      <c r="N405" s="7" t="s">
        <v>57</v>
      </c>
    </row>
    <row r="406" spans="1:14" x14ac:dyDescent="0.25">
      <c r="A406" s="9">
        <f t="shared" si="588"/>
        <v>102</v>
      </c>
      <c r="B406" s="5" t="str">
        <f>+'libro compras'!$AI$1</f>
        <v>281110</v>
      </c>
      <c r="C406" s="1" t="str">
        <f>+'libro compras'!Q407</f>
        <v>103</v>
      </c>
      <c r="D406" s="1">
        <f>+'libro compras'!R407</f>
        <v>0</v>
      </c>
      <c r="E406" s="12" t="str">
        <f>+'libro compras'!S407</f>
        <v/>
      </c>
      <c r="F406" s="7"/>
      <c r="G406" s="2">
        <f>+'libro compras'!AK407</f>
        <v>0</v>
      </c>
      <c r="H406" s="7"/>
      <c r="I406" s="7" t="s">
        <v>56</v>
      </c>
      <c r="J406" s="7" t="str">
        <f>+CONCATENATE('libro compras'!C407," ",'libro compras'!D407)</f>
        <v xml:space="preserve"> </v>
      </c>
      <c r="K406" s="5">
        <f>+'libro compras'!F407</f>
        <v>0</v>
      </c>
      <c r="L406" s="1">
        <f>+'libro compras'!C407</f>
        <v>0</v>
      </c>
      <c r="M406" s="5">
        <f>+'libro compras'!D407</f>
        <v>0</v>
      </c>
      <c r="N406" s="7" t="s">
        <v>57</v>
      </c>
    </row>
    <row r="407" spans="1:14" hidden="1" x14ac:dyDescent="0.25">
      <c r="A407" s="9">
        <f t="shared" si="588"/>
        <v>102</v>
      </c>
      <c r="B407" s="5" t="str">
        <f>+'libro compras'!$AJ$1</f>
        <v>401110</v>
      </c>
      <c r="C407" s="1" t="str">
        <f t="shared" ref="C407:E407" si="613">+C406</f>
        <v>103</v>
      </c>
      <c r="D407" s="1">
        <f t="shared" si="613"/>
        <v>0</v>
      </c>
      <c r="E407" s="12" t="str">
        <f t="shared" si="613"/>
        <v/>
      </c>
      <c r="F407" s="7"/>
      <c r="G407" s="2">
        <f>+'libro compras'!AJ407</f>
        <v>0</v>
      </c>
      <c r="H407" s="7"/>
      <c r="I407" s="7" t="s">
        <v>56</v>
      </c>
      <c r="J407" s="7" t="str">
        <f t="shared" ref="J407:M407" si="614">+J406</f>
        <v xml:space="preserve"> </v>
      </c>
      <c r="K407" s="5">
        <f t="shared" si="614"/>
        <v>0</v>
      </c>
      <c r="L407" s="1">
        <f t="shared" si="614"/>
        <v>0</v>
      </c>
      <c r="M407" s="1">
        <f t="shared" si="614"/>
        <v>0</v>
      </c>
      <c r="N407" s="7" t="s">
        <v>57</v>
      </c>
    </row>
    <row r="408" spans="1:14" x14ac:dyDescent="0.25">
      <c r="A408" s="9">
        <f t="shared" si="588"/>
        <v>102</v>
      </c>
      <c r="B408" s="5" t="e">
        <f>+'libro compras'!P407</f>
        <v>#N/A</v>
      </c>
      <c r="C408" s="1" t="str">
        <f t="shared" ref="C408:E408" si="615">+C407</f>
        <v>103</v>
      </c>
      <c r="D408" s="1">
        <f t="shared" si="615"/>
        <v>0</v>
      </c>
      <c r="E408" s="12" t="str">
        <f t="shared" si="615"/>
        <v/>
      </c>
      <c r="F408" s="7"/>
      <c r="G408" s="2">
        <f>-'libro compras'!AI407</f>
        <v>0</v>
      </c>
      <c r="H408" s="7"/>
      <c r="I408" s="7" t="s">
        <v>36</v>
      </c>
      <c r="J408" s="7" t="str">
        <f>+CONCATENATE('libro compras'!C407," ",'libro compras'!D407)</f>
        <v xml:space="preserve"> </v>
      </c>
      <c r="K408" s="5">
        <f t="shared" ref="K408:M408" si="616">+K407</f>
        <v>0</v>
      </c>
      <c r="L408" s="1">
        <f t="shared" si="616"/>
        <v>0</v>
      </c>
      <c r="M408" s="1">
        <f t="shared" si="616"/>
        <v>0</v>
      </c>
      <c r="N408" s="7" t="s">
        <v>57</v>
      </c>
    </row>
    <row r="409" spans="1:14" x14ac:dyDescent="0.25">
      <c r="A409" s="9">
        <f t="shared" si="588"/>
        <v>102</v>
      </c>
      <c r="B409" s="2" t="e">
        <f>+VLOOKUP(B408,Hoja1!$A$1:$B$2,2,FALSE)</f>
        <v>#N/A</v>
      </c>
      <c r="C409" s="1" t="str">
        <f t="shared" ref="C409:E409" si="617">+C408</f>
        <v>103</v>
      </c>
      <c r="D409" s="1">
        <f t="shared" si="617"/>
        <v>0</v>
      </c>
      <c r="E409" s="12" t="str">
        <f t="shared" si="617"/>
        <v/>
      </c>
      <c r="F409" s="7"/>
      <c r="G409" s="2">
        <f>-'libro compras'!AB407</f>
        <v>0</v>
      </c>
      <c r="H409" s="7"/>
      <c r="I409" s="7" t="s">
        <v>36</v>
      </c>
      <c r="J409" s="7" t="str">
        <f>+CONCATENATE('libro compras'!C407," ",'libro compras'!D407)</f>
        <v xml:space="preserve"> </v>
      </c>
      <c r="K409" s="5">
        <f t="shared" ref="K409:M409" si="618">+K408</f>
        <v>0</v>
      </c>
      <c r="L409" s="1">
        <f t="shared" si="618"/>
        <v>0</v>
      </c>
      <c r="M409" s="1">
        <f t="shared" si="618"/>
        <v>0</v>
      </c>
      <c r="N409" s="7" t="s">
        <v>57</v>
      </c>
    </row>
    <row r="410" spans="1:14" x14ac:dyDescent="0.25">
      <c r="A410" s="9">
        <f t="shared" si="588"/>
        <v>103</v>
      </c>
      <c r="B410" s="5" t="str">
        <f>+'libro compras'!$AI$1</f>
        <v>281110</v>
      </c>
      <c r="C410" s="1" t="str">
        <f>+'libro compras'!Q411</f>
        <v>103</v>
      </c>
      <c r="D410" s="1">
        <f>+'libro compras'!R411</f>
        <v>0</v>
      </c>
      <c r="E410" s="12" t="str">
        <f>+'libro compras'!S411</f>
        <v/>
      </c>
      <c r="F410" s="7"/>
      <c r="G410" s="2">
        <f>+'libro compras'!AK411</f>
        <v>0</v>
      </c>
      <c r="H410" s="7"/>
      <c r="I410" s="7" t="s">
        <v>56</v>
      </c>
      <c r="J410" s="7" t="str">
        <f>+CONCATENATE('libro compras'!C411," ",'libro compras'!D411)</f>
        <v xml:space="preserve"> </v>
      </c>
      <c r="K410" s="5">
        <f>+'libro compras'!F411</f>
        <v>0</v>
      </c>
      <c r="L410" s="1">
        <f>+'libro compras'!C411</f>
        <v>0</v>
      </c>
      <c r="M410" s="5">
        <f>+'libro compras'!D411</f>
        <v>0</v>
      </c>
      <c r="N410" s="7" t="s">
        <v>57</v>
      </c>
    </row>
    <row r="411" spans="1:14" hidden="1" x14ac:dyDescent="0.25">
      <c r="A411" s="9">
        <f t="shared" si="588"/>
        <v>103</v>
      </c>
      <c r="B411" s="5" t="str">
        <f>+'libro compras'!$AJ$1</f>
        <v>401110</v>
      </c>
      <c r="C411" s="1" t="str">
        <f t="shared" ref="C411:E411" si="619">+C410</f>
        <v>103</v>
      </c>
      <c r="D411" s="1">
        <f t="shared" si="619"/>
        <v>0</v>
      </c>
      <c r="E411" s="12" t="str">
        <f t="shared" si="619"/>
        <v/>
      </c>
      <c r="F411" s="7"/>
      <c r="G411" s="2">
        <f>+'libro compras'!AJ411</f>
        <v>0</v>
      </c>
      <c r="H411" s="7"/>
      <c r="I411" s="7" t="s">
        <v>56</v>
      </c>
      <c r="J411" s="7" t="str">
        <f t="shared" ref="J411:M411" si="620">+J410</f>
        <v xml:space="preserve"> </v>
      </c>
      <c r="K411" s="5">
        <f t="shared" si="620"/>
        <v>0</v>
      </c>
      <c r="L411" s="1">
        <f t="shared" si="620"/>
        <v>0</v>
      </c>
      <c r="M411" s="1">
        <f t="shared" si="620"/>
        <v>0</v>
      </c>
      <c r="N411" s="7" t="s">
        <v>57</v>
      </c>
    </row>
    <row r="412" spans="1:14" x14ac:dyDescent="0.25">
      <c r="A412" s="9">
        <f t="shared" si="588"/>
        <v>103</v>
      </c>
      <c r="B412" s="5" t="e">
        <f>+'libro compras'!P411</f>
        <v>#N/A</v>
      </c>
      <c r="C412" s="1" t="str">
        <f t="shared" ref="C412:E412" si="621">+C411</f>
        <v>103</v>
      </c>
      <c r="D412" s="1">
        <f t="shared" si="621"/>
        <v>0</v>
      </c>
      <c r="E412" s="12" t="str">
        <f t="shared" si="621"/>
        <v/>
      </c>
      <c r="F412" s="7"/>
      <c r="G412" s="2">
        <f>-'libro compras'!AI411</f>
        <v>0</v>
      </c>
      <c r="H412" s="7"/>
      <c r="I412" s="7" t="s">
        <v>36</v>
      </c>
      <c r="J412" s="7" t="str">
        <f>+CONCATENATE('libro compras'!C411," ",'libro compras'!D411)</f>
        <v xml:space="preserve"> </v>
      </c>
      <c r="K412" s="5">
        <f t="shared" ref="K412:M412" si="622">+K411</f>
        <v>0</v>
      </c>
      <c r="L412" s="1">
        <f t="shared" si="622"/>
        <v>0</v>
      </c>
      <c r="M412" s="1">
        <f t="shared" si="622"/>
        <v>0</v>
      </c>
      <c r="N412" s="7" t="s">
        <v>57</v>
      </c>
    </row>
    <row r="413" spans="1:14" x14ac:dyDescent="0.25">
      <c r="A413" s="9">
        <f t="shared" si="588"/>
        <v>103</v>
      </c>
      <c r="B413" s="2" t="e">
        <f>+VLOOKUP(B412,Hoja1!$A$1:$B$2,2,FALSE)</f>
        <v>#N/A</v>
      </c>
      <c r="C413" s="1" t="str">
        <f t="shared" ref="C413:E413" si="623">+C412</f>
        <v>103</v>
      </c>
      <c r="D413" s="1">
        <f t="shared" si="623"/>
        <v>0</v>
      </c>
      <c r="E413" s="12" t="str">
        <f t="shared" si="623"/>
        <v/>
      </c>
      <c r="F413" s="7"/>
      <c r="G413" s="2">
        <f>-'libro compras'!AB411</f>
        <v>0</v>
      </c>
      <c r="H413" s="7"/>
      <c r="I413" s="7" t="s">
        <v>36</v>
      </c>
      <c r="J413" s="7" t="str">
        <f>+CONCATENATE('libro compras'!C411," ",'libro compras'!D411)</f>
        <v xml:space="preserve"> </v>
      </c>
      <c r="K413" s="5">
        <f t="shared" ref="K413:M413" si="624">+K412</f>
        <v>0</v>
      </c>
      <c r="L413" s="1">
        <f t="shared" si="624"/>
        <v>0</v>
      </c>
      <c r="M413" s="1">
        <f t="shared" si="624"/>
        <v>0</v>
      </c>
      <c r="N413" s="7" t="s">
        <v>57</v>
      </c>
    </row>
    <row r="414" spans="1:14" x14ac:dyDescent="0.25">
      <c r="A414" s="9">
        <f t="shared" si="588"/>
        <v>104</v>
      </c>
      <c r="B414" s="5" t="str">
        <f>+'libro compras'!$AI$1</f>
        <v>281110</v>
      </c>
      <c r="C414" s="1" t="str">
        <f>+'libro compras'!Q415</f>
        <v>103</v>
      </c>
      <c r="D414" s="1">
        <f>+'libro compras'!R415</f>
        <v>0</v>
      </c>
      <c r="E414" s="12" t="str">
        <f>+'libro compras'!S415</f>
        <v/>
      </c>
      <c r="F414" s="7"/>
      <c r="G414" s="2">
        <f>+'libro compras'!AK415</f>
        <v>0</v>
      </c>
      <c r="H414" s="7"/>
      <c r="I414" s="7" t="s">
        <v>56</v>
      </c>
      <c r="J414" s="7" t="str">
        <f>+CONCATENATE('libro compras'!C415," ",'libro compras'!D415)</f>
        <v xml:space="preserve"> </v>
      </c>
      <c r="K414" s="5">
        <f>+'libro compras'!F415</f>
        <v>0</v>
      </c>
      <c r="L414" s="1">
        <f>+'libro compras'!C415</f>
        <v>0</v>
      </c>
      <c r="M414" s="5">
        <f>+'libro compras'!D415</f>
        <v>0</v>
      </c>
      <c r="N414" s="7" t="s">
        <v>57</v>
      </c>
    </row>
    <row r="415" spans="1:14" hidden="1" x14ac:dyDescent="0.25">
      <c r="A415" s="9">
        <f t="shared" si="588"/>
        <v>104</v>
      </c>
      <c r="B415" s="5" t="str">
        <f>+'libro compras'!$AJ$1</f>
        <v>401110</v>
      </c>
      <c r="C415" s="1" t="str">
        <f t="shared" ref="C415:E415" si="625">+C414</f>
        <v>103</v>
      </c>
      <c r="D415" s="1">
        <f t="shared" si="625"/>
        <v>0</v>
      </c>
      <c r="E415" s="12" t="str">
        <f t="shared" si="625"/>
        <v/>
      </c>
      <c r="F415" s="7"/>
      <c r="G415" s="2">
        <f>+'libro compras'!AJ415</f>
        <v>0</v>
      </c>
      <c r="H415" s="7"/>
      <c r="I415" s="7" t="s">
        <v>56</v>
      </c>
      <c r="J415" s="7" t="str">
        <f t="shared" ref="J415:M415" si="626">+J414</f>
        <v xml:space="preserve"> </v>
      </c>
      <c r="K415" s="5">
        <f t="shared" si="626"/>
        <v>0</v>
      </c>
      <c r="L415" s="1">
        <f t="shared" si="626"/>
        <v>0</v>
      </c>
      <c r="M415" s="1">
        <f t="shared" si="626"/>
        <v>0</v>
      </c>
      <c r="N415" s="7" t="s">
        <v>57</v>
      </c>
    </row>
    <row r="416" spans="1:14" x14ac:dyDescent="0.25">
      <c r="A416" s="9">
        <f t="shared" si="588"/>
        <v>104</v>
      </c>
      <c r="B416" s="5" t="e">
        <f>+'libro compras'!P415</f>
        <v>#N/A</v>
      </c>
      <c r="C416" s="1" t="str">
        <f t="shared" ref="C416:E416" si="627">+C415</f>
        <v>103</v>
      </c>
      <c r="D416" s="1">
        <f t="shared" si="627"/>
        <v>0</v>
      </c>
      <c r="E416" s="12" t="str">
        <f t="shared" si="627"/>
        <v/>
      </c>
      <c r="F416" s="7"/>
      <c r="G416" s="2">
        <f>-'libro compras'!AI415</f>
        <v>0</v>
      </c>
      <c r="H416" s="7"/>
      <c r="I416" s="7" t="s">
        <v>36</v>
      </c>
      <c r="J416" s="7" t="str">
        <f>+CONCATENATE('libro compras'!C415," ",'libro compras'!D415)</f>
        <v xml:space="preserve"> </v>
      </c>
      <c r="K416" s="5">
        <f t="shared" ref="K416:M416" si="628">+K415</f>
        <v>0</v>
      </c>
      <c r="L416" s="1">
        <f t="shared" si="628"/>
        <v>0</v>
      </c>
      <c r="M416" s="1">
        <f t="shared" si="628"/>
        <v>0</v>
      </c>
      <c r="N416" s="7" t="s">
        <v>57</v>
      </c>
    </row>
    <row r="417" spans="1:14" x14ac:dyDescent="0.25">
      <c r="A417" s="9">
        <f t="shared" si="588"/>
        <v>104</v>
      </c>
      <c r="B417" s="2" t="e">
        <f>+VLOOKUP(B416,Hoja1!$A$1:$B$2,2,FALSE)</f>
        <v>#N/A</v>
      </c>
      <c r="C417" s="1" t="str">
        <f t="shared" ref="C417:E417" si="629">+C416</f>
        <v>103</v>
      </c>
      <c r="D417" s="1">
        <f t="shared" si="629"/>
        <v>0</v>
      </c>
      <c r="E417" s="12" t="str">
        <f t="shared" si="629"/>
        <v/>
      </c>
      <c r="F417" s="7"/>
      <c r="G417" s="2">
        <f>-'libro compras'!AB415</f>
        <v>0</v>
      </c>
      <c r="H417" s="7"/>
      <c r="I417" s="7" t="s">
        <v>36</v>
      </c>
      <c r="J417" s="7" t="str">
        <f>+CONCATENATE('libro compras'!C415," ",'libro compras'!D415)</f>
        <v xml:space="preserve"> </v>
      </c>
      <c r="K417" s="5">
        <f t="shared" ref="K417:M417" si="630">+K416</f>
        <v>0</v>
      </c>
      <c r="L417" s="1">
        <f t="shared" si="630"/>
        <v>0</v>
      </c>
      <c r="M417" s="1">
        <f t="shared" si="630"/>
        <v>0</v>
      </c>
      <c r="N417" s="7" t="s">
        <v>57</v>
      </c>
    </row>
    <row r="418" spans="1:14" x14ac:dyDescent="0.25">
      <c r="A418" s="9">
        <f t="shared" si="588"/>
        <v>105</v>
      </c>
      <c r="B418" s="5" t="str">
        <f>+'libro compras'!$AI$1</f>
        <v>281110</v>
      </c>
      <c r="C418" s="1" t="str">
        <f>+'libro compras'!Q419</f>
        <v>103</v>
      </c>
      <c r="D418" s="1">
        <f>+'libro compras'!R419</f>
        <v>0</v>
      </c>
      <c r="E418" s="12" t="str">
        <f>+'libro compras'!S419</f>
        <v/>
      </c>
      <c r="F418" s="7"/>
      <c r="G418" s="2">
        <f>+'libro compras'!AK419</f>
        <v>0</v>
      </c>
      <c r="H418" s="7"/>
      <c r="I418" s="7" t="s">
        <v>56</v>
      </c>
      <c r="J418" s="7" t="str">
        <f>+CONCATENATE('libro compras'!C419," ",'libro compras'!D419)</f>
        <v xml:space="preserve"> </v>
      </c>
      <c r="K418" s="5">
        <f>+'libro compras'!F419</f>
        <v>0</v>
      </c>
      <c r="L418" s="1">
        <f>+'libro compras'!C419</f>
        <v>0</v>
      </c>
      <c r="M418" s="5">
        <f>+'libro compras'!D419</f>
        <v>0</v>
      </c>
      <c r="N418" s="7" t="s">
        <v>57</v>
      </c>
    </row>
    <row r="419" spans="1:14" hidden="1" x14ac:dyDescent="0.25">
      <c r="A419" s="9">
        <f t="shared" si="588"/>
        <v>105</v>
      </c>
      <c r="B419" s="5" t="str">
        <f>+'libro compras'!$AJ$1</f>
        <v>401110</v>
      </c>
      <c r="C419" s="1" t="str">
        <f t="shared" ref="C419:E419" si="631">+C418</f>
        <v>103</v>
      </c>
      <c r="D419" s="1">
        <f t="shared" si="631"/>
        <v>0</v>
      </c>
      <c r="E419" s="12" t="str">
        <f t="shared" si="631"/>
        <v/>
      </c>
      <c r="F419" s="7"/>
      <c r="G419" s="2">
        <f>+'libro compras'!AJ419</f>
        <v>0</v>
      </c>
      <c r="H419" s="7"/>
      <c r="I419" s="7" t="s">
        <v>56</v>
      </c>
      <c r="J419" s="7" t="str">
        <f t="shared" ref="J419:M419" si="632">+J418</f>
        <v xml:space="preserve"> </v>
      </c>
      <c r="K419" s="5">
        <f t="shared" si="632"/>
        <v>0</v>
      </c>
      <c r="L419" s="1">
        <f t="shared" si="632"/>
        <v>0</v>
      </c>
      <c r="M419" s="1">
        <f t="shared" si="632"/>
        <v>0</v>
      </c>
      <c r="N419" s="7" t="s">
        <v>57</v>
      </c>
    </row>
    <row r="420" spans="1:14" x14ac:dyDescent="0.25">
      <c r="A420" s="9">
        <f t="shared" si="588"/>
        <v>105</v>
      </c>
      <c r="B420" s="5" t="e">
        <f>+'libro compras'!P419</f>
        <v>#N/A</v>
      </c>
      <c r="C420" s="1" t="str">
        <f t="shared" ref="C420:E420" si="633">+C419</f>
        <v>103</v>
      </c>
      <c r="D420" s="1">
        <f t="shared" si="633"/>
        <v>0</v>
      </c>
      <c r="E420" s="12" t="str">
        <f t="shared" si="633"/>
        <v/>
      </c>
      <c r="F420" s="7"/>
      <c r="G420" s="2">
        <f>-'libro compras'!AI419</f>
        <v>0</v>
      </c>
      <c r="H420" s="7"/>
      <c r="I420" s="7" t="s">
        <v>36</v>
      </c>
      <c r="J420" s="7" t="str">
        <f>+CONCATENATE('libro compras'!C419," ",'libro compras'!D419)</f>
        <v xml:space="preserve"> </v>
      </c>
      <c r="K420" s="5">
        <f t="shared" ref="K420:M420" si="634">+K419</f>
        <v>0</v>
      </c>
      <c r="L420" s="1">
        <f t="shared" si="634"/>
        <v>0</v>
      </c>
      <c r="M420" s="1">
        <f t="shared" si="634"/>
        <v>0</v>
      </c>
      <c r="N420" s="7" t="s">
        <v>57</v>
      </c>
    </row>
    <row r="421" spans="1:14" x14ac:dyDescent="0.25">
      <c r="A421" s="9">
        <f t="shared" si="588"/>
        <v>105</v>
      </c>
      <c r="B421" s="2" t="e">
        <f>+VLOOKUP(B420,Hoja1!$A$1:$B$2,2,FALSE)</f>
        <v>#N/A</v>
      </c>
      <c r="C421" s="1" t="str">
        <f t="shared" ref="C421:E421" si="635">+C420</f>
        <v>103</v>
      </c>
      <c r="D421" s="1">
        <f t="shared" si="635"/>
        <v>0</v>
      </c>
      <c r="E421" s="12" t="str">
        <f t="shared" si="635"/>
        <v/>
      </c>
      <c r="F421" s="7"/>
      <c r="G421" s="2">
        <f>-'libro compras'!AB419</f>
        <v>0</v>
      </c>
      <c r="H421" s="7"/>
      <c r="I421" s="7" t="s">
        <v>36</v>
      </c>
      <c r="J421" s="7" t="str">
        <f>+CONCATENATE('libro compras'!C419," ",'libro compras'!D419)</f>
        <v xml:space="preserve"> </v>
      </c>
      <c r="K421" s="5">
        <f t="shared" ref="K421:M421" si="636">+K420</f>
        <v>0</v>
      </c>
      <c r="L421" s="1">
        <f t="shared" si="636"/>
        <v>0</v>
      </c>
      <c r="M421" s="1">
        <f t="shared" si="636"/>
        <v>0</v>
      </c>
      <c r="N421" s="7" t="s">
        <v>57</v>
      </c>
    </row>
    <row r="422" spans="1:14" x14ac:dyDescent="0.25">
      <c r="A422" s="9">
        <f t="shared" si="588"/>
        <v>106</v>
      </c>
      <c r="B422" s="5" t="str">
        <f>+'libro compras'!$AI$1</f>
        <v>281110</v>
      </c>
      <c r="C422" s="1" t="str">
        <f>+'libro compras'!Q423</f>
        <v>103</v>
      </c>
      <c r="D422" s="1">
        <f>+'libro compras'!R423</f>
        <v>0</v>
      </c>
      <c r="E422" s="12" t="str">
        <f>+'libro compras'!S423</f>
        <v/>
      </c>
      <c r="F422" s="7"/>
      <c r="G422" s="2">
        <f>+'libro compras'!AK423</f>
        <v>0</v>
      </c>
      <c r="H422" s="7"/>
      <c r="I422" s="7" t="s">
        <v>56</v>
      </c>
      <c r="J422" s="7" t="str">
        <f>+CONCATENATE('libro compras'!C423," ",'libro compras'!D423)</f>
        <v xml:space="preserve"> </v>
      </c>
      <c r="K422" s="5">
        <f>+'libro compras'!F423</f>
        <v>0</v>
      </c>
      <c r="L422" s="1">
        <f>+'libro compras'!C423</f>
        <v>0</v>
      </c>
      <c r="M422" s="5">
        <f>+'libro compras'!D423</f>
        <v>0</v>
      </c>
      <c r="N422" s="7" t="s">
        <v>57</v>
      </c>
    </row>
    <row r="423" spans="1:14" hidden="1" x14ac:dyDescent="0.25">
      <c r="A423" s="9">
        <f t="shared" si="588"/>
        <v>106</v>
      </c>
      <c r="B423" s="5" t="str">
        <f>+'libro compras'!$AJ$1</f>
        <v>401110</v>
      </c>
      <c r="C423" s="1" t="str">
        <f t="shared" ref="C423:E423" si="637">+C422</f>
        <v>103</v>
      </c>
      <c r="D423" s="1">
        <f t="shared" si="637"/>
        <v>0</v>
      </c>
      <c r="E423" s="12" t="str">
        <f t="shared" si="637"/>
        <v/>
      </c>
      <c r="F423" s="7"/>
      <c r="G423" s="2">
        <f>+'libro compras'!AJ423</f>
        <v>0</v>
      </c>
      <c r="H423" s="7"/>
      <c r="I423" s="7" t="s">
        <v>56</v>
      </c>
      <c r="J423" s="7" t="str">
        <f t="shared" ref="J423:M423" si="638">+J422</f>
        <v xml:space="preserve"> </v>
      </c>
      <c r="K423" s="5">
        <f t="shared" si="638"/>
        <v>0</v>
      </c>
      <c r="L423" s="1">
        <f t="shared" si="638"/>
        <v>0</v>
      </c>
      <c r="M423" s="1">
        <f t="shared" si="638"/>
        <v>0</v>
      </c>
      <c r="N423" s="7" t="s">
        <v>57</v>
      </c>
    </row>
    <row r="424" spans="1:14" x14ac:dyDescent="0.25">
      <c r="A424" s="9">
        <f t="shared" si="588"/>
        <v>106</v>
      </c>
      <c r="B424" s="5" t="e">
        <f>+'libro compras'!P423</f>
        <v>#N/A</v>
      </c>
      <c r="C424" s="1" t="str">
        <f t="shared" ref="C424:E424" si="639">+C423</f>
        <v>103</v>
      </c>
      <c r="D424" s="1">
        <f t="shared" si="639"/>
        <v>0</v>
      </c>
      <c r="E424" s="12" t="str">
        <f t="shared" si="639"/>
        <v/>
      </c>
      <c r="F424" s="7"/>
      <c r="G424" s="2">
        <f>-'libro compras'!AI423</f>
        <v>0</v>
      </c>
      <c r="H424" s="7"/>
      <c r="I424" s="7" t="s">
        <v>36</v>
      </c>
      <c r="J424" s="7" t="str">
        <f>+CONCATENATE('libro compras'!C423," ",'libro compras'!D423)</f>
        <v xml:space="preserve"> </v>
      </c>
      <c r="K424" s="5">
        <f t="shared" ref="K424:M424" si="640">+K423</f>
        <v>0</v>
      </c>
      <c r="L424" s="1">
        <f t="shared" si="640"/>
        <v>0</v>
      </c>
      <c r="M424" s="1">
        <f t="shared" si="640"/>
        <v>0</v>
      </c>
      <c r="N424" s="7" t="s">
        <v>57</v>
      </c>
    </row>
    <row r="425" spans="1:14" x14ac:dyDescent="0.25">
      <c r="A425" s="9">
        <f t="shared" si="588"/>
        <v>106</v>
      </c>
      <c r="B425" s="2" t="e">
        <f>+VLOOKUP(B424,Hoja1!$A$1:$B$2,2,FALSE)</f>
        <v>#N/A</v>
      </c>
      <c r="C425" s="1" t="str">
        <f t="shared" ref="C425:E425" si="641">+C424</f>
        <v>103</v>
      </c>
      <c r="D425" s="1">
        <f t="shared" si="641"/>
        <v>0</v>
      </c>
      <c r="E425" s="12" t="str">
        <f t="shared" si="641"/>
        <v/>
      </c>
      <c r="F425" s="7"/>
      <c r="G425" s="2">
        <f>-'libro compras'!AB423</f>
        <v>0</v>
      </c>
      <c r="H425" s="7"/>
      <c r="I425" s="7" t="s">
        <v>36</v>
      </c>
      <c r="J425" s="7" t="str">
        <f>+CONCATENATE('libro compras'!C423," ",'libro compras'!D423)</f>
        <v xml:space="preserve"> </v>
      </c>
      <c r="K425" s="5">
        <f t="shared" ref="K425:M425" si="642">+K424</f>
        <v>0</v>
      </c>
      <c r="L425" s="1">
        <f t="shared" si="642"/>
        <v>0</v>
      </c>
      <c r="M425" s="1">
        <f t="shared" si="642"/>
        <v>0</v>
      </c>
      <c r="N425" s="7" t="s">
        <v>57</v>
      </c>
    </row>
    <row r="426" spans="1:14" x14ac:dyDescent="0.25">
      <c r="A426" s="9">
        <f t="shared" si="588"/>
        <v>107</v>
      </c>
      <c r="B426" s="5" t="str">
        <f>+'libro compras'!$AI$1</f>
        <v>281110</v>
      </c>
      <c r="C426" s="1" t="str">
        <f>+'libro compras'!Q427</f>
        <v>103</v>
      </c>
      <c r="D426" s="1">
        <f>+'libro compras'!R427</f>
        <v>0</v>
      </c>
      <c r="E426" s="12" t="str">
        <f>+'libro compras'!S427</f>
        <v/>
      </c>
      <c r="F426" s="7"/>
      <c r="G426" s="2">
        <f>+'libro compras'!AK427</f>
        <v>0</v>
      </c>
      <c r="H426" s="7"/>
      <c r="I426" s="7" t="s">
        <v>56</v>
      </c>
      <c r="J426" s="7" t="str">
        <f>+CONCATENATE('libro compras'!C427," ",'libro compras'!D427)</f>
        <v xml:space="preserve"> </v>
      </c>
      <c r="K426" s="5">
        <f>+'libro compras'!F427</f>
        <v>0</v>
      </c>
      <c r="L426" s="1">
        <f>+'libro compras'!C427</f>
        <v>0</v>
      </c>
      <c r="M426" s="5">
        <f>+'libro compras'!D427</f>
        <v>0</v>
      </c>
      <c r="N426" s="7" t="s">
        <v>57</v>
      </c>
    </row>
    <row r="427" spans="1:14" hidden="1" x14ac:dyDescent="0.25">
      <c r="A427" s="9">
        <f t="shared" si="588"/>
        <v>107</v>
      </c>
      <c r="B427" s="5" t="str">
        <f>+'libro compras'!$AJ$1</f>
        <v>401110</v>
      </c>
      <c r="C427" s="1" t="str">
        <f t="shared" ref="C427:E427" si="643">+C426</f>
        <v>103</v>
      </c>
      <c r="D427" s="1">
        <f t="shared" si="643"/>
        <v>0</v>
      </c>
      <c r="E427" s="12" t="str">
        <f t="shared" si="643"/>
        <v/>
      </c>
      <c r="F427" s="7"/>
      <c r="G427" s="2">
        <f>+'libro compras'!AJ427</f>
        <v>0</v>
      </c>
      <c r="H427" s="7"/>
      <c r="I427" s="7" t="s">
        <v>56</v>
      </c>
      <c r="J427" s="7" t="str">
        <f t="shared" ref="J427:M427" si="644">+J426</f>
        <v xml:space="preserve"> </v>
      </c>
      <c r="K427" s="5">
        <f t="shared" si="644"/>
        <v>0</v>
      </c>
      <c r="L427" s="1">
        <f t="shared" si="644"/>
        <v>0</v>
      </c>
      <c r="M427" s="1">
        <f t="shared" si="644"/>
        <v>0</v>
      </c>
      <c r="N427" s="7" t="s">
        <v>57</v>
      </c>
    </row>
    <row r="428" spans="1:14" x14ac:dyDescent="0.25">
      <c r="A428" s="9">
        <f t="shared" si="588"/>
        <v>107</v>
      </c>
      <c r="B428" s="5" t="e">
        <f>+'libro compras'!P427</f>
        <v>#N/A</v>
      </c>
      <c r="C428" s="1" t="str">
        <f t="shared" ref="C428:E428" si="645">+C427</f>
        <v>103</v>
      </c>
      <c r="D428" s="1">
        <f t="shared" si="645"/>
        <v>0</v>
      </c>
      <c r="E428" s="12" t="str">
        <f t="shared" si="645"/>
        <v/>
      </c>
      <c r="F428" s="7"/>
      <c r="G428" s="2">
        <f>-'libro compras'!AI427</f>
        <v>0</v>
      </c>
      <c r="H428" s="7"/>
      <c r="I428" s="7" t="s">
        <v>36</v>
      </c>
      <c r="J428" s="7" t="str">
        <f>+CONCATENATE('libro compras'!C427," ",'libro compras'!D427)</f>
        <v xml:space="preserve"> </v>
      </c>
      <c r="K428" s="5">
        <f t="shared" ref="K428:M428" si="646">+K427</f>
        <v>0</v>
      </c>
      <c r="L428" s="1">
        <f t="shared" si="646"/>
        <v>0</v>
      </c>
      <c r="M428" s="1">
        <f t="shared" si="646"/>
        <v>0</v>
      </c>
      <c r="N428" s="7" t="s">
        <v>57</v>
      </c>
    </row>
    <row r="429" spans="1:14" x14ac:dyDescent="0.25">
      <c r="A429" s="9">
        <f t="shared" si="588"/>
        <v>107</v>
      </c>
      <c r="B429" s="2" t="e">
        <f>+VLOOKUP(B428,Hoja1!$A$1:$B$2,2,FALSE)</f>
        <v>#N/A</v>
      </c>
      <c r="C429" s="1" t="str">
        <f t="shared" ref="C429:E429" si="647">+C428</f>
        <v>103</v>
      </c>
      <c r="D429" s="1">
        <f t="shared" si="647"/>
        <v>0</v>
      </c>
      <c r="E429" s="12" t="str">
        <f t="shared" si="647"/>
        <v/>
      </c>
      <c r="F429" s="7"/>
      <c r="G429" s="2">
        <f>-'libro compras'!AB427</f>
        <v>0</v>
      </c>
      <c r="H429" s="7"/>
      <c r="I429" s="7" t="s">
        <v>36</v>
      </c>
      <c r="J429" s="7" t="str">
        <f>+CONCATENATE('libro compras'!C427," ",'libro compras'!D427)</f>
        <v xml:space="preserve"> </v>
      </c>
      <c r="K429" s="5">
        <f t="shared" ref="K429:M429" si="648">+K428</f>
        <v>0</v>
      </c>
      <c r="L429" s="1">
        <f t="shared" si="648"/>
        <v>0</v>
      </c>
      <c r="M429" s="1">
        <f t="shared" si="648"/>
        <v>0</v>
      </c>
      <c r="N429" s="7" t="s">
        <v>57</v>
      </c>
    </row>
    <row r="430" spans="1:14" x14ac:dyDescent="0.25">
      <c r="A430" s="9">
        <f t="shared" si="588"/>
        <v>108</v>
      </c>
      <c r="B430" s="5" t="str">
        <f>+'libro compras'!$AI$1</f>
        <v>281110</v>
      </c>
      <c r="C430" s="1" t="str">
        <f>+'libro compras'!Q431</f>
        <v>103</v>
      </c>
      <c r="D430" s="1">
        <f>+'libro compras'!R431</f>
        <v>0</v>
      </c>
      <c r="E430" s="12" t="str">
        <f>+'libro compras'!S431</f>
        <v/>
      </c>
      <c r="F430" s="7"/>
      <c r="G430" s="2">
        <f>+'libro compras'!AK431</f>
        <v>0</v>
      </c>
      <c r="H430" s="7"/>
      <c r="I430" s="7" t="s">
        <v>56</v>
      </c>
      <c r="J430" s="7" t="str">
        <f>+CONCATENATE('libro compras'!C431," ",'libro compras'!D431)</f>
        <v xml:space="preserve"> </v>
      </c>
      <c r="K430" s="5">
        <f>+'libro compras'!F431</f>
        <v>0</v>
      </c>
      <c r="L430" s="1">
        <f>+'libro compras'!C431</f>
        <v>0</v>
      </c>
      <c r="M430" s="5">
        <f>+'libro compras'!D431</f>
        <v>0</v>
      </c>
      <c r="N430" s="7" t="s">
        <v>57</v>
      </c>
    </row>
    <row r="431" spans="1:14" hidden="1" x14ac:dyDescent="0.25">
      <c r="A431" s="9">
        <f t="shared" si="588"/>
        <v>108</v>
      </c>
      <c r="B431" s="5" t="str">
        <f>+'libro compras'!$AJ$1</f>
        <v>401110</v>
      </c>
      <c r="C431" s="1" t="str">
        <f t="shared" ref="C431:E431" si="649">+C430</f>
        <v>103</v>
      </c>
      <c r="D431" s="1">
        <f t="shared" si="649"/>
        <v>0</v>
      </c>
      <c r="E431" s="12" t="str">
        <f t="shared" si="649"/>
        <v/>
      </c>
      <c r="F431" s="7"/>
      <c r="G431" s="2">
        <f>+'libro compras'!AJ431</f>
        <v>0</v>
      </c>
      <c r="H431" s="7"/>
      <c r="I431" s="7" t="s">
        <v>56</v>
      </c>
      <c r="J431" s="7" t="str">
        <f t="shared" ref="J431:M431" si="650">+J430</f>
        <v xml:space="preserve"> </v>
      </c>
      <c r="K431" s="5">
        <f t="shared" si="650"/>
        <v>0</v>
      </c>
      <c r="L431" s="1">
        <f t="shared" si="650"/>
        <v>0</v>
      </c>
      <c r="M431" s="1">
        <f t="shared" si="650"/>
        <v>0</v>
      </c>
      <c r="N431" s="7" t="s">
        <v>57</v>
      </c>
    </row>
    <row r="432" spans="1:14" x14ac:dyDescent="0.25">
      <c r="A432" s="9">
        <f t="shared" si="588"/>
        <v>108</v>
      </c>
      <c r="B432" s="5" t="e">
        <f>+'libro compras'!P431</f>
        <v>#N/A</v>
      </c>
      <c r="C432" s="1" t="str">
        <f t="shared" ref="C432:E432" si="651">+C431</f>
        <v>103</v>
      </c>
      <c r="D432" s="1">
        <f t="shared" si="651"/>
        <v>0</v>
      </c>
      <c r="E432" s="12" t="str">
        <f t="shared" si="651"/>
        <v/>
      </c>
      <c r="F432" s="7"/>
      <c r="G432" s="2">
        <f>-'libro compras'!AI431</f>
        <v>0</v>
      </c>
      <c r="H432" s="7"/>
      <c r="I432" s="7" t="s">
        <v>36</v>
      </c>
      <c r="J432" s="7" t="str">
        <f>+CONCATENATE('libro compras'!C431," ",'libro compras'!D431)</f>
        <v xml:space="preserve"> </v>
      </c>
      <c r="K432" s="5">
        <f t="shared" ref="K432:M432" si="652">+K431</f>
        <v>0</v>
      </c>
      <c r="L432" s="1">
        <f t="shared" si="652"/>
        <v>0</v>
      </c>
      <c r="M432" s="1">
        <f t="shared" si="652"/>
        <v>0</v>
      </c>
      <c r="N432" s="7" t="s">
        <v>57</v>
      </c>
    </row>
    <row r="433" spans="1:14" x14ac:dyDescent="0.25">
      <c r="A433" s="9">
        <f t="shared" si="588"/>
        <v>108</v>
      </c>
      <c r="B433" s="2" t="e">
        <f>+VLOOKUP(B432,Hoja1!$A$1:$B$2,2,FALSE)</f>
        <v>#N/A</v>
      </c>
      <c r="C433" s="1" t="str">
        <f t="shared" ref="C433:E433" si="653">+C432</f>
        <v>103</v>
      </c>
      <c r="D433" s="1">
        <f t="shared" si="653"/>
        <v>0</v>
      </c>
      <c r="E433" s="12" t="str">
        <f t="shared" si="653"/>
        <v/>
      </c>
      <c r="F433" s="7"/>
      <c r="G433" s="2">
        <f>-'libro compras'!AB431</f>
        <v>0</v>
      </c>
      <c r="H433" s="7"/>
      <c r="I433" s="7" t="s">
        <v>36</v>
      </c>
      <c r="J433" s="7" t="str">
        <f>+CONCATENATE('libro compras'!C431," ",'libro compras'!D431)</f>
        <v xml:space="preserve"> </v>
      </c>
      <c r="K433" s="5">
        <f t="shared" ref="K433:M433" si="654">+K432</f>
        <v>0</v>
      </c>
      <c r="L433" s="1">
        <f t="shared" si="654"/>
        <v>0</v>
      </c>
      <c r="M433" s="1">
        <f t="shared" si="654"/>
        <v>0</v>
      </c>
      <c r="N433" s="7" t="s">
        <v>57</v>
      </c>
    </row>
    <row r="434" spans="1:14" x14ac:dyDescent="0.25">
      <c r="A434" s="9">
        <f t="shared" si="588"/>
        <v>109</v>
      </c>
      <c r="B434" s="5" t="str">
        <f>+'libro compras'!$AI$1</f>
        <v>281110</v>
      </c>
      <c r="C434" s="1" t="str">
        <f>+'libro compras'!Q435</f>
        <v>103</v>
      </c>
      <c r="D434" s="1">
        <f>+'libro compras'!R435</f>
        <v>0</v>
      </c>
      <c r="E434" s="12" t="str">
        <f>+'libro compras'!S435</f>
        <v/>
      </c>
      <c r="F434" s="7"/>
      <c r="G434" s="2">
        <f>+'libro compras'!AK435</f>
        <v>0</v>
      </c>
      <c r="H434" s="7"/>
      <c r="I434" s="7" t="s">
        <v>56</v>
      </c>
      <c r="J434" s="7" t="str">
        <f>+CONCATENATE('libro compras'!C435," ",'libro compras'!D435)</f>
        <v xml:space="preserve"> </v>
      </c>
      <c r="K434" s="5">
        <f>+'libro compras'!F435</f>
        <v>0</v>
      </c>
      <c r="L434" s="1">
        <f>+'libro compras'!C435</f>
        <v>0</v>
      </c>
      <c r="M434" s="5">
        <f>+'libro compras'!D435</f>
        <v>0</v>
      </c>
      <c r="N434" s="7" t="s">
        <v>57</v>
      </c>
    </row>
    <row r="435" spans="1:14" hidden="1" x14ac:dyDescent="0.25">
      <c r="A435" s="9">
        <f t="shared" si="588"/>
        <v>109</v>
      </c>
      <c r="B435" s="5" t="str">
        <f>+'libro compras'!$AJ$1</f>
        <v>401110</v>
      </c>
      <c r="C435" s="1" t="str">
        <f t="shared" ref="C435:E435" si="655">+C434</f>
        <v>103</v>
      </c>
      <c r="D435" s="1">
        <f t="shared" si="655"/>
        <v>0</v>
      </c>
      <c r="E435" s="12" t="str">
        <f t="shared" si="655"/>
        <v/>
      </c>
      <c r="F435" s="7"/>
      <c r="G435" s="2">
        <f>+'libro compras'!AJ435</f>
        <v>0</v>
      </c>
      <c r="H435" s="7"/>
      <c r="I435" s="7" t="s">
        <v>56</v>
      </c>
      <c r="J435" s="7" t="str">
        <f t="shared" ref="J435:M435" si="656">+J434</f>
        <v xml:space="preserve"> </v>
      </c>
      <c r="K435" s="5">
        <f t="shared" si="656"/>
        <v>0</v>
      </c>
      <c r="L435" s="1">
        <f t="shared" si="656"/>
        <v>0</v>
      </c>
      <c r="M435" s="1">
        <f t="shared" si="656"/>
        <v>0</v>
      </c>
      <c r="N435" s="7" t="s">
        <v>57</v>
      </c>
    </row>
    <row r="436" spans="1:14" x14ac:dyDescent="0.25">
      <c r="A436" s="9">
        <f t="shared" si="588"/>
        <v>109</v>
      </c>
      <c r="B436" s="5" t="e">
        <f>+'libro compras'!P435</f>
        <v>#N/A</v>
      </c>
      <c r="C436" s="1" t="str">
        <f t="shared" ref="C436:E436" si="657">+C435</f>
        <v>103</v>
      </c>
      <c r="D436" s="1">
        <f t="shared" si="657"/>
        <v>0</v>
      </c>
      <c r="E436" s="12" t="str">
        <f t="shared" si="657"/>
        <v/>
      </c>
      <c r="F436" s="7"/>
      <c r="G436" s="2">
        <f>-'libro compras'!AI435</f>
        <v>0</v>
      </c>
      <c r="H436" s="7"/>
      <c r="I436" s="7" t="s">
        <v>36</v>
      </c>
      <c r="J436" s="7" t="str">
        <f>+CONCATENATE('libro compras'!C435," ",'libro compras'!D435)</f>
        <v xml:space="preserve"> </v>
      </c>
      <c r="K436" s="5">
        <f t="shared" ref="K436:M436" si="658">+K435</f>
        <v>0</v>
      </c>
      <c r="L436" s="1">
        <f t="shared" si="658"/>
        <v>0</v>
      </c>
      <c r="M436" s="1">
        <f t="shared" si="658"/>
        <v>0</v>
      </c>
      <c r="N436" s="7" t="s">
        <v>57</v>
      </c>
    </row>
    <row r="437" spans="1:14" x14ac:dyDescent="0.25">
      <c r="A437" s="9">
        <f t="shared" si="588"/>
        <v>109</v>
      </c>
      <c r="B437" s="2" t="e">
        <f>+VLOOKUP(B436,Hoja1!$A$1:$B$2,2,FALSE)</f>
        <v>#N/A</v>
      </c>
      <c r="C437" s="1" t="str">
        <f t="shared" ref="C437:E437" si="659">+C436</f>
        <v>103</v>
      </c>
      <c r="D437" s="1">
        <f t="shared" si="659"/>
        <v>0</v>
      </c>
      <c r="E437" s="12" t="str">
        <f t="shared" si="659"/>
        <v/>
      </c>
      <c r="F437" s="7"/>
      <c r="G437" s="2">
        <f>-'libro compras'!AB435</f>
        <v>0</v>
      </c>
      <c r="H437" s="7"/>
      <c r="I437" s="7" t="s">
        <v>36</v>
      </c>
      <c r="J437" s="7" t="str">
        <f>+CONCATENATE('libro compras'!C435," ",'libro compras'!D435)</f>
        <v xml:space="preserve"> </v>
      </c>
      <c r="K437" s="5">
        <f t="shared" ref="K437:M437" si="660">+K436</f>
        <v>0</v>
      </c>
      <c r="L437" s="1">
        <f t="shared" si="660"/>
        <v>0</v>
      </c>
      <c r="M437" s="1">
        <f t="shared" si="660"/>
        <v>0</v>
      </c>
      <c r="N437" s="7" t="s">
        <v>57</v>
      </c>
    </row>
    <row r="438" spans="1:14" x14ac:dyDescent="0.25">
      <c r="A438" s="9">
        <f t="shared" si="588"/>
        <v>110</v>
      </c>
      <c r="B438" s="5" t="str">
        <f>+'libro compras'!$AI$1</f>
        <v>281110</v>
      </c>
      <c r="C438" s="1" t="str">
        <f>+'libro compras'!Q439</f>
        <v>103</v>
      </c>
      <c r="D438" s="1">
        <f>+'libro compras'!R439</f>
        <v>0</v>
      </c>
      <c r="E438" s="12" t="str">
        <f>+'libro compras'!S439</f>
        <v/>
      </c>
      <c r="F438" s="7"/>
      <c r="G438" s="2">
        <f>+'libro compras'!AK439</f>
        <v>0</v>
      </c>
      <c r="H438" s="7"/>
      <c r="I438" s="7" t="s">
        <v>56</v>
      </c>
      <c r="J438" s="7" t="str">
        <f>+CONCATENATE('libro compras'!C439," ",'libro compras'!D439)</f>
        <v xml:space="preserve"> </v>
      </c>
      <c r="K438" s="5">
        <f>+'libro compras'!F439</f>
        <v>0</v>
      </c>
      <c r="L438" s="1">
        <f>+'libro compras'!C439</f>
        <v>0</v>
      </c>
      <c r="M438" s="5">
        <f>+'libro compras'!D439</f>
        <v>0</v>
      </c>
      <c r="N438" s="7" t="s">
        <v>57</v>
      </c>
    </row>
    <row r="439" spans="1:14" hidden="1" x14ac:dyDescent="0.25">
      <c r="A439" s="9">
        <f t="shared" si="588"/>
        <v>110</v>
      </c>
      <c r="B439" s="5" t="str">
        <f>+'libro compras'!$AJ$1</f>
        <v>401110</v>
      </c>
      <c r="C439" s="1" t="str">
        <f t="shared" ref="C439:E439" si="661">+C438</f>
        <v>103</v>
      </c>
      <c r="D439" s="1">
        <f t="shared" si="661"/>
        <v>0</v>
      </c>
      <c r="E439" s="12" t="str">
        <f t="shared" si="661"/>
        <v/>
      </c>
      <c r="F439" s="7"/>
      <c r="G439" s="2">
        <f>+'libro compras'!AJ439</f>
        <v>0</v>
      </c>
      <c r="H439" s="7"/>
      <c r="I439" s="7" t="s">
        <v>56</v>
      </c>
      <c r="J439" s="7" t="str">
        <f t="shared" ref="J439:M439" si="662">+J438</f>
        <v xml:space="preserve"> </v>
      </c>
      <c r="K439" s="5">
        <f t="shared" si="662"/>
        <v>0</v>
      </c>
      <c r="L439" s="1">
        <f t="shared" si="662"/>
        <v>0</v>
      </c>
      <c r="M439" s="1">
        <f t="shared" si="662"/>
        <v>0</v>
      </c>
      <c r="N439" s="7" t="s">
        <v>57</v>
      </c>
    </row>
    <row r="440" spans="1:14" x14ac:dyDescent="0.25">
      <c r="A440" s="9">
        <f t="shared" si="588"/>
        <v>110</v>
      </c>
      <c r="B440" s="5" t="e">
        <f>+'libro compras'!P439</f>
        <v>#N/A</v>
      </c>
      <c r="C440" s="1" t="str">
        <f t="shared" ref="C440:E440" si="663">+C439</f>
        <v>103</v>
      </c>
      <c r="D440" s="1">
        <f t="shared" si="663"/>
        <v>0</v>
      </c>
      <c r="E440" s="12" t="str">
        <f t="shared" si="663"/>
        <v/>
      </c>
      <c r="F440" s="7"/>
      <c r="G440" s="2">
        <f>-'libro compras'!AI439</f>
        <v>0</v>
      </c>
      <c r="H440" s="7"/>
      <c r="I440" s="7" t="s">
        <v>36</v>
      </c>
      <c r="J440" s="7" t="str">
        <f>+CONCATENATE('libro compras'!C439," ",'libro compras'!D439)</f>
        <v xml:space="preserve"> </v>
      </c>
      <c r="K440" s="5">
        <f t="shared" ref="K440:M440" si="664">+K439</f>
        <v>0</v>
      </c>
      <c r="L440" s="1">
        <f t="shared" si="664"/>
        <v>0</v>
      </c>
      <c r="M440" s="1">
        <f t="shared" si="664"/>
        <v>0</v>
      </c>
      <c r="N440" s="7" t="s">
        <v>57</v>
      </c>
    </row>
    <row r="441" spans="1:14" x14ac:dyDescent="0.25">
      <c r="A441" s="9">
        <f t="shared" si="588"/>
        <v>110</v>
      </c>
      <c r="B441" s="2" t="e">
        <f>+VLOOKUP(B440,Hoja1!$A$1:$B$2,2,FALSE)</f>
        <v>#N/A</v>
      </c>
      <c r="C441" s="1" t="str">
        <f t="shared" ref="C441:E441" si="665">+C440</f>
        <v>103</v>
      </c>
      <c r="D441" s="1">
        <f t="shared" si="665"/>
        <v>0</v>
      </c>
      <c r="E441" s="12" t="str">
        <f t="shared" si="665"/>
        <v/>
      </c>
      <c r="F441" s="7"/>
      <c r="G441" s="2">
        <f>-'libro compras'!AB439</f>
        <v>0</v>
      </c>
      <c r="H441" s="7"/>
      <c r="I441" s="7" t="s">
        <v>36</v>
      </c>
      <c r="J441" s="7" t="str">
        <f>+CONCATENATE('libro compras'!C439," ",'libro compras'!D439)</f>
        <v xml:space="preserve"> </v>
      </c>
      <c r="K441" s="5">
        <f t="shared" ref="K441:M441" si="666">+K440</f>
        <v>0</v>
      </c>
      <c r="L441" s="1">
        <f t="shared" si="666"/>
        <v>0</v>
      </c>
      <c r="M441" s="1">
        <f t="shared" si="666"/>
        <v>0</v>
      </c>
      <c r="N441" s="7" t="s">
        <v>57</v>
      </c>
    </row>
    <row r="442" spans="1:14" x14ac:dyDescent="0.25">
      <c r="A442" s="9">
        <f t="shared" si="588"/>
        <v>111</v>
      </c>
      <c r="B442" s="5" t="str">
        <f>+'libro compras'!$AI$1</f>
        <v>281110</v>
      </c>
      <c r="C442" s="1" t="str">
        <f>+'libro compras'!Q443</f>
        <v>103</v>
      </c>
      <c r="D442" s="1">
        <f>+'libro compras'!R443</f>
        <v>0</v>
      </c>
      <c r="E442" s="12" t="str">
        <f>+'libro compras'!S443</f>
        <v/>
      </c>
      <c r="F442" s="7"/>
      <c r="G442" s="2">
        <f>+'libro compras'!AK443</f>
        <v>0</v>
      </c>
      <c r="H442" s="7"/>
      <c r="I442" s="7" t="s">
        <v>56</v>
      </c>
      <c r="J442" s="7" t="str">
        <f>+CONCATENATE('libro compras'!C443," ",'libro compras'!D443)</f>
        <v xml:space="preserve"> </v>
      </c>
      <c r="K442" s="5">
        <f>+'libro compras'!F443</f>
        <v>0</v>
      </c>
      <c r="L442" s="1">
        <f>+'libro compras'!C443</f>
        <v>0</v>
      </c>
      <c r="M442" s="5">
        <f>+'libro compras'!D443</f>
        <v>0</v>
      </c>
      <c r="N442" s="7" t="s">
        <v>57</v>
      </c>
    </row>
    <row r="443" spans="1:14" hidden="1" x14ac:dyDescent="0.25">
      <c r="A443" s="9">
        <f t="shared" si="588"/>
        <v>111</v>
      </c>
      <c r="B443" s="5" t="str">
        <f>+'libro compras'!$AJ$1</f>
        <v>401110</v>
      </c>
      <c r="C443" s="1" t="str">
        <f t="shared" ref="C443:E443" si="667">+C442</f>
        <v>103</v>
      </c>
      <c r="D443" s="1">
        <f t="shared" si="667"/>
        <v>0</v>
      </c>
      <c r="E443" s="12" t="str">
        <f t="shared" si="667"/>
        <v/>
      </c>
      <c r="F443" s="7"/>
      <c r="G443" s="2">
        <f>+'libro compras'!AJ443</f>
        <v>0</v>
      </c>
      <c r="H443" s="7"/>
      <c r="I443" s="7" t="s">
        <v>56</v>
      </c>
      <c r="J443" s="7" t="str">
        <f t="shared" ref="J443:M443" si="668">+J442</f>
        <v xml:space="preserve"> </v>
      </c>
      <c r="K443" s="5">
        <f t="shared" si="668"/>
        <v>0</v>
      </c>
      <c r="L443" s="1">
        <f t="shared" si="668"/>
        <v>0</v>
      </c>
      <c r="M443" s="1">
        <f t="shared" si="668"/>
        <v>0</v>
      </c>
      <c r="N443" s="7" t="s">
        <v>57</v>
      </c>
    </row>
    <row r="444" spans="1:14" x14ac:dyDescent="0.25">
      <c r="A444" s="9">
        <f t="shared" si="588"/>
        <v>111</v>
      </c>
      <c r="B444" s="5" t="e">
        <f>+'libro compras'!P443</f>
        <v>#N/A</v>
      </c>
      <c r="C444" s="1" t="str">
        <f t="shared" ref="C444:E444" si="669">+C443</f>
        <v>103</v>
      </c>
      <c r="D444" s="1">
        <f t="shared" si="669"/>
        <v>0</v>
      </c>
      <c r="E444" s="12" t="str">
        <f t="shared" si="669"/>
        <v/>
      </c>
      <c r="F444" s="7"/>
      <c r="G444" s="2">
        <f>-'libro compras'!AI443</f>
        <v>0</v>
      </c>
      <c r="H444" s="7"/>
      <c r="I444" s="7" t="s">
        <v>36</v>
      </c>
      <c r="J444" s="7" t="str">
        <f>+CONCATENATE('libro compras'!C443," ",'libro compras'!D443)</f>
        <v xml:space="preserve"> </v>
      </c>
      <c r="K444" s="5">
        <f t="shared" ref="K444:M444" si="670">+K443</f>
        <v>0</v>
      </c>
      <c r="L444" s="1">
        <f t="shared" si="670"/>
        <v>0</v>
      </c>
      <c r="M444" s="1">
        <f t="shared" si="670"/>
        <v>0</v>
      </c>
      <c r="N444" s="7" t="s">
        <v>57</v>
      </c>
    </row>
    <row r="445" spans="1:14" x14ac:dyDescent="0.25">
      <c r="A445" s="9">
        <f t="shared" si="588"/>
        <v>111</v>
      </c>
      <c r="B445" s="2" t="e">
        <f>+VLOOKUP(B444,Hoja1!$A$1:$B$2,2,FALSE)</f>
        <v>#N/A</v>
      </c>
      <c r="C445" s="1" t="str">
        <f t="shared" ref="C445:E445" si="671">+C444</f>
        <v>103</v>
      </c>
      <c r="D445" s="1">
        <f t="shared" si="671"/>
        <v>0</v>
      </c>
      <c r="E445" s="12" t="str">
        <f t="shared" si="671"/>
        <v/>
      </c>
      <c r="F445" s="7"/>
      <c r="G445" s="2">
        <f>-'libro compras'!AB443</f>
        <v>0</v>
      </c>
      <c r="H445" s="7"/>
      <c r="I445" s="7" t="s">
        <v>36</v>
      </c>
      <c r="J445" s="7" t="str">
        <f>+CONCATENATE('libro compras'!C443," ",'libro compras'!D443)</f>
        <v xml:space="preserve"> </v>
      </c>
      <c r="K445" s="5">
        <f t="shared" ref="K445:M445" si="672">+K444</f>
        <v>0</v>
      </c>
      <c r="L445" s="1">
        <f t="shared" si="672"/>
        <v>0</v>
      </c>
      <c r="M445" s="1">
        <f t="shared" si="672"/>
        <v>0</v>
      </c>
      <c r="N445" s="7" t="s">
        <v>57</v>
      </c>
    </row>
    <row r="446" spans="1:14" x14ac:dyDescent="0.25">
      <c r="A446" s="9">
        <f t="shared" si="588"/>
        <v>112</v>
      </c>
      <c r="B446" s="5" t="str">
        <f>+'libro compras'!$AI$1</f>
        <v>281110</v>
      </c>
      <c r="C446" s="1" t="str">
        <f>+'libro compras'!Q447</f>
        <v>103</v>
      </c>
      <c r="D446" s="1">
        <f>+'libro compras'!R447</f>
        <v>0</v>
      </c>
      <c r="E446" s="12" t="str">
        <f>+'libro compras'!S447</f>
        <v/>
      </c>
      <c r="F446" s="7"/>
      <c r="G446" s="2">
        <f>+'libro compras'!AK447</f>
        <v>0</v>
      </c>
      <c r="H446" s="7"/>
      <c r="I446" s="7" t="s">
        <v>56</v>
      </c>
      <c r="J446" s="7" t="str">
        <f>+CONCATENATE('libro compras'!C447," ",'libro compras'!D447)</f>
        <v xml:space="preserve"> </v>
      </c>
      <c r="K446" s="5">
        <f>+'libro compras'!F447</f>
        <v>0</v>
      </c>
      <c r="L446" s="1">
        <f>+'libro compras'!C447</f>
        <v>0</v>
      </c>
      <c r="M446" s="5">
        <f>+'libro compras'!D447</f>
        <v>0</v>
      </c>
      <c r="N446" s="7" t="s">
        <v>57</v>
      </c>
    </row>
    <row r="447" spans="1:14" hidden="1" x14ac:dyDescent="0.25">
      <c r="A447" s="9">
        <f t="shared" si="588"/>
        <v>112</v>
      </c>
      <c r="B447" s="5" t="str">
        <f>+'libro compras'!$AJ$1</f>
        <v>401110</v>
      </c>
      <c r="C447" s="1" t="str">
        <f t="shared" ref="C447:E447" si="673">+C446</f>
        <v>103</v>
      </c>
      <c r="D447" s="1">
        <f t="shared" si="673"/>
        <v>0</v>
      </c>
      <c r="E447" s="12" t="str">
        <f t="shared" si="673"/>
        <v/>
      </c>
      <c r="F447" s="7"/>
      <c r="G447" s="2">
        <f>+'libro compras'!AJ447</f>
        <v>0</v>
      </c>
      <c r="H447" s="7"/>
      <c r="I447" s="7" t="s">
        <v>56</v>
      </c>
      <c r="J447" s="7" t="str">
        <f t="shared" ref="J447:M447" si="674">+J446</f>
        <v xml:space="preserve"> </v>
      </c>
      <c r="K447" s="5">
        <f t="shared" si="674"/>
        <v>0</v>
      </c>
      <c r="L447" s="1">
        <f t="shared" si="674"/>
        <v>0</v>
      </c>
      <c r="M447" s="1">
        <f t="shared" si="674"/>
        <v>0</v>
      </c>
      <c r="N447" s="7" t="s">
        <v>57</v>
      </c>
    </row>
    <row r="448" spans="1:14" x14ac:dyDescent="0.25">
      <c r="A448" s="9">
        <f t="shared" si="588"/>
        <v>112</v>
      </c>
      <c r="B448" s="5" t="e">
        <f>+'libro compras'!P447</f>
        <v>#N/A</v>
      </c>
      <c r="C448" s="1" t="str">
        <f t="shared" ref="C448:E448" si="675">+C447</f>
        <v>103</v>
      </c>
      <c r="D448" s="1">
        <f t="shared" si="675"/>
        <v>0</v>
      </c>
      <c r="E448" s="12" t="str">
        <f t="shared" si="675"/>
        <v/>
      </c>
      <c r="F448" s="7"/>
      <c r="G448" s="2">
        <f>-'libro compras'!AI447</f>
        <v>0</v>
      </c>
      <c r="H448" s="7"/>
      <c r="I448" s="7" t="s">
        <v>36</v>
      </c>
      <c r="J448" s="7" t="str">
        <f>+CONCATENATE('libro compras'!C447," ",'libro compras'!D447)</f>
        <v xml:space="preserve"> </v>
      </c>
      <c r="K448" s="5">
        <f t="shared" ref="K448:M448" si="676">+K447</f>
        <v>0</v>
      </c>
      <c r="L448" s="1">
        <f t="shared" si="676"/>
        <v>0</v>
      </c>
      <c r="M448" s="1">
        <f t="shared" si="676"/>
        <v>0</v>
      </c>
      <c r="N448" s="7" t="s">
        <v>57</v>
      </c>
    </row>
    <row r="449" spans="1:14" x14ac:dyDescent="0.25">
      <c r="A449" s="9">
        <f t="shared" si="588"/>
        <v>112</v>
      </c>
      <c r="B449" s="2" t="e">
        <f>+VLOOKUP(B448,Hoja1!$A$1:$B$2,2,FALSE)</f>
        <v>#N/A</v>
      </c>
      <c r="C449" s="1" t="str">
        <f t="shared" ref="C449:E449" si="677">+C448</f>
        <v>103</v>
      </c>
      <c r="D449" s="1">
        <f t="shared" si="677"/>
        <v>0</v>
      </c>
      <c r="E449" s="12" t="str">
        <f t="shared" si="677"/>
        <v/>
      </c>
      <c r="F449" s="7"/>
      <c r="G449" s="2">
        <f>-'libro compras'!AB447</f>
        <v>0</v>
      </c>
      <c r="H449" s="7"/>
      <c r="I449" s="7" t="s">
        <v>36</v>
      </c>
      <c r="J449" s="7" t="str">
        <f>+CONCATENATE('libro compras'!C447," ",'libro compras'!D447)</f>
        <v xml:space="preserve"> </v>
      </c>
      <c r="K449" s="5">
        <f t="shared" ref="K449:M449" si="678">+K448</f>
        <v>0</v>
      </c>
      <c r="L449" s="1">
        <f t="shared" si="678"/>
        <v>0</v>
      </c>
      <c r="M449" s="1">
        <f t="shared" si="678"/>
        <v>0</v>
      </c>
      <c r="N449" s="7" t="s">
        <v>57</v>
      </c>
    </row>
    <row r="450" spans="1:14" x14ac:dyDescent="0.25">
      <c r="A450" s="9">
        <f t="shared" si="588"/>
        <v>113</v>
      </c>
      <c r="B450" s="5" t="str">
        <f>+'libro compras'!$AI$1</f>
        <v>281110</v>
      </c>
      <c r="C450" s="1" t="str">
        <f>+'libro compras'!Q451</f>
        <v>103</v>
      </c>
      <c r="D450" s="1">
        <f>+'libro compras'!R451</f>
        <v>0</v>
      </c>
      <c r="E450" s="12" t="str">
        <f>+'libro compras'!S451</f>
        <v/>
      </c>
      <c r="F450" s="7"/>
      <c r="G450" s="2">
        <f>+'libro compras'!AK451</f>
        <v>0</v>
      </c>
      <c r="H450" s="7"/>
      <c r="I450" s="7" t="s">
        <v>56</v>
      </c>
      <c r="J450" s="7" t="str">
        <f>+CONCATENATE('libro compras'!C451," ",'libro compras'!D451)</f>
        <v xml:space="preserve"> </v>
      </c>
      <c r="K450" s="5">
        <f>+'libro compras'!F451</f>
        <v>0</v>
      </c>
      <c r="L450" s="1">
        <f>+'libro compras'!C451</f>
        <v>0</v>
      </c>
      <c r="M450" s="5">
        <f>+'libro compras'!D451</f>
        <v>0</v>
      </c>
      <c r="N450" s="7" t="s">
        <v>57</v>
      </c>
    </row>
    <row r="451" spans="1:14" hidden="1" x14ac:dyDescent="0.25">
      <c r="A451" s="9">
        <f t="shared" si="588"/>
        <v>113</v>
      </c>
      <c r="B451" s="5" t="str">
        <f>+'libro compras'!$AJ$1</f>
        <v>401110</v>
      </c>
      <c r="C451" s="1" t="str">
        <f t="shared" ref="C451:E451" si="679">+C450</f>
        <v>103</v>
      </c>
      <c r="D451" s="1">
        <f t="shared" si="679"/>
        <v>0</v>
      </c>
      <c r="E451" s="12" t="str">
        <f t="shared" si="679"/>
        <v/>
      </c>
      <c r="F451" s="7"/>
      <c r="G451" s="2">
        <f>+'libro compras'!AJ451</f>
        <v>0</v>
      </c>
      <c r="H451" s="7"/>
      <c r="I451" s="7" t="s">
        <v>56</v>
      </c>
      <c r="J451" s="7" t="str">
        <f t="shared" ref="J451:M451" si="680">+J450</f>
        <v xml:space="preserve"> </v>
      </c>
      <c r="K451" s="5">
        <f t="shared" si="680"/>
        <v>0</v>
      </c>
      <c r="L451" s="1">
        <f t="shared" si="680"/>
        <v>0</v>
      </c>
      <c r="M451" s="1">
        <f t="shared" si="680"/>
        <v>0</v>
      </c>
      <c r="N451" s="7" t="s">
        <v>57</v>
      </c>
    </row>
    <row r="452" spans="1:14" x14ac:dyDescent="0.25">
      <c r="A452" s="9">
        <f t="shared" si="588"/>
        <v>113</v>
      </c>
      <c r="B452" s="5" t="e">
        <f>+'libro compras'!P451</f>
        <v>#N/A</v>
      </c>
      <c r="C452" s="1" t="str">
        <f t="shared" ref="C452:E452" si="681">+C451</f>
        <v>103</v>
      </c>
      <c r="D452" s="1">
        <f t="shared" si="681"/>
        <v>0</v>
      </c>
      <c r="E452" s="12" t="str">
        <f t="shared" si="681"/>
        <v/>
      </c>
      <c r="F452" s="7"/>
      <c r="G452" s="2">
        <f>-'libro compras'!AI451</f>
        <v>0</v>
      </c>
      <c r="H452" s="7"/>
      <c r="I452" s="7" t="s">
        <v>36</v>
      </c>
      <c r="J452" s="7" t="str">
        <f>+CONCATENATE('libro compras'!C451," ",'libro compras'!D451)</f>
        <v xml:space="preserve"> </v>
      </c>
      <c r="K452" s="5">
        <f t="shared" ref="K452:M452" si="682">+K451</f>
        <v>0</v>
      </c>
      <c r="L452" s="1">
        <f t="shared" si="682"/>
        <v>0</v>
      </c>
      <c r="M452" s="1">
        <f t="shared" si="682"/>
        <v>0</v>
      </c>
      <c r="N452" s="7" t="s">
        <v>57</v>
      </c>
    </row>
    <row r="453" spans="1:14" x14ac:dyDescent="0.25">
      <c r="A453" s="9">
        <f t="shared" si="588"/>
        <v>113</v>
      </c>
      <c r="B453" s="2" t="e">
        <f>+VLOOKUP(B452,Hoja1!$A$1:$B$2,2,FALSE)</f>
        <v>#N/A</v>
      </c>
      <c r="C453" s="1" t="str">
        <f t="shared" ref="C453:E453" si="683">+C452</f>
        <v>103</v>
      </c>
      <c r="D453" s="1">
        <f t="shared" si="683"/>
        <v>0</v>
      </c>
      <c r="E453" s="12" t="str">
        <f t="shared" si="683"/>
        <v/>
      </c>
      <c r="F453" s="7"/>
      <c r="G453" s="2">
        <f>-'libro compras'!AB451</f>
        <v>0</v>
      </c>
      <c r="H453" s="7"/>
      <c r="I453" s="7" t="s">
        <v>36</v>
      </c>
      <c r="J453" s="7" t="str">
        <f>+CONCATENATE('libro compras'!C451," ",'libro compras'!D451)</f>
        <v xml:space="preserve"> </v>
      </c>
      <c r="K453" s="5">
        <f t="shared" ref="K453:M453" si="684">+K452</f>
        <v>0</v>
      </c>
      <c r="L453" s="1">
        <f t="shared" si="684"/>
        <v>0</v>
      </c>
      <c r="M453" s="1">
        <f t="shared" si="684"/>
        <v>0</v>
      </c>
      <c r="N453" s="7" t="s">
        <v>57</v>
      </c>
    </row>
    <row r="454" spans="1:14" x14ac:dyDescent="0.25">
      <c r="A454" s="9">
        <f t="shared" ref="A454:A489" si="685">1+A450</f>
        <v>114</v>
      </c>
      <c r="B454" s="5" t="str">
        <f>+'libro compras'!$AI$1</f>
        <v>281110</v>
      </c>
      <c r="C454" s="1" t="str">
        <f>+'libro compras'!Q455</f>
        <v>103</v>
      </c>
      <c r="D454" s="1">
        <f>+'libro compras'!R455</f>
        <v>0</v>
      </c>
      <c r="E454" s="12" t="str">
        <f>+'libro compras'!S455</f>
        <v/>
      </c>
      <c r="F454" s="7"/>
      <c r="G454" s="2">
        <f>+'libro compras'!AK455</f>
        <v>0</v>
      </c>
      <c r="H454" s="7"/>
      <c r="I454" s="7" t="s">
        <v>56</v>
      </c>
      <c r="J454" s="7" t="str">
        <f>+CONCATENATE('libro compras'!C455," ",'libro compras'!D455)</f>
        <v xml:space="preserve"> </v>
      </c>
      <c r="K454" s="5">
        <f>+'libro compras'!F455</f>
        <v>0</v>
      </c>
      <c r="L454" s="1">
        <f>+'libro compras'!C455</f>
        <v>0</v>
      </c>
      <c r="M454" s="5">
        <f>+'libro compras'!D455</f>
        <v>0</v>
      </c>
      <c r="N454" s="7" t="s">
        <v>57</v>
      </c>
    </row>
    <row r="455" spans="1:14" hidden="1" x14ac:dyDescent="0.25">
      <c r="A455" s="9">
        <f t="shared" si="685"/>
        <v>114</v>
      </c>
      <c r="B455" s="5" t="str">
        <f>+'libro compras'!$AJ$1</f>
        <v>401110</v>
      </c>
      <c r="C455" s="1" t="str">
        <f t="shared" ref="C455:E455" si="686">+C454</f>
        <v>103</v>
      </c>
      <c r="D455" s="1">
        <f t="shared" si="686"/>
        <v>0</v>
      </c>
      <c r="E455" s="12" t="str">
        <f t="shared" si="686"/>
        <v/>
      </c>
      <c r="F455" s="7"/>
      <c r="G455" s="2">
        <f>+'libro compras'!AJ455</f>
        <v>0</v>
      </c>
      <c r="H455" s="7"/>
      <c r="I455" s="7" t="s">
        <v>56</v>
      </c>
      <c r="J455" s="7" t="str">
        <f t="shared" ref="J455:M455" si="687">+J454</f>
        <v xml:space="preserve"> </v>
      </c>
      <c r="K455" s="5">
        <f t="shared" si="687"/>
        <v>0</v>
      </c>
      <c r="L455" s="1">
        <f t="shared" si="687"/>
        <v>0</v>
      </c>
      <c r="M455" s="1">
        <f t="shared" si="687"/>
        <v>0</v>
      </c>
      <c r="N455" s="7" t="s">
        <v>57</v>
      </c>
    </row>
    <row r="456" spans="1:14" x14ac:dyDescent="0.25">
      <c r="A456" s="9">
        <f t="shared" si="685"/>
        <v>114</v>
      </c>
      <c r="B456" s="5" t="e">
        <f>+'libro compras'!P455</f>
        <v>#N/A</v>
      </c>
      <c r="C456" s="1" t="str">
        <f t="shared" ref="C456:E456" si="688">+C455</f>
        <v>103</v>
      </c>
      <c r="D456" s="1">
        <f t="shared" si="688"/>
        <v>0</v>
      </c>
      <c r="E456" s="12" t="str">
        <f t="shared" si="688"/>
        <v/>
      </c>
      <c r="F456" s="7"/>
      <c r="G456" s="2">
        <f>-'libro compras'!AI455</f>
        <v>0</v>
      </c>
      <c r="H456" s="7"/>
      <c r="I456" s="7" t="s">
        <v>36</v>
      </c>
      <c r="J456" s="7" t="str">
        <f>+CONCATENATE('libro compras'!C455," ",'libro compras'!D455)</f>
        <v xml:space="preserve"> </v>
      </c>
      <c r="K456" s="5">
        <f t="shared" ref="K456:M456" si="689">+K455</f>
        <v>0</v>
      </c>
      <c r="L456" s="1">
        <f t="shared" si="689"/>
        <v>0</v>
      </c>
      <c r="M456" s="1">
        <f t="shared" si="689"/>
        <v>0</v>
      </c>
      <c r="N456" s="7" t="s">
        <v>57</v>
      </c>
    </row>
    <row r="457" spans="1:14" x14ac:dyDescent="0.25">
      <c r="A457" s="9">
        <f t="shared" si="685"/>
        <v>114</v>
      </c>
      <c r="B457" s="2" t="e">
        <f>+VLOOKUP(B456,Hoja1!$A$1:$B$2,2,FALSE)</f>
        <v>#N/A</v>
      </c>
      <c r="C457" s="1" t="str">
        <f t="shared" ref="C457:E457" si="690">+C456</f>
        <v>103</v>
      </c>
      <c r="D457" s="1">
        <f t="shared" si="690"/>
        <v>0</v>
      </c>
      <c r="E457" s="12" t="str">
        <f t="shared" si="690"/>
        <v/>
      </c>
      <c r="F457" s="7"/>
      <c r="G457" s="2">
        <f>-'libro compras'!AB455</f>
        <v>0</v>
      </c>
      <c r="H457" s="7"/>
      <c r="I457" s="7" t="s">
        <v>36</v>
      </c>
      <c r="J457" s="7" t="str">
        <f>+CONCATENATE('libro compras'!C455," ",'libro compras'!D455)</f>
        <v xml:space="preserve"> </v>
      </c>
      <c r="K457" s="5">
        <f t="shared" ref="K457:M457" si="691">+K456</f>
        <v>0</v>
      </c>
      <c r="L457" s="1">
        <f t="shared" si="691"/>
        <v>0</v>
      </c>
      <c r="M457" s="1">
        <f t="shared" si="691"/>
        <v>0</v>
      </c>
      <c r="N457" s="7" t="s">
        <v>57</v>
      </c>
    </row>
    <row r="458" spans="1:14" x14ac:dyDescent="0.25">
      <c r="A458" s="9">
        <f t="shared" si="685"/>
        <v>115</v>
      </c>
      <c r="B458" s="5" t="str">
        <f>+'libro compras'!$AI$1</f>
        <v>281110</v>
      </c>
      <c r="C458" s="1" t="str">
        <f>+'libro compras'!Q459</f>
        <v>103</v>
      </c>
      <c r="D458" s="1">
        <f>+'libro compras'!R459</f>
        <v>0</v>
      </c>
      <c r="E458" s="12" t="str">
        <f>+'libro compras'!S459</f>
        <v/>
      </c>
      <c r="F458" s="7"/>
      <c r="G458" s="2">
        <f>+'libro compras'!AK459</f>
        <v>0</v>
      </c>
      <c r="H458" s="7"/>
      <c r="I458" s="7" t="s">
        <v>56</v>
      </c>
      <c r="J458" s="7" t="str">
        <f>+CONCATENATE('libro compras'!C459," ",'libro compras'!D459)</f>
        <v xml:space="preserve"> </v>
      </c>
      <c r="K458" s="5">
        <f>+'libro compras'!F459</f>
        <v>0</v>
      </c>
      <c r="L458" s="1">
        <f>+'libro compras'!C459</f>
        <v>0</v>
      </c>
      <c r="M458" s="5">
        <f>+'libro compras'!D459</f>
        <v>0</v>
      </c>
      <c r="N458" s="7" t="s">
        <v>57</v>
      </c>
    </row>
    <row r="459" spans="1:14" hidden="1" x14ac:dyDescent="0.25">
      <c r="A459" s="9">
        <f t="shared" si="685"/>
        <v>115</v>
      </c>
      <c r="B459" s="5" t="str">
        <f>+'libro compras'!$AJ$1</f>
        <v>401110</v>
      </c>
      <c r="C459" s="1" t="str">
        <f t="shared" ref="C459:E459" si="692">+C458</f>
        <v>103</v>
      </c>
      <c r="D459" s="1">
        <f t="shared" si="692"/>
        <v>0</v>
      </c>
      <c r="E459" s="12" t="str">
        <f t="shared" si="692"/>
        <v/>
      </c>
      <c r="F459" s="7"/>
      <c r="G459" s="2">
        <f>+'libro compras'!AJ459</f>
        <v>0</v>
      </c>
      <c r="H459" s="7"/>
      <c r="I459" s="7" t="s">
        <v>56</v>
      </c>
      <c r="J459" s="7" t="str">
        <f t="shared" ref="J459:M459" si="693">+J458</f>
        <v xml:space="preserve"> </v>
      </c>
      <c r="K459" s="5">
        <f t="shared" si="693"/>
        <v>0</v>
      </c>
      <c r="L459" s="1">
        <f t="shared" si="693"/>
        <v>0</v>
      </c>
      <c r="M459" s="1">
        <f t="shared" si="693"/>
        <v>0</v>
      </c>
      <c r="N459" s="7" t="s">
        <v>57</v>
      </c>
    </row>
    <row r="460" spans="1:14" x14ac:dyDescent="0.25">
      <c r="A460" s="9">
        <f t="shared" si="685"/>
        <v>115</v>
      </c>
      <c r="B460" s="5" t="e">
        <f>+'libro compras'!P459</f>
        <v>#N/A</v>
      </c>
      <c r="C460" s="1" t="str">
        <f t="shared" ref="C460:E460" si="694">+C459</f>
        <v>103</v>
      </c>
      <c r="D460" s="1">
        <f t="shared" si="694"/>
        <v>0</v>
      </c>
      <c r="E460" s="12" t="str">
        <f t="shared" si="694"/>
        <v/>
      </c>
      <c r="F460" s="7"/>
      <c r="G460" s="2">
        <f>-'libro compras'!AI459</f>
        <v>0</v>
      </c>
      <c r="H460" s="7"/>
      <c r="I460" s="7" t="s">
        <v>36</v>
      </c>
      <c r="J460" s="7" t="str">
        <f>+CONCATENATE('libro compras'!C459," ",'libro compras'!D459)</f>
        <v xml:space="preserve"> </v>
      </c>
      <c r="K460" s="5">
        <f t="shared" ref="K460:M460" si="695">+K459</f>
        <v>0</v>
      </c>
      <c r="L460" s="1">
        <f t="shared" si="695"/>
        <v>0</v>
      </c>
      <c r="M460" s="1">
        <f t="shared" si="695"/>
        <v>0</v>
      </c>
      <c r="N460" s="7" t="s">
        <v>57</v>
      </c>
    </row>
    <row r="461" spans="1:14" x14ac:dyDescent="0.25">
      <c r="A461" s="9">
        <f t="shared" si="685"/>
        <v>115</v>
      </c>
      <c r="B461" s="2" t="e">
        <f>+VLOOKUP(B460,Hoja1!$A$1:$B$2,2,FALSE)</f>
        <v>#N/A</v>
      </c>
      <c r="C461" s="1" t="str">
        <f t="shared" ref="C461:E461" si="696">+C460</f>
        <v>103</v>
      </c>
      <c r="D461" s="1">
        <f t="shared" si="696"/>
        <v>0</v>
      </c>
      <c r="E461" s="12" t="str">
        <f t="shared" si="696"/>
        <v/>
      </c>
      <c r="F461" s="7"/>
      <c r="G461" s="2">
        <f>-'libro compras'!AB459</f>
        <v>0</v>
      </c>
      <c r="H461" s="7"/>
      <c r="I461" s="7" t="s">
        <v>36</v>
      </c>
      <c r="J461" s="7" t="str">
        <f>+CONCATENATE('libro compras'!C459," ",'libro compras'!D459)</f>
        <v xml:space="preserve"> </v>
      </c>
      <c r="K461" s="5">
        <f t="shared" ref="K461:M461" si="697">+K460</f>
        <v>0</v>
      </c>
      <c r="L461" s="1">
        <f t="shared" si="697"/>
        <v>0</v>
      </c>
      <c r="M461" s="1">
        <f t="shared" si="697"/>
        <v>0</v>
      </c>
      <c r="N461" s="7" t="s">
        <v>57</v>
      </c>
    </row>
    <row r="462" spans="1:14" x14ac:dyDescent="0.25">
      <c r="A462" s="9">
        <f t="shared" si="685"/>
        <v>116</v>
      </c>
      <c r="B462" s="5" t="str">
        <f>+'libro compras'!$AI$1</f>
        <v>281110</v>
      </c>
      <c r="C462" s="1" t="str">
        <f>+'libro compras'!Q463</f>
        <v>103</v>
      </c>
      <c r="D462" s="1">
        <f>+'libro compras'!R463</f>
        <v>0</v>
      </c>
      <c r="E462" s="12" t="str">
        <f>+'libro compras'!S463</f>
        <v/>
      </c>
      <c r="F462" s="7"/>
      <c r="G462" s="2">
        <f>+'libro compras'!AK463</f>
        <v>0</v>
      </c>
      <c r="H462" s="7"/>
      <c r="I462" s="7" t="s">
        <v>56</v>
      </c>
      <c r="J462" s="7" t="str">
        <f>+CONCATENATE('libro compras'!C463," ",'libro compras'!D463)</f>
        <v xml:space="preserve"> </v>
      </c>
      <c r="K462" s="5">
        <f>+'libro compras'!F463</f>
        <v>0</v>
      </c>
      <c r="L462" s="1">
        <f>+'libro compras'!C463</f>
        <v>0</v>
      </c>
      <c r="M462" s="5">
        <f>+'libro compras'!D463</f>
        <v>0</v>
      </c>
      <c r="N462" s="7" t="s">
        <v>57</v>
      </c>
    </row>
    <row r="463" spans="1:14" hidden="1" x14ac:dyDescent="0.25">
      <c r="A463" s="9">
        <f t="shared" si="685"/>
        <v>116</v>
      </c>
      <c r="B463" s="5" t="str">
        <f>+'libro compras'!$AJ$1</f>
        <v>401110</v>
      </c>
      <c r="C463" s="1" t="str">
        <f t="shared" ref="C463:E463" si="698">+C462</f>
        <v>103</v>
      </c>
      <c r="D463" s="1">
        <f t="shared" si="698"/>
        <v>0</v>
      </c>
      <c r="E463" s="12" t="str">
        <f t="shared" si="698"/>
        <v/>
      </c>
      <c r="F463" s="7"/>
      <c r="G463" s="2">
        <f>+'libro compras'!AJ463</f>
        <v>0</v>
      </c>
      <c r="H463" s="7"/>
      <c r="I463" s="7" t="s">
        <v>56</v>
      </c>
      <c r="J463" s="7" t="str">
        <f t="shared" ref="J463:M463" si="699">+J462</f>
        <v xml:space="preserve"> </v>
      </c>
      <c r="K463" s="5">
        <f t="shared" si="699"/>
        <v>0</v>
      </c>
      <c r="L463" s="1">
        <f t="shared" si="699"/>
        <v>0</v>
      </c>
      <c r="M463" s="1">
        <f t="shared" si="699"/>
        <v>0</v>
      </c>
      <c r="N463" s="7" t="s">
        <v>57</v>
      </c>
    </row>
    <row r="464" spans="1:14" x14ac:dyDescent="0.25">
      <c r="A464" s="9">
        <f t="shared" si="685"/>
        <v>116</v>
      </c>
      <c r="B464" s="5" t="e">
        <f>+'libro compras'!P463</f>
        <v>#N/A</v>
      </c>
      <c r="C464" s="1" t="str">
        <f t="shared" ref="C464:E464" si="700">+C463</f>
        <v>103</v>
      </c>
      <c r="D464" s="1">
        <f t="shared" si="700"/>
        <v>0</v>
      </c>
      <c r="E464" s="12" t="str">
        <f t="shared" si="700"/>
        <v/>
      </c>
      <c r="F464" s="7"/>
      <c r="G464" s="2">
        <f>-'libro compras'!AI463</f>
        <v>0</v>
      </c>
      <c r="H464" s="7"/>
      <c r="I464" s="7" t="s">
        <v>36</v>
      </c>
      <c r="J464" s="7" t="str">
        <f>+CONCATENATE('libro compras'!C463," ",'libro compras'!D463)</f>
        <v xml:space="preserve"> </v>
      </c>
      <c r="K464" s="5">
        <f t="shared" ref="K464:M464" si="701">+K463</f>
        <v>0</v>
      </c>
      <c r="L464" s="1">
        <f t="shared" si="701"/>
        <v>0</v>
      </c>
      <c r="M464" s="1">
        <f t="shared" si="701"/>
        <v>0</v>
      </c>
      <c r="N464" s="7" t="s">
        <v>57</v>
      </c>
    </row>
    <row r="465" spans="1:14" x14ac:dyDescent="0.25">
      <c r="A465" s="9">
        <f t="shared" si="685"/>
        <v>116</v>
      </c>
      <c r="B465" s="2" t="e">
        <f>+VLOOKUP(B464,Hoja1!$A$1:$B$2,2,FALSE)</f>
        <v>#N/A</v>
      </c>
      <c r="C465" s="1" t="str">
        <f t="shared" ref="C465:E465" si="702">+C464</f>
        <v>103</v>
      </c>
      <c r="D465" s="1">
        <f t="shared" si="702"/>
        <v>0</v>
      </c>
      <c r="E465" s="12" t="str">
        <f t="shared" si="702"/>
        <v/>
      </c>
      <c r="F465" s="7"/>
      <c r="G465" s="2">
        <f>-'libro compras'!AB463</f>
        <v>0</v>
      </c>
      <c r="H465" s="7"/>
      <c r="I465" s="7" t="s">
        <v>36</v>
      </c>
      <c r="J465" s="7" t="str">
        <f>+CONCATENATE('libro compras'!C463," ",'libro compras'!D463)</f>
        <v xml:space="preserve"> </v>
      </c>
      <c r="K465" s="5">
        <f t="shared" ref="K465:M465" si="703">+K464</f>
        <v>0</v>
      </c>
      <c r="L465" s="1">
        <f t="shared" si="703"/>
        <v>0</v>
      </c>
      <c r="M465" s="1">
        <f t="shared" si="703"/>
        <v>0</v>
      </c>
      <c r="N465" s="7" t="s">
        <v>57</v>
      </c>
    </row>
    <row r="466" spans="1:14" x14ac:dyDescent="0.25">
      <c r="A466" s="9">
        <f t="shared" si="685"/>
        <v>117</v>
      </c>
      <c r="B466" s="5" t="str">
        <f>+'libro compras'!$AI$1</f>
        <v>281110</v>
      </c>
      <c r="C466" s="1" t="str">
        <f>+'libro compras'!Q467</f>
        <v>103</v>
      </c>
      <c r="D466" s="1">
        <f>+'libro compras'!R467</f>
        <v>0</v>
      </c>
      <c r="E466" s="12" t="str">
        <f>+'libro compras'!S467</f>
        <v/>
      </c>
      <c r="F466" s="7"/>
      <c r="G466" s="2">
        <f>+'libro compras'!AK467</f>
        <v>0</v>
      </c>
      <c r="H466" s="7"/>
      <c r="I466" s="7" t="s">
        <v>56</v>
      </c>
      <c r="J466" s="7" t="str">
        <f>+CONCATENATE('libro compras'!C467," ",'libro compras'!D467)</f>
        <v xml:space="preserve"> </v>
      </c>
      <c r="K466" s="5">
        <f>+'libro compras'!F467</f>
        <v>0</v>
      </c>
      <c r="L466" s="1">
        <f>+'libro compras'!C467</f>
        <v>0</v>
      </c>
      <c r="M466" s="5">
        <f>+'libro compras'!D467</f>
        <v>0</v>
      </c>
      <c r="N466" s="7" t="s">
        <v>57</v>
      </c>
    </row>
    <row r="467" spans="1:14" hidden="1" x14ac:dyDescent="0.25">
      <c r="A467" s="9">
        <f t="shared" si="685"/>
        <v>117</v>
      </c>
      <c r="B467" s="5" t="str">
        <f>+'libro compras'!$AJ$1</f>
        <v>401110</v>
      </c>
      <c r="C467" s="1" t="str">
        <f t="shared" ref="C467:E467" si="704">+C466</f>
        <v>103</v>
      </c>
      <c r="D467" s="1">
        <f t="shared" si="704"/>
        <v>0</v>
      </c>
      <c r="E467" s="12" t="str">
        <f t="shared" si="704"/>
        <v/>
      </c>
      <c r="F467" s="7"/>
      <c r="G467" s="2">
        <f>+'libro compras'!AJ467</f>
        <v>0</v>
      </c>
      <c r="H467" s="7"/>
      <c r="I467" s="7" t="s">
        <v>56</v>
      </c>
      <c r="J467" s="7" t="str">
        <f t="shared" ref="J467:M467" si="705">+J466</f>
        <v xml:space="preserve"> </v>
      </c>
      <c r="K467" s="5">
        <f t="shared" si="705"/>
        <v>0</v>
      </c>
      <c r="L467" s="1">
        <f t="shared" si="705"/>
        <v>0</v>
      </c>
      <c r="M467" s="1">
        <f t="shared" si="705"/>
        <v>0</v>
      </c>
      <c r="N467" s="7" t="s">
        <v>57</v>
      </c>
    </row>
    <row r="468" spans="1:14" x14ac:dyDescent="0.25">
      <c r="A468" s="9">
        <f t="shared" si="685"/>
        <v>117</v>
      </c>
      <c r="B468" s="5" t="e">
        <f>+'libro compras'!P467</f>
        <v>#N/A</v>
      </c>
      <c r="C468" s="1" t="str">
        <f t="shared" ref="C468:E468" si="706">+C467</f>
        <v>103</v>
      </c>
      <c r="D468" s="1">
        <f t="shared" si="706"/>
        <v>0</v>
      </c>
      <c r="E468" s="12" t="str">
        <f t="shared" si="706"/>
        <v/>
      </c>
      <c r="F468" s="7"/>
      <c r="G468" s="2">
        <f>-'libro compras'!AI467</f>
        <v>0</v>
      </c>
      <c r="H468" s="7"/>
      <c r="I468" s="7" t="s">
        <v>36</v>
      </c>
      <c r="J468" s="7" t="str">
        <f>+CONCATENATE('libro compras'!C467," ",'libro compras'!D467)</f>
        <v xml:space="preserve"> </v>
      </c>
      <c r="K468" s="5">
        <f t="shared" ref="K468:M468" si="707">+K467</f>
        <v>0</v>
      </c>
      <c r="L468" s="1">
        <f t="shared" si="707"/>
        <v>0</v>
      </c>
      <c r="M468" s="1">
        <f t="shared" si="707"/>
        <v>0</v>
      </c>
      <c r="N468" s="7" t="s">
        <v>57</v>
      </c>
    </row>
    <row r="469" spans="1:14" x14ac:dyDescent="0.25">
      <c r="A469" s="9">
        <f t="shared" si="685"/>
        <v>117</v>
      </c>
      <c r="B469" s="2" t="e">
        <f>+VLOOKUP(B468,Hoja1!$A$1:$B$2,2,FALSE)</f>
        <v>#N/A</v>
      </c>
      <c r="C469" s="1" t="str">
        <f t="shared" ref="C469:E469" si="708">+C468</f>
        <v>103</v>
      </c>
      <c r="D469" s="1">
        <f t="shared" si="708"/>
        <v>0</v>
      </c>
      <c r="E469" s="12" t="str">
        <f t="shared" si="708"/>
        <v/>
      </c>
      <c r="F469" s="7"/>
      <c r="G469" s="2">
        <f>-'libro compras'!AB467</f>
        <v>0</v>
      </c>
      <c r="H469" s="7"/>
      <c r="I469" s="7" t="s">
        <v>36</v>
      </c>
      <c r="J469" s="7" t="str">
        <f>+CONCATENATE('libro compras'!C467," ",'libro compras'!D467)</f>
        <v xml:space="preserve"> </v>
      </c>
      <c r="K469" s="5">
        <f t="shared" ref="K469:M469" si="709">+K468</f>
        <v>0</v>
      </c>
      <c r="L469" s="1">
        <f t="shared" si="709"/>
        <v>0</v>
      </c>
      <c r="M469" s="1">
        <f t="shared" si="709"/>
        <v>0</v>
      </c>
      <c r="N469" s="7" t="s">
        <v>57</v>
      </c>
    </row>
    <row r="470" spans="1:14" x14ac:dyDescent="0.25">
      <c r="A470" s="9">
        <f t="shared" si="685"/>
        <v>118</v>
      </c>
      <c r="B470" s="5" t="str">
        <f>+'libro compras'!$AI$1</f>
        <v>281110</v>
      </c>
      <c r="C470" s="1" t="str">
        <f>+'libro compras'!Q471</f>
        <v>103</v>
      </c>
      <c r="D470" s="1">
        <f>+'libro compras'!R471</f>
        <v>0</v>
      </c>
      <c r="E470" s="12" t="str">
        <f>+'libro compras'!S471</f>
        <v/>
      </c>
      <c r="F470" s="7"/>
      <c r="G470" s="2">
        <f>+'libro compras'!AK471</f>
        <v>0</v>
      </c>
      <c r="H470" s="7"/>
      <c r="I470" s="7" t="s">
        <v>56</v>
      </c>
      <c r="J470" s="7" t="str">
        <f>+CONCATENATE('libro compras'!C471," ",'libro compras'!D471)</f>
        <v xml:space="preserve"> </v>
      </c>
      <c r="K470" s="5">
        <f>+'libro compras'!F471</f>
        <v>0</v>
      </c>
      <c r="L470" s="1">
        <f>+'libro compras'!C471</f>
        <v>0</v>
      </c>
      <c r="M470" s="5">
        <f>+'libro compras'!D471</f>
        <v>0</v>
      </c>
      <c r="N470" s="7" t="s">
        <v>57</v>
      </c>
    </row>
    <row r="471" spans="1:14" hidden="1" x14ac:dyDescent="0.25">
      <c r="A471" s="9">
        <f t="shared" si="685"/>
        <v>118</v>
      </c>
      <c r="B471" s="5" t="str">
        <f>+'libro compras'!$AJ$1</f>
        <v>401110</v>
      </c>
      <c r="C471" s="1" t="str">
        <f t="shared" ref="C471:E471" si="710">+C470</f>
        <v>103</v>
      </c>
      <c r="D471" s="1">
        <f t="shared" si="710"/>
        <v>0</v>
      </c>
      <c r="E471" s="12" t="str">
        <f t="shared" si="710"/>
        <v/>
      </c>
      <c r="F471" s="7"/>
      <c r="G471" s="2">
        <f>+'libro compras'!AJ471</f>
        <v>0</v>
      </c>
      <c r="H471" s="7"/>
      <c r="I471" s="7" t="s">
        <v>56</v>
      </c>
      <c r="J471" s="7" t="str">
        <f t="shared" ref="J471:M471" si="711">+J470</f>
        <v xml:space="preserve"> </v>
      </c>
      <c r="K471" s="5">
        <f t="shared" si="711"/>
        <v>0</v>
      </c>
      <c r="L471" s="1">
        <f t="shared" si="711"/>
        <v>0</v>
      </c>
      <c r="M471" s="1">
        <f t="shared" si="711"/>
        <v>0</v>
      </c>
      <c r="N471" s="7" t="s">
        <v>57</v>
      </c>
    </row>
    <row r="472" spans="1:14" x14ac:dyDescent="0.25">
      <c r="A472" s="9">
        <f t="shared" si="685"/>
        <v>118</v>
      </c>
      <c r="B472" s="5" t="e">
        <f>+'libro compras'!P471</f>
        <v>#N/A</v>
      </c>
      <c r="C472" s="1" t="str">
        <f t="shared" ref="C472:E472" si="712">+C471</f>
        <v>103</v>
      </c>
      <c r="D472" s="1">
        <f t="shared" si="712"/>
        <v>0</v>
      </c>
      <c r="E472" s="12" t="str">
        <f t="shared" si="712"/>
        <v/>
      </c>
      <c r="F472" s="7"/>
      <c r="G472" s="2">
        <f>-'libro compras'!AI471</f>
        <v>0</v>
      </c>
      <c r="H472" s="7"/>
      <c r="I472" s="7" t="s">
        <v>36</v>
      </c>
      <c r="J472" s="7" t="str">
        <f>+CONCATENATE('libro compras'!C471," ",'libro compras'!D471)</f>
        <v xml:space="preserve"> </v>
      </c>
      <c r="K472" s="5">
        <f t="shared" ref="K472:M472" si="713">+K471</f>
        <v>0</v>
      </c>
      <c r="L472" s="1">
        <f t="shared" si="713"/>
        <v>0</v>
      </c>
      <c r="M472" s="1">
        <f t="shared" si="713"/>
        <v>0</v>
      </c>
      <c r="N472" s="7" t="s">
        <v>57</v>
      </c>
    </row>
    <row r="473" spans="1:14" x14ac:dyDescent="0.25">
      <c r="A473" s="9">
        <f t="shared" si="685"/>
        <v>118</v>
      </c>
      <c r="B473" s="2" t="e">
        <f>+VLOOKUP(B472,Hoja1!$A$1:$B$2,2,FALSE)</f>
        <v>#N/A</v>
      </c>
      <c r="C473" s="1" t="str">
        <f t="shared" ref="C473:E473" si="714">+C472</f>
        <v>103</v>
      </c>
      <c r="D473" s="1">
        <f t="shared" si="714"/>
        <v>0</v>
      </c>
      <c r="E473" s="12" t="str">
        <f t="shared" si="714"/>
        <v/>
      </c>
      <c r="F473" s="7"/>
      <c r="G473" s="2">
        <f>-'libro compras'!AB471</f>
        <v>0</v>
      </c>
      <c r="H473" s="7"/>
      <c r="I473" s="7" t="s">
        <v>36</v>
      </c>
      <c r="J473" s="7" t="str">
        <f>+CONCATENATE('libro compras'!C471," ",'libro compras'!D471)</f>
        <v xml:space="preserve"> </v>
      </c>
      <c r="K473" s="5">
        <f t="shared" ref="K473:M473" si="715">+K472</f>
        <v>0</v>
      </c>
      <c r="L473" s="1">
        <f t="shared" si="715"/>
        <v>0</v>
      </c>
      <c r="M473" s="1">
        <f t="shared" si="715"/>
        <v>0</v>
      </c>
      <c r="N473" s="7" t="s">
        <v>57</v>
      </c>
    </row>
    <row r="474" spans="1:14" x14ac:dyDescent="0.25">
      <c r="A474" s="9">
        <f t="shared" si="685"/>
        <v>119</v>
      </c>
      <c r="B474" s="5" t="str">
        <f>+'libro compras'!$AI$1</f>
        <v>281110</v>
      </c>
      <c r="C474" s="1" t="str">
        <f>+'libro compras'!Q475</f>
        <v>103</v>
      </c>
      <c r="D474" s="1">
        <f>+'libro compras'!R475</f>
        <v>0</v>
      </c>
      <c r="E474" s="12" t="str">
        <f>+'libro compras'!S475</f>
        <v/>
      </c>
      <c r="F474" s="7"/>
      <c r="G474" s="2">
        <f>+'libro compras'!AK475</f>
        <v>0</v>
      </c>
      <c r="H474" s="7"/>
      <c r="I474" s="7" t="s">
        <v>56</v>
      </c>
      <c r="J474" s="7" t="str">
        <f>+CONCATENATE('libro compras'!C475," ",'libro compras'!D475)</f>
        <v xml:space="preserve"> </v>
      </c>
      <c r="K474" s="5">
        <f>+'libro compras'!F475</f>
        <v>0</v>
      </c>
      <c r="L474" s="1">
        <f>+'libro compras'!C475</f>
        <v>0</v>
      </c>
      <c r="M474" s="5">
        <f>+'libro compras'!D475</f>
        <v>0</v>
      </c>
      <c r="N474" s="7" t="s">
        <v>57</v>
      </c>
    </row>
    <row r="475" spans="1:14" hidden="1" x14ac:dyDescent="0.25">
      <c r="A475" s="9">
        <f t="shared" si="685"/>
        <v>119</v>
      </c>
      <c r="B475" s="5" t="str">
        <f>+'libro compras'!$AJ$1</f>
        <v>401110</v>
      </c>
      <c r="C475" s="1" t="str">
        <f t="shared" ref="C475:E475" si="716">+C474</f>
        <v>103</v>
      </c>
      <c r="D475" s="1">
        <f t="shared" si="716"/>
        <v>0</v>
      </c>
      <c r="E475" s="12" t="str">
        <f t="shared" si="716"/>
        <v/>
      </c>
      <c r="F475" s="7"/>
      <c r="G475" s="2">
        <f>+'libro compras'!AJ475</f>
        <v>0</v>
      </c>
      <c r="H475" s="7"/>
      <c r="I475" s="7" t="s">
        <v>56</v>
      </c>
      <c r="J475" s="7" t="str">
        <f t="shared" ref="J475:M475" si="717">+J474</f>
        <v xml:space="preserve"> </v>
      </c>
      <c r="K475" s="5">
        <f t="shared" si="717"/>
        <v>0</v>
      </c>
      <c r="L475" s="1">
        <f t="shared" si="717"/>
        <v>0</v>
      </c>
      <c r="M475" s="1">
        <f t="shared" si="717"/>
        <v>0</v>
      </c>
      <c r="N475" s="7" t="s">
        <v>57</v>
      </c>
    </row>
    <row r="476" spans="1:14" x14ac:dyDescent="0.25">
      <c r="A476" s="9">
        <f t="shared" si="685"/>
        <v>119</v>
      </c>
      <c r="B476" s="5" t="e">
        <f>+'libro compras'!P475</f>
        <v>#N/A</v>
      </c>
      <c r="C476" s="1" t="str">
        <f t="shared" ref="C476:E476" si="718">+C475</f>
        <v>103</v>
      </c>
      <c r="D476" s="1">
        <f t="shared" si="718"/>
        <v>0</v>
      </c>
      <c r="E476" s="12" t="str">
        <f t="shared" si="718"/>
        <v/>
      </c>
      <c r="F476" s="7"/>
      <c r="G476" s="2">
        <f>-'libro compras'!AI475</f>
        <v>0</v>
      </c>
      <c r="H476" s="7"/>
      <c r="I476" s="7" t="s">
        <v>36</v>
      </c>
      <c r="J476" s="7" t="str">
        <f>+CONCATENATE('libro compras'!C475," ",'libro compras'!D475)</f>
        <v xml:space="preserve"> </v>
      </c>
      <c r="K476" s="5">
        <f t="shared" ref="K476:M476" si="719">+K475</f>
        <v>0</v>
      </c>
      <c r="L476" s="1">
        <f t="shared" si="719"/>
        <v>0</v>
      </c>
      <c r="M476" s="1">
        <f t="shared" si="719"/>
        <v>0</v>
      </c>
      <c r="N476" s="7" t="s">
        <v>57</v>
      </c>
    </row>
    <row r="477" spans="1:14" x14ac:dyDescent="0.25">
      <c r="A477" s="9">
        <f t="shared" si="685"/>
        <v>119</v>
      </c>
      <c r="B477" s="2" t="e">
        <f>+VLOOKUP(B476,Hoja1!$A$1:$B$2,2,FALSE)</f>
        <v>#N/A</v>
      </c>
      <c r="C477" s="1" t="str">
        <f t="shared" ref="C477:E477" si="720">+C476</f>
        <v>103</v>
      </c>
      <c r="D477" s="1">
        <f t="shared" si="720"/>
        <v>0</v>
      </c>
      <c r="E477" s="12" t="str">
        <f t="shared" si="720"/>
        <v/>
      </c>
      <c r="F477" s="7"/>
      <c r="G477" s="2">
        <f>-'libro compras'!AB475</f>
        <v>0</v>
      </c>
      <c r="H477" s="7"/>
      <c r="I477" s="7" t="s">
        <v>36</v>
      </c>
      <c r="J477" s="7" t="str">
        <f>+CONCATENATE('libro compras'!C475," ",'libro compras'!D475)</f>
        <v xml:space="preserve"> </v>
      </c>
      <c r="K477" s="5">
        <f t="shared" ref="K477:M477" si="721">+K476</f>
        <v>0</v>
      </c>
      <c r="L477" s="1">
        <f t="shared" si="721"/>
        <v>0</v>
      </c>
      <c r="M477" s="1">
        <f t="shared" si="721"/>
        <v>0</v>
      </c>
      <c r="N477" s="7" t="s">
        <v>57</v>
      </c>
    </row>
    <row r="478" spans="1:14" x14ac:dyDescent="0.25">
      <c r="A478" s="9">
        <f t="shared" si="685"/>
        <v>120</v>
      </c>
      <c r="B478" s="5" t="str">
        <f>+'libro compras'!$AI$1</f>
        <v>281110</v>
      </c>
      <c r="C478" s="1" t="str">
        <f>+'libro compras'!Q479</f>
        <v>103</v>
      </c>
      <c r="D478" s="1">
        <f>+'libro compras'!R479</f>
        <v>0</v>
      </c>
      <c r="E478" s="12" t="str">
        <f>+'libro compras'!S479</f>
        <v/>
      </c>
      <c r="F478" s="7"/>
      <c r="G478" s="2">
        <f>+'libro compras'!AK479</f>
        <v>0</v>
      </c>
      <c r="H478" s="7"/>
      <c r="I478" s="7" t="s">
        <v>56</v>
      </c>
      <c r="J478" s="7" t="str">
        <f>+CONCATENATE('libro compras'!C479," ",'libro compras'!D479)</f>
        <v xml:space="preserve"> </v>
      </c>
      <c r="K478" s="5">
        <f>+'libro compras'!F479</f>
        <v>0</v>
      </c>
      <c r="L478" s="1">
        <f>+'libro compras'!C479</f>
        <v>0</v>
      </c>
      <c r="M478" s="5">
        <f>+'libro compras'!D479</f>
        <v>0</v>
      </c>
      <c r="N478" s="7" t="s">
        <v>57</v>
      </c>
    </row>
    <row r="479" spans="1:14" hidden="1" x14ac:dyDescent="0.25">
      <c r="A479" s="9">
        <f t="shared" si="685"/>
        <v>120</v>
      </c>
      <c r="B479" s="5" t="str">
        <f>+'libro compras'!$AJ$1</f>
        <v>401110</v>
      </c>
      <c r="C479" s="1" t="str">
        <f t="shared" ref="C479:E479" si="722">+C478</f>
        <v>103</v>
      </c>
      <c r="D479" s="1">
        <f t="shared" si="722"/>
        <v>0</v>
      </c>
      <c r="E479" s="12" t="str">
        <f t="shared" si="722"/>
        <v/>
      </c>
      <c r="F479" s="7"/>
      <c r="G479" s="2">
        <f>+'libro compras'!AJ479</f>
        <v>0</v>
      </c>
      <c r="H479" s="7"/>
      <c r="I479" s="7" t="s">
        <v>56</v>
      </c>
      <c r="J479" s="7" t="str">
        <f t="shared" ref="J479:M479" si="723">+J478</f>
        <v xml:space="preserve"> </v>
      </c>
      <c r="K479" s="5">
        <f t="shared" si="723"/>
        <v>0</v>
      </c>
      <c r="L479" s="1">
        <f t="shared" si="723"/>
        <v>0</v>
      </c>
      <c r="M479" s="1">
        <f t="shared" si="723"/>
        <v>0</v>
      </c>
      <c r="N479" s="7" t="s">
        <v>57</v>
      </c>
    </row>
    <row r="480" spans="1:14" x14ac:dyDescent="0.25">
      <c r="A480" s="9">
        <f t="shared" si="685"/>
        <v>120</v>
      </c>
      <c r="B480" s="5" t="e">
        <f>+'libro compras'!P479</f>
        <v>#N/A</v>
      </c>
      <c r="C480" s="1" t="str">
        <f t="shared" ref="C480:E480" si="724">+C479</f>
        <v>103</v>
      </c>
      <c r="D480" s="1">
        <f t="shared" si="724"/>
        <v>0</v>
      </c>
      <c r="E480" s="12" t="str">
        <f t="shared" si="724"/>
        <v/>
      </c>
      <c r="F480" s="7"/>
      <c r="G480" s="2">
        <f>-'libro compras'!AI479</f>
        <v>0</v>
      </c>
      <c r="H480" s="7"/>
      <c r="I480" s="7" t="s">
        <v>36</v>
      </c>
      <c r="J480" s="7" t="str">
        <f>+CONCATENATE('libro compras'!C479," ",'libro compras'!D479)</f>
        <v xml:space="preserve"> </v>
      </c>
      <c r="K480" s="5">
        <f t="shared" ref="K480:M480" si="725">+K479</f>
        <v>0</v>
      </c>
      <c r="L480" s="1">
        <f t="shared" si="725"/>
        <v>0</v>
      </c>
      <c r="M480" s="1">
        <f t="shared" si="725"/>
        <v>0</v>
      </c>
      <c r="N480" s="7" t="s">
        <v>57</v>
      </c>
    </row>
    <row r="481" spans="1:14" x14ac:dyDescent="0.25">
      <c r="A481" s="9">
        <f t="shared" si="685"/>
        <v>120</v>
      </c>
      <c r="B481" s="2" t="e">
        <f>+VLOOKUP(B480,Hoja1!$A$1:$B$2,2,FALSE)</f>
        <v>#N/A</v>
      </c>
      <c r="C481" s="1" t="str">
        <f t="shared" ref="C481:E481" si="726">+C480</f>
        <v>103</v>
      </c>
      <c r="D481" s="1">
        <f t="shared" si="726"/>
        <v>0</v>
      </c>
      <c r="E481" s="12" t="str">
        <f t="shared" si="726"/>
        <v/>
      </c>
      <c r="F481" s="7"/>
      <c r="G481" s="2">
        <f>-'libro compras'!AB479</f>
        <v>0</v>
      </c>
      <c r="H481" s="7"/>
      <c r="I481" s="7" t="s">
        <v>36</v>
      </c>
      <c r="J481" s="7" t="str">
        <f>+CONCATENATE('libro compras'!C479," ",'libro compras'!D479)</f>
        <v xml:space="preserve"> </v>
      </c>
      <c r="K481" s="5">
        <f t="shared" ref="K481:M481" si="727">+K480</f>
        <v>0</v>
      </c>
      <c r="L481" s="1">
        <f t="shared" si="727"/>
        <v>0</v>
      </c>
      <c r="M481" s="1">
        <f t="shared" si="727"/>
        <v>0</v>
      </c>
      <c r="N481" s="7" t="s">
        <v>57</v>
      </c>
    </row>
    <row r="482" spans="1:14" x14ac:dyDescent="0.25">
      <c r="A482" s="9">
        <f t="shared" si="685"/>
        <v>121</v>
      </c>
      <c r="B482" s="5" t="str">
        <f>+'libro compras'!$AI$1</f>
        <v>281110</v>
      </c>
      <c r="C482" s="1" t="str">
        <f>+'libro compras'!Q483</f>
        <v>103</v>
      </c>
      <c r="D482" s="1">
        <f>+'libro compras'!R483</f>
        <v>0</v>
      </c>
      <c r="E482" s="12" t="str">
        <f>+'libro compras'!S483</f>
        <v/>
      </c>
      <c r="F482" s="7"/>
      <c r="G482" s="2">
        <f>+'libro compras'!AK483</f>
        <v>0</v>
      </c>
      <c r="H482" s="7"/>
      <c r="I482" s="7" t="s">
        <v>56</v>
      </c>
      <c r="J482" s="7" t="str">
        <f>+CONCATENATE('libro compras'!C483," ",'libro compras'!D483)</f>
        <v xml:space="preserve"> </v>
      </c>
      <c r="K482" s="5">
        <f>+'libro compras'!F483</f>
        <v>0</v>
      </c>
      <c r="L482" s="1">
        <f>+'libro compras'!C483</f>
        <v>0</v>
      </c>
      <c r="M482" s="5">
        <f>+'libro compras'!D483</f>
        <v>0</v>
      </c>
      <c r="N482" s="7" t="s">
        <v>57</v>
      </c>
    </row>
    <row r="483" spans="1:14" hidden="1" x14ac:dyDescent="0.25">
      <c r="A483" s="9">
        <f t="shared" si="685"/>
        <v>121</v>
      </c>
      <c r="B483" s="5" t="str">
        <f>+'libro compras'!$AJ$1</f>
        <v>401110</v>
      </c>
      <c r="C483" s="1" t="str">
        <f t="shared" ref="C483:E483" si="728">+C482</f>
        <v>103</v>
      </c>
      <c r="D483" s="1">
        <f t="shared" si="728"/>
        <v>0</v>
      </c>
      <c r="E483" s="12" t="str">
        <f t="shared" si="728"/>
        <v/>
      </c>
      <c r="F483" s="7"/>
      <c r="G483" s="2">
        <f>+'libro compras'!AJ483</f>
        <v>0</v>
      </c>
      <c r="H483" s="7"/>
      <c r="I483" s="7" t="s">
        <v>56</v>
      </c>
      <c r="J483" s="7" t="str">
        <f t="shared" ref="J483:M483" si="729">+J482</f>
        <v xml:space="preserve"> </v>
      </c>
      <c r="K483" s="5">
        <f t="shared" si="729"/>
        <v>0</v>
      </c>
      <c r="L483" s="1">
        <f t="shared" si="729"/>
        <v>0</v>
      </c>
      <c r="M483" s="1">
        <f t="shared" si="729"/>
        <v>0</v>
      </c>
      <c r="N483" s="7" t="s">
        <v>57</v>
      </c>
    </row>
    <row r="484" spans="1:14" x14ac:dyDescent="0.25">
      <c r="A484" s="9">
        <f t="shared" si="685"/>
        <v>121</v>
      </c>
      <c r="B484" s="5" t="e">
        <f>+'libro compras'!P483</f>
        <v>#N/A</v>
      </c>
      <c r="C484" s="1" t="str">
        <f t="shared" ref="C484:E484" si="730">+C483</f>
        <v>103</v>
      </c>
      <c r="D484" s="1">
        <f t="shared" si="730"/>
        <v>0</v>
      </c>
      <c r="E484" s="12" t="str">
        <f t="shared" si="730"/>
        <v/>
      </c>
      <c r="F484" s="7"/>
      <c r="G484" s="2">
        <f>-'libro compras'!AI483</f>
        <v>0</v>
      </c>
      <c r="H484" s="7"/>
      <c r="I484" s="7" t="s">
        <v>36</v>
      </c>
      <c r="J484" s="7" t="str">
        <f>+CONCATENATE('libro compras'!C483," ",'libro compras'!D483)</f>
        <v xml:space="preserve"> </v>
      </c>
      <c r="K484" s="5">
        <f t="shared" ref="K484:M484" si="731">+K483</f>
        <v>0</v>
      </c>
      <c r="L484" s="1">
        <f t="shared" si="731"/>
        <v>0</v>
      </c>
      <c r="M484" s="1">
        <f t="shared" si="731"/>
        <v>0</v>
      </c>
      <c r="N484" s="7" t="s">
        <v>57</v>
      </c>
    </row>
    <row r="485" spans="1:14" x14ac:dyDescent="0.25">
      <c r="A485" s="9">
        <f t="shared" si="685"/>
        <v>121</v>
      </c>
      <c r="B485" s="2" t="e">
        <f>+VLOOKUP(B484,Hoja1!$A$1:$B$2,2,FALSE)</f>
        <v>#N/A</v>
      </c>
      <c r="C485" s="1" t="str">
        <f t="shared" ref="C485:E485" si="732">+C484</f>
        <v>103</v>
      </c>
      <c r="D485" s="1">
        <f t="shared" si="732"/>
        <v>0</v>
      </c>
      <c r="E485" s="12" t="str">
        <f t="shared" si="732"/>
        <v/>
      </c>
      <c r="F485" s="7"/>
      <c r="G485" s="2">
        <f>-'libro compras'!AB483</f>
        <v>0</v>
      </c>
      <c r="H485" s="7"/>
      <c r="I485" s="7" t="s">
        <v>36</v>
      </c>
      <c r="J485" s="7" t="str">
        <f>+CONCATENATE('libro compras'!C483," ",'libro compras'!D483)</f>
        <v xml:space="preserve"> </v>
      </c>
      <c r="K485" s="5">
        <f t="shared" ref="K485:M485" si="733">+K484</f>
        <v>0</v>
      </c>
      <c r="L485" s="1">
        <f t="shared" si="733"/>
        <v>0</v>
      </c>
      <c r="M485" s="1">
        <f t="shared" si="733"/>
        <v>0</v>
      </c>
      <c r="N485" s="7" t="s">
        <v>57</v>
      </c>
    </row>
    <row r="486" spans="1:14" x14ac:dyDescent="0.25">
      <c r="A486" s="9">
        <f t="shared" si="685"/>
        <v>122</v>
      </c>
      <c r="B486" s="5" t="str">
        <f>+'libro compras'!$AI$1</f>
        <v>281110</v>
      </c>
      <c r="C486" s="1" t="str">
        <f>+'libro compras'!Q487</f>
        <v>103</v>
      </c>
      <c r="D486" s="1">
        <f>+'libro compras'!R487</f>
        <v>0</v>
      </c>
      <c r="E486" s="12" t="str">
        <f>+'libro compras'!S487</f>
        <v/>
      </c>
      <c r="F486" s="7"/>
      <c r="G486" s="2">
        <f>+'libro compras'!AK487</f>
        <v>0</v>
      </c>
      <c r="H486" s="7"/>
      <c r="I486" s="7" t="s">
        <v>56</v>
      </c>
      <c r="J486" s="7" t="str">
        <f>+CONCATENATE('libro compras'!C487," ",'libro compras'!D487)</f>
        <v xml:space="preserve"> </v>
      </c>
      <c r="K486" s="5">
        <f>+'libro compras'!F487</f>
        <v>0</v>
      </c>
      <c r="L486" s="1">
        <f>+'libro compras'!C487</f>
        <v>0</v>
      </c>
      <c r="M486" s="5">
        <f>+'libro compras'!D487</f>
        <v>0</v>
      </c>
      <c r="N486" s="7" t="s">
        <v>57</v>
      </c>
    </row>
    <row r="487" spans="1:14" hidden="1" x14ac:dyDescent="0.25">
      <c r="A487" s="9">
        <f t="shared" si="685"/>
        <v>122</v>
      </c>
      <c r="B487" s="5" t="str">
        <f>+'libro compras'!$AJ$1</f>
        <v>401110</v>
      </c>
      <c r="C487" s="1" t="str">
        <f t="shared" ref="C487:E487" si="734">+C486</f>
        <v>103</v>
      </c>
      <c r="D487" s="1">
        <f t="shared" si="734"/>
        <v>0</v>
      </c>
      <c r="E487" s="12" t="str">
        <f t="shared" si="734"/>
        <v/>
      </c>
      <c r="F487" s="7"/>
      <c r="G487" s="2">
        <f>+'libro compras'!AJ487</f>
        <v>0</v>
      </c>
      <c r="H487" s="7"/>
      <c r="I487" s="7" t="s">
        <v>56</v>
      </c>
      <c r="J487" s="7" t="str">
        <f t="shared" ref="J487:M487" si="735">+J486</f>
        <v xml:space="preserve"> </v>
      </c>
      <c r="K487" s="5">
        <f t="shared" si="735"/>
        <v>0</v>
      </c>
      <c r="L487" s="1">
        <f t="shared" si="735"/>
        <v>0</v>
      </c>
      <c r="M487" s="1">
        <f t="shared" si="735"/>
        <v>0</v>
      </c>
      <c r="N487" s="7" t="s">
        <v>57</v>
      </c>
    </row>
    <row r="488" spans="1:14" x14ac:dyDescent="0.25">
      <c r="A488" s="9">
        <f t="shared" si="685"/>
        <v>122</v>
      </c>
      <c r="B488" s="5" t="e">
        <f>+'libro compras'!P487</f>
        <v>#N/A</v>
      </c>
      <c r="C488" s="1" t="str">
        <f t="shared" ref="C488:E488" si="736">+C487</f>
        <v>103</v>
      </c>
      <c r="D488" s="1">
        <f t="shared" si="736"/>
        <v>0</v>
      </c>
      <c r="E488" s="12" t="str">
        <f t="shared" si="736"/>
        <v/>
      </c>
      <c r="F488" s="7"/>
      <c r="G488" s="2">
        <f>-'libro compras'!AI487</f>
        <v>0</v>
      </c>
      <c r="H488" s="7"/>
      <c r="I488" s="7" t="s">
        <v>36</v>
      </c>
      <c r="J488" s="7" t="str">
        <f>+CONCATENATE('libro compras'!C487," ",'libro compras'!D487)</f>
        <v xml:space="preserve"> </v>
      </c>
      <c r="K488" s="5">
        <f t="shared" ref="K488:M488" si="737">+K487</f>
        <v>0</v>
      </c>
      <c r="L488" s="1">
        <f t="shared" si="737"/>
        <v>0</v>
      </c>
      <c r="M488" s="1">
        <f t="shared" si="737"/>
        <v>0</v>
      </c>
      <c r="N488" s="7" t="s">
        <v>57</v>
      </c>
    </row>
    <row r="489" spans="1:14" x14ac:dyDescent="0.25">
      <c r="A489" s="9">
        <f t="shared" si="685"/>
        <v>122</v>
      </c>
      <c r="B489" s="2" t="e">
        <f>+VLOOKUP(B488,Hoja1!$A$1:$B$2,2,FALSE)</f>
        <v>#N/A</v>
      </c>
      <c r="C489" s="1" t="str">
        <f t="shared" ref="C489:E489" si="738">+C488</f>
        <v>103</v>
      </c>
      <c r="D489" s="1">
        <f t="shared" si="738"/>
        <v>0</v>
      </c>
      <c r="E489" s="12" t="str">
        <f t="shared" si="738"/>
        <v/>
      </c>
      <c r="F489" s="7"/>
      <c r="G489" s="2">
        <f>-'libro compras'!AB487</f>
        <v>0</v>
      </c>
      <c r="H489" s="7"/>
      <c r="I489" s="7" t="s">
        <v>36</v>
      </c>
      <c r="J489" s="7" t="str">
        <f>+CONCATENATE('libro compras'!C487," ",'libro compras'!D487)</f>
        <v xml:space="preserve"> </v>
      </c>
      <c r="K489" s="5">
        <f t="shared" ref="K489:M489" si="739">+K488</f>
        <v>0</v>
      </c>
      <c r="L489" s="1">
        <f t="shared" si="739"/>
        <v>0</v>
      </c>
      <c r="M489" s="1">
        <f t="shared" si="739"/>
        <v>0</v>
      </c>
      <c r="N489" s="7" t="s">
        <v>57</v>
      </c>
    </row>
  </sheetData>
  <autoFilter ref="A1:N489" xr:uid="{28BE7508-02E0-4146-9E1F-8E351D118524}">
    <filterColumn colId="0">
      <filters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4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  <filterColumn colId="6">
      <filters>
        <filter val="1,032.00"/>
        <filter val="1,040.72"/>
        <filter val="-1,383.00"/>
        <filter val="1,438.25"/>
        <filter val="-1,438.25"/>
        <filter val="-1,483.00"/>
        <filter val="-1,539.00"/>
        <filter val="-1,618.02"/>
        <filter val="-1,634.00"/>
        <filter val="-1,668.00"/>
        <filter val="-1,683.00"/>
        <filter val="1,811.50"/>
        <filter val="-1,811.50"/>
        <filter val="1,893.20"/>
        <filter val="-1,893.20"/>
        <filter val="-1,960.00"/>
        <filter val="10,828.87"/>
        <filter val="-10,828.87"/>
        <filter val="-10,972.08"/>
        <filter val="100,755.45"/>
        <filter val="-100,755.45"/>
        <filter val="-102,216.00"/>
        <filter val="-105,280.00"/>
        <filter val="11,237.78"/>
        <filter val="-11,237.78"/>
        <filter val="-11,245.56"/>
        <filter val="11,316.15"/>
        <filter val="-11,316.15"/>
        <filter val="115,673.29"/>
        <filter val="-115,673.29"/>
        <filter val="121,329.26"/>
        <filter val="-121,329.26"/>
        <filter val="129,133.71"/>
        <filter val="-129,133.71"/>
        <filter val="13,501.90"/>
        <filter val="-13,501.90"/>
        <filter val="-13,950.00"/>
        <filter val="-13.26"/>
        <filter val="136,901.23"/>
        <filter val="-136,901.23"/>
        <filter val="138,492.83"/>
        <filter val="-138,492.83"/>
        <filter val="-14,675.00"/>
        <filter val="140,554.24"/>
        <filter val="-140,554.24"/>
        <filter val="147,045.45"/>
        <filter val="-147,045.45"/>
        <filter val="15,012.00"/>
        <filter val="-15,147.00"/>
        <filter val="15,445.77"/>
        <filter val="-15,445.77"/>
        <filter val="-15,957.06"/>
        <filter val="152,362.92"/>
        <filter val="-152,362.92"/>
        <filter val="155.23"/>
        <filter val="-155.23"/>
        <filter val="-156,096.72"/>
        <filter val="157,932.47"/>
        <filter val="-157,932.47"/>
        <filter val="-158.33"/>
        <filter val="-16,538.88"/>
        <filter val="16,857.40"/>
        <filter val="-16,857.40"/>
        <filter val="16,976.71"/>
        <filter val="-16,976.71"/>
        <filter val="-17,240.48"/>
        <filter val="-17,287.20"/>
        <filter val="-17,768.52"/>
        <filter val="171,282.99"/>
        <filter val="-171,282.99"/>
        <filter val="178,060.21"/>
        <filter val="-178,060.21"/>
        <filter val="-2,378.00"/>
        <filter val="2,527.54"/>
        <filter val="-2,527.54"/>
        <filter val="2,876.50"/>
        <filter val="-2,876.50"/>
        <filter val="-2,966.00"/>
        <filter val="20,252.86"/>
        <filter val="-20,252.86"/>
        <filter val="-20,373.12"/>
        <filter val="200,030.90"/>
        <filter val="-200,030.90"/>
        <filter val="202,764.04"/>
        <filter val="-202,764.04"/>
        <filter val="204,800.24"/>
        <filter val="-204,800.24"/>
        <filter val="-21,076.58"/>
        <filter val="21,657.73"/>
        <filter val="-21,657.73"/>
        <filter val="21,686.29"/>
        <filter val="-21,686.29"/>
        <filter val="-21,944.16"/>
        <filter val="22,272.41"/>
        <filter val="-22,272.41"/>
        <filter val="22,333.97"/>
        <filter val="-22,333.97"/>
        <filter val="22,635.61"/>
        <filter val="-22,635.61"/>
        <filter val="225,527.85"/>
        <filter val="-225,527.85"/>
        <filter val="-23,031.36"/>
        <filter val="231,083.29"/>
        <filter val="-231,083.29"/>
        <filter val="235,179.59"/>
        <filter val="-235,179.59"/>
        <filter val="242,169.77"/>
        <filter val="-242,169.77"/>
        <filter val="-25,446.20"/>
        <filter val="25,517.18"/>
        <filter val="-25,517.18"/>
        <filter val="253,697.22"/>
        <filter val="-253,697.22"/>
        <filter val="258,030.86"/>
        <filter val="-258,030.86"/>
        <filter val="26,216.93"/>
        <filter val="-26,216.93"/>
        <filter val="26,411.09"/>
        <filter val="-26,411.09"/>
        <filter val="-27,253.30"/>
        <filter val="27,524.48"/>
        <filter val="-27,524.48"/>
        <filter val="27,840.51"/>
        <filter val="-27,840.51"/>
        <filter val="27,917.46"/>
        <filter val="-27,917.46"/>
        <filter val="27.16"/>
        <filter val="-27.16"/>
        <filter val="28,094.45"/>
        <filter val="-28,094.45"/>
        <filter val="28,202.18"/>
        <filter val="-28,202.18"/>
        <filter val="28,294.52"/>
        <filter val="-28,294.52"/>
        <filter val="29,366.70"/>
        <filter val="-29,366.70"/>
        <filter val="29,560.86"/>
        <filter val="-29,560.86"/>
        <filter val="293,280.29"/>
        <filter val="-293,280.29"/>
        <filter val="-3,078.00"/>
        <filter val="-3,115.68"/>
        <filter val="-3,736.00"/>
        <filter val="3,786.41"/>
        <filter val="-3,786.41"/>
        <filter val="3,802.79"/>
        <filter val="-3,802.79"/>
        <filter val="30,412.17"/>
        <filter val="-30,412.17"/>
        <filter val="30,596.94"/>
        <filter val="-30,596.94"/>
        <filter val="31,184.46"/>
        <filter val="-31,184.46"/>
        <filter val="31,199.44"/>
        <filter val="-31,199.44"/>
        <filter val="-31,501.44"/>
        <filter val="-32,916.24"/>
        <filter val="33,325.85"/>
        <filter val="-33,325.85"/>
        <filter val="33,905.18"/>
        <filter val="-33,905.18"/>
        <filter val="333,213.12"/>
        <filter val="-333,213.12"/>
        <filter val="336,545.25"/>
        <filter val="-336,545.25"/>
        <filter val="342,506.94"/>
        <filter val="-342,506.94"/>
        <filter val="-35,731.52"/>
        <filter val="-36,931.42"/>
        <filter val="-37,384.28"/>
        <filter val="371,044.08"/>
        <filter val="-371,044.08"/>
        <filter val="-38,891.60"/>
        <filter val="388,062.08"/>
        <filter val="-388,062.08"/>
        <filter val="-392.00"/>
        <filter val="4,197.22"/>
        <filter val="-4,617.00"/>
        <filter val="-4,617.20"/>
        <filter val="-40,530.72"/>
        <filter val="40,552.81"/>
        <filter val="-40,552.81"/>
        <filter val="40,708.93"/>
        <filter val="-40,708.93"/>
        <filter val="-41,595.12"/>
        <filter val="-42.74"/>
        <filter val="-43,388.04"/>
        <filter val="-46,569.60"/>
        <filter val="48.84"/>
        <filter val="-48.84"/>
        <filter val="-49,079.44"/>
        <filter val="494.00"/>
        <filter val="5,003.69"/>
        <filter val="-5,003.69"/>
        <filter val="5,017.52"/>
        <filter val="-5,017.52"/>
        <filter val="5,028.59"/>
        <filter val="-5,028.59"/>
        <filter val="5,034.12"/>
        <filter val="-5,034.12"/>
        <filter val="5,042.42"/>
        <filter val="-5,042.42"/>
        <filter val="5,365.49"/>
        <filter val="-5,365.49"/>
        <filter val="5,414.43"/>
        <filter val="-5,414.43"/>
        <filter val="5,460.41"/>
        <filter val="-5,460.41"/>
        <filter val="5,568.10"/>
        <filter val="-5,568.10"/>
        <filter val="-5,604.00"/>
        <filter val="5,873.41"/>
        <filter val="-5,873.41"/>
        <filter val="5,928.15"/>
        <filter val="-5,928.15"/>
        <filter val="-5,932.00"/>
        <filter val="-5,994.00"/>
        <filter val="51,615.00"/>
        <filter val="-51,615.00"/>
        <filter val="516.00"/>
        <filter val="53,813.23"/>
        <filter val="-53,813.23"/>
        <filter val="-54,860.40"/>
        <filter val="-55,014.00"/>
        <filter val="55,074.49"/>
        <filter val="-55,074.49"/>
        <filter val="55,409.29"/>
        <filter val="-55,409.29"/>
        <filter val="-56,418.80"/>
        <filter val="573,187.16"/>
        <filter val="-573,187.16"/>
        <filter val="575.05"/>
        <filter val="-575.05"/>
        <filter val="59,041.12"/>
        <filter val="-59,041.12"/>
        <filter val="6,119.39"/>
        <filter val="-6,119.39"/>
        <filter val="6,121.56"/>
        <filter val="-6,121.56"/>
        <filter val="-6,156.00"/>
        <filter val="-6,904.00"/>
        <filter val="60,449.61"/>
        <filter val="-60,449.61"/>
        <filter val="-61,958.20"/>
        <filter val="-62,862.70"/>
        <filter val="63,548.41"/>
        <filter val="-63,548.41"/>
        <filter val="-64,274.28"/>
        <filter val="64,535.26"/>
        <filter val="-64,535.26"/>
        <filter val="64,602.27"/>
        <filter val="-64,602.27"/>
        <filter val="-65,504.40"/>
        <filter val="-69,430.00"/>
        <filter val="-694.38"/>
        <filter val="7,118.72"/>
        <filter val="-7,118.72"/>
        <filter val="-7,182.72"/>
        <filter val="-7,206.30"/>
        <filter val="-7,415.00"/>
        <filter val="-7,695.00"/>
        <filter val="-7.45"/>
        <filter val="-70,616.00"/>
        <filter val="73,750.69"/>
        <filter val="-73,750.69"/>
        <filter val="76,465.83"/>
        <filter val="-76,465.83"/>
        <filter val="-784.00"/>
        <filter val="-8,090.00"/>
        <filter val="-8,298.00"/>
        <filter val="-8,415.00"/>
        <filter val="-8,432.28"/>
        <filter val="-8,532.00"/>
        <filter val="8,636.90"/>
        <filter val="-8,636.90"/>
        <filter val="80,118.13"/>
        <filter val="-80,118.13"/>
        <filter val="-81,061.44"/>
        <filter val="85,953.04"/>
        <filter val="-85,953.04"/>
        <filter val="-9,093.00"/>
        <filter val="-9,205.86"/>
        <filter val="-90,057.60"/>
        <filter val="92,369.71"/>
        <filter val="-92,369.71"/>
        <filter val="-92,644.56"/>
      </filters>
    </filterColumn>
  </autoFilter>
  <phoneticPr fontId="3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5BE7-AF17-485B-AC3B-993DE21B4A6A}">
  <sheetPr codeName="Sheet4"/>
  <dimension ref="A1:C30"/>
  <sheetViews>
    <sheetView workbookViewId="0">
      <selection activeCell="B30" sqref="B30"/>
    </sheetView>
  </sheetViews>
  <sheetFormatPr defaultColWidth="10.85546875" defaultRowHeight="12.75" x14ac:dyDescent="0.2"/>
  <cols>
    <col min="1" max="16384" width="10.85546875" style="16"/>
  </cols>
  <sheetData>
    <row r="1" spans="1:3" x14ac:dyDescent="0.2">
      <c r="A1" s="19">
        <v>431202</v>
      </c>
      <c r="B1" s="15" t="s">
        <v>4</v>
      </c>
    </row>
    <row r="2" spans="1:3" x14ac:dyDescent="0.2">
      <c r="A2" s="16">
        <v>421203</v>
      </c>
      <c r="B2" s="15" t="s">
        <v>58</v>
      </c>
    </row>
    <row r="4" spans="1:3" x14ac:dyDescent="0.2">
      <c r="A4" s="18" t="s">
        <v>42</v>
      </c>
      <c r="B4" s="18">
        <v>45</v>
      </c>
      <c r="C4" s="20">
        <v>431202</v>
      </c>
    </row>
    <row r="5" spans="1:3" x14ac:dyDescent="0.2">
      <c r="A5" s="18" t="s">
        <v>59</v>
      </c>
      <c r="B5" s="18">
        <v>13</v>
      </c>
      <c r="C5" s="21">
        <v>421201</v>
      </c>
    </row>
    <row r="6" spans="1:3" x14ac:dyDescent="0.2">
      <c r="A6" s="18" t="s">
        <v>60</v>
      </c>
      <c r="B6" s="18">
        <v>180</v>
      </c>
      <c r="C6" s="20">
        <v>421203</v>
      </c>
    </row>
    <row r="7" spans="1:3" x14ac:dyDescent="0.2">
      <c r="A7" s="18" t="s">
        <v>35</v>
      </c>
      <c r="B7" s="18">
        <v>180</v>
      </c>
      <c r="C7" s="20">
        <v>421203</v>
      </c>
    </row>
    <row r="8" spans="1:3" x14ac:dyDescent="0.2">
      <c r="A8" s="17" t="s">
        <v>61</v>
      </c>
      <c r="B8" s="18">
        <v>45</v>
      </c>
      <c r="C8" s="20">
        <v>431202</v>
      </c>
    </row>
    <row r="9" spans="1:3" x14ac:dyDescent="0.2">
      <c r="A9" s="17" t="s">
        <v>62</v>
      </c>
      <c r="B9" s="18">
        <v>90</v>
      </c>
      <c r="C9" s="20">
        <v>421203</v>
      </c>
    </row>
    <row r="10" spans="1:3" x14ac:dyDescent="0.2">
      <c r="A10" s="17" t="s">
        <v>63</v>
      </c>
      <c r="B10" s="18">
        <v>30</v>
      </c>
      <c r="C10" s="20">
        <v>421203</v>
      </c>
    </row>
    <row r="11" spans="1:3" x14ac:dyDescent="0.2">
      <c r="A11" s="17" t="s">
        <v>64</v>
      </c>
      <c r="B11" s="18">
        <v>75</v>
      </c>
      <c r="C11" s="20">
        <v>421203</v>
      </c>
    </row>
    <row r="12" spans="1:3" x14ac:dyDescent="0.2">
      <c r="A12" s="17" t="s">
        <v>65</v>
      </c>
      <c r="B12" s="18">
        <v>120</v>
      </c>
      <c r="C12" s="20">
        <v>421203</v>
      </c>
    </row>
    <row r="13" spans="1:3" x14ac:dyDescent="0.2">
      <c r="A13" s="17" t="s">
        <v>127</v>
      </c>
      <c r="B13" s="18">
        <v>180</v>
      </c>
      <c r="C13" s="20">
        <v>421203</v>
      </c>
    </row>
    <row r="14" spans="1:3" x14ac:dyDescent="0.2">
      <c r="A14" s="17" t="s">
        <v>66</v>
      </c>
      <c r="B14" s="18">
        <v>60</v>
      </c>
      <c r="C14" s="20">
        <v>421203</v>
      </c>
    </row>
    <row r="15" spans="1:3" x14ac:dyDescent="0.2">
      <c r="A15" s="17" t="s">
        <v>126</v>
      </c>
      <c r="B15" s="18">
        <v>45</v>
      </c>
      <c r="C15" s="20">
        <v>431202</v>
      </c>
    </row>
    <row r="16" spans="1:3" x14ac:dyDescent="0.2">
      <c r="A16" s="17" t="s">
        <v>67</v>
      </c>
      <c r="B16" s="18">
        <v>150</v>
      </c>
      <c r="C16" s="20">
        <v>421203</v>
      </c>
    </row>
    <row r="17" spans="1:3" x14ac:dyDescent="0.2">
      <c r="A17" s="17" t="s">
        <v>68</v>
      </c>
      <c r="B17" s="18">
        <v>90</v>
      </c>
      <c r="C17" s="20">
        <v>421203</v>
      </c>
    </row>
    <row r="18" spans="1:3" x14ac:dyDescent="0.2">
      <c r="A18" s="17" t="s">
        <v>69</v>
      </c>
      <c r="B18" s="18">
        <v>180</v>
      </c>
      <c r="C18" s="20">
        <v>421203</v>
      </c>
    </row>
    <row r="19" spans="1:3" x14ac:dyDescent="0.2">
      <c r="A19" s="17" t="s">
        <v>70</v>
      </c>
      <c r="B19" s="18">
        <v>180</v>
      </c>
      <c r="C19" s="20">
        <v>421203</v>
      </c>
    </row>
    <row r="20" spans="1:3" x14ac:dyDescent="0.2">
      <c r="A20" s="17" t="s">
        <v>71</v>
      </c>
      <c r="B20" s="18">
        <v>180</v>
      </c>
      <c r="C20" s="20">
        <v>421203</v>
      </c>
    </row>
    <row r="21" spans="1:3" x14ac:dyDescent="0.2">
      <c r="A21" s="17" t="s">
        <v>72</v>
      </c>
      <c r="B21" s="18">
        <v>45</v>
      </c>
      <c r="C21" s="20">
        <v>431202</v>
      </c>
    </row>
    <row r="22" spans="1:3" x14ac:dyDescent="0.2">
      <c r="A22" s="17" t="s">
        <v>73</v>
      </c>
      <c r="B22" s="18">
        <v>30</v>
      </c>
      <c r="C22" s="20">
        <v>431202</v>
      </c>
    </row>
    <row r="23" spans="1:3" x14ac:dyDescent="0.2">
      <c r="A23" s="18" t="s">
        <v>74</v>
      </c>
      <c r="B23" s="18">
        <v>45</v>
      </c>
      <c r="C23" s="20">
        <v>431202</v>
      </c>
    </row>
    <row r="24" spans="1:3" x14ac:dyDescent="0.2">
      <c r="A24" s="18" t="s">
        <v>75</v>
      </c>
      <c r="B24" s="18">
        <v>60</v>
      </c>
      <c r="C24" s="20">
        <v>431202</v>
      </c>
    </row>
    <row r="25" spans="1:3" x14ac:dyDescent="0.2">
      <c r="A25" s="18" t="s">
        <v>76</v>
      </c>
      <c r="B25" s="18">
        <v>120</v>
      </c>
      <c r="C25" s="20">
        <v>421203</v>
      </c>
    </row>
    <row r="26" spans="1:3" x14ac:dyDescent="0.2">
      <c r="A26" s="18" t="s">
        <v>77</v>
      </c>
      <c r="B26" s="18">
        <v>45</v>
      </c>
      <c r="C26" s="20">
        <v>431202</v>
      </c>
    </row>
    <row r="27" spans="1:3" x14ac:dyDescent="0.2">
      <c r="A27" s="18" t="s">
        <v>78</v>
      </c>
      <c r="B27" s="18">
        <v>120</v>
      </c>
      <c r="C27" s="20">
        <v>421203</v>
      </c>
    </row>
    <row r="28" spans="1:3" x14ac:dyDescent="0.2">
      <c r="A28" s="18" t="s">
        <v>79</v>
      </c>
      <c r="B28" s="18">
        <v>180</v>
      </c>
      <c r="C28" s="20">
        <v>421203</v>
      </c>
    </row>
    <row r="29" spans="1:3" x14ac:dyDescent="0.2">
      <c r="A29" s="16" t="s">
        <v>125</v>
      </c>
      <c r="B29" s="16">
        <v>30</v>
      </c>
      <c r="C29" s="16">
        <v>421202</v>
      </c>
    </row>
    <row r="30" spans="1:3" x14ac:dyDescent="0.2">
      <c r="A30" s="16" t="s">
        <v>128</v>
      </c>
      <c r="B30" s="18">
        <v>45</v>
      </c>
      <c r="C30" s="16">
        <v>431202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9647-1FF4-4DBE-AC6F-F1C2DE167948}">
  <sheetPr codeName="Sheet5"/>
  <dimension ref="A1:A45"/>
  <sheetViews>
    <sheetView workbookViewId="0">
      <pane ySplit="1" topLeftCell="A2" activePane="bottomLeft" state="frozen"/>
      <selection pane="bottomLeft" activeCell="A3" sqref="A3"/>
    </sheetView>
  </sheetViews>
  <sheetFormatPr defaultColWidth="11.42578125" defaultRowHeight="15" x14ac:dyDescent="0.25"/>
  <sheetData>
    <row r="1" spans="1:1" x14ac:dyDescent="0.25">
      <c r="A1" t="s">
        <v>20</v>
      </c>
    </row>
    <row r="2" spans="1:1" x14ac:dyDescent="0.25">
      <c r="A2" s="22" t="s">
        <v>80</v>
      </c>
    </row>
    <row r="3" spans="1:1" x14ac:dyDescent="0.25">
      <c r="A3" s="22" t="s">
        <v>81</v>
      </c>
    </row>
    <row r="4" spans="1:1" x14ac:dyDescent="0.25">
      <c r="A4" s="22" t="s">
        <v>82</v>
      </c>
    </row>
    <row r="5" spans="1:1" x14ac:dyDescent="0.25">
      <c r="A5" s="22" t="s">
        <v>83</v>
      </c>
    </row>
    <row r="6" spans="1:1" x14ac:dyDescent="0.25">
      <c r="A6" s="22" t="s">
        <v>84</v>
      </c>
    </row>
    <row r="7" spans="1:1" x14ac:dyDescent="0.25">
      <c r="A7" s="22" t="s">
        <v>85</v>
      </c>
    </row>
    <row r="8" spans="1:1" x14ac:dyDescent="0.25">
      <c r="A8" s="22" t="s">
        <v>86</v>
      </c>
    </row>
    <row r="9" spans="1:1" x14ac:dyDescent="0.25">
      <c r="A9" s="22" t="s">
        <v>87</v>
      </c>
    </row>
    <row r="10" spans="1:1" x14ac:dyDescent="0.25">
      <c r="A10" s="22" t="s">
        <v>88</v>
      </c>
    </row>
    <row r="11" spans="1:1" x14ac:dyDescent="0.25">
      <c r="A11" s="22" t="s">
        <v>89</v>
      </c>
    </row>
    <row r="12" spans="1:1" x14ac:dyDescent="0.25">
      <c r="A12" s="22" t="s">
        <v>90</v>
      </c>
    </row>
    <row r="13" spans="1:1" x14ac:dyDescent="0.25">
      <c r="A13" s="22" t="s">
        <v>91</v>
      </c>
    </row>
    <row r="14" spans="1:1" x14ac:dyDescent="0.25">
      <c r="A14" s="22" t="s">
        <v>92</v>
      </c>
    </row>
    <row r="15" spans="1:1" x14ac:dyDescent="0.25">
      <c r="A15" s="22" t="s">
        <v>93</v>
      </c>
    </row>
    <row r="16" spans="1:1" x14ac:dyDescent="0.25">
      <c r="A16" s="22" t="s">
        <v>94</v>
      </c>
    </row>
    <row r="17" spans="1:1" x14ac:dyDescent="0.25">
      <c r="A17" s="22" t="s">
        <v>95</v>
      </c>
    </row>
    <row r="18" spans="1:1" x14ac:dyDescent="0.25">
      <c r="A18" s="22" t="s">
        <v>96</v>
      </c>
    </row>
    <row r="19" spans="1:1" x14ac:dyDescent="0.25">
      <c r="A19" s="22" t="s">
        <v>97</v>
      </c>
    </row>
    <row r="20" spans="1:1" x14ac:dyDescent="0.25">
      <c r="A20" s="22" t="s">
        <v>98</v>
      </c>
    </row>
    <row r="21" spans="1:1" x14ac:dyDescent="0.25">
      <c r="A21" s="22" t="s">
        <v>99</v>
      </c>
    </row>
    <row r="22" spans="1:1" x14ac:dyDescent="0.25">
      <c r="A22" s="22" t="s">
        <v>100</v>
      </c>
    </row>
    <row r="23" spans="1:1" x14ac:dyDescent="0.25">
      <c r="A23" s="22" t="s">
        <v>101</v>
      </c>
    </row>
    <row r="24" spans="1:1" x14ac:dyDescent="0.25">
      <c r="A24" s="22" t="s">
        <v>102</v>
      </c>
    </row>
    <row r="25" spans="1:1" x14ac:dyDescent="0.25">
      <c r="A25" s="22" t="s">
        <v>103</v>
      </c>
    </row>
    <row r="26" spans="1:1" x14ac:dyDescent="0.25">
      <c r="A26" s="22" t="s">
        <v>104</v>
      </c>
    </row>
    <row r="27" spans="1:1" x14ac:dyDescent="0.25">
      <c r="A27" s="22" t="s">
        <v>105</v>
      </c>
    </row>
    <row r="28" spans="1:1" x14ac:dyDescent="0.25">
      <c r="A28" s="22" t="s">
        <v>106</v>
      </c>
    </row>
    <row r="29" spans="1:1" x14ac:dyDescent="0.25">
      <c r="A29" s="22" t="s">
        <v>107</v>
      </c>
    </row>
    <row r="30" spans="1:1" x14ac:dyDescent="0.25">
      <c r="A30" s="22" t="s">
        <v>108</v>
      </c>
    </row>
    <row r="31" spans="1:1" x14ac:dyDescent="0.25">
      <c r="A31" s="22" t="s">
        <v>109</v>
      </c>
    </row>
    <row r="32" spans="1:1" x14ac:dyDescent="0.25">
      <c r="A32" s="22" t="s">
        <v>110</v>
      </c>
    </row>
    <row r="33" spans="1:1" x14ac:dyDescent="0.25">
      <c r="A33" s="22" t="s">
        <v>111</v>
      </c>
    </row>
    <row r="34" spans="1:1" x14ac:dyDescent="0.25">
      <c r="A34" s="22" t="s">
        <v>112</v>
      </c>
    </row>
    <row r="35" spans="1:1" x14ac:dyDescent="0.25">
      <c r="A35" t="s">
        <v>113</v>
      </c>
    </row>
    <row r="36" spans="1:1" x14ac:dyDescent="0.25">
      <c r="A36" t="s">
        <v>114</v>
      </c>
    </row>
    <row r="37" spans="1:1" x14ac:dyDescent="0.25">
      <c r="A37" t="s">
        <v>115</v>
      </c>
    </row>
    <row r="38" spans="1:1" x14ac:dyDescent="0.25">
      <c r="A38" t="s">
        <v>116</v>
      </c>
    </row>
    <row r="39" spans="1:1" x14ac:dyDescent="0.25">
      <c r="A39" t="s">
        <v>117</v>
      </c>
    </row>
    <row r="40" spans="1:1" x14ac:dyDescent="0.25">
      <c r="A40" t="s">
        <v>118</v>
      </c>
    </row>
    <row r="41" spans="1:1" x14ac:dyDescent="0.25">
      <c r="A41" t="s">
        <v>119</v>
      </c>
    </row>
    <row r="42" spans="1:1" x14ac:dyDescent="0.25">
      <c r="A42" t="s">
        <v>120</v>
      </c>
    </row>
    <row r="43" spans="1:1" x14ac:dyDescent="0.25">
      <c r="A43" t="s">
        <v>121</v>
      </c>
    </row>
    <row r="44" spans="1:1" x14ac:dyDescent="0.25">
      <c r="A44" t="s">
        <v>122</v>
      </c>
    </row>
    <row r="45" spans="1:1" x14ac:dyDescent="0.25">
      <c r="A45" t="s">
        <v>123</v>
      </c>
    </row>
  </sheetData>
  <autoFilter ref="A1:A45" xr:uid="{0E6C9647-1FF4-4DBE-AC6F-F1C2DE167948}">
    <sortState xmlns:xlrd2="http://schemas.microsoft.com/office/spreadsheetml/2017/richdata2" ref="A2:A45">
      <sortCondition ref="A1:A4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E22DF2EC5DC54BA12D68AA587887CD" ma:contentTypeVersion="3" ma:contentTypeDescription="Create a new document." ma:contentTypeScope="" ma:versionID="33671a37ff4ef9dac155cb5934306d46">
  <xsd:schema xmlns:xsd="http://www.w3.org/2001/XMLSchema" xmlns:xs="http://www.w3.org/2001/XMLSchema" xmlns:p="http://schemas.microsoft.com/office/2006/metadata/properties" xmlns:ns2="f896a4ba-480b-4244-92a2-7b4f64f0ffca" targetNamespace="http://schemas.microsoft.com/office/2006/metadata/properties" ma:root="true" ma:fieldsID="c4279507df5bfd8adce4597cf3e64ccb" ns2:_="">
    <xsd:import namespace="f896a4ba-480b-4244-92a2-7b4f64f0ff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6a4ba-480b-4244-92a2-7b4f64f0ff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9E800B-A665-425F-95FE-3D32828900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6a4ba-480b-4244-92a2-7b4f64f0ff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4BDDD7-ED24-4676-8EF4-D458E043C4C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f896a4ba-480b-4244-92a2-7b4f64f0ffc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9530ECA-69AE-4F58-AC3E-FEE0BC19C9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libro compras</vt:lpstr>
      <vt:lpstr>asiento conta</vt:lpstr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Torrealva</dc:creator>
  <cp:keywords/>
  <dc:description/>
  <cp:lastModifiedBy>Thiago Farias</cp:lastModifiedBy>
  <cp:revision/>
  <dcterms:created xsi:type="dcterms:W3CDTF">2024-08-13T19:39:03Z</dcterms:created>
  <dcterms:modified xsi:type="dcterms:W3CDTF">2025-08-18T12:59:14Z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7eab6e-04c6-4822-9252-98ab9f25736b_Enabled">
    <vt:lpwstr>true</vt:lpwstr>
  </property>
  <property fmtid="{D5CDD505-2E9C-101B-9397-08002B2CF9AE}" pid="3" name="MSIP_Label_477eab6e-04c6-4822-9252-98ab9f25736b_SetDate">
    <vt:lpwstr>2024-08-13T19:41:55Z</vt:lpwstr>
  </property>
  <property fmtid="{D5CDD505-2E9C-101B-9397-08002B2CF9AE}" pid="4" name="MSIP_Label_477eab6e-04c6-4822-9252-98ab9f25736b_Method">
    <vt:lpwstr>Standard</vt:lpwstr>
  </property>
  <property fmtid="{D5CDD505-2E9C-101B-9397-08002B2CF9AE}" pid="5" name="MSIP_Label_477eab6e-04c6-4822-9252-98ab9f25736b_Name">
    <vt:lpwstr>477eab6e-04c6-4822-9252-98ab9f25736b</vt:lpwstr>
  </property>
  <property fmtid="{D5CDD505-2E9C-101B-9397-08002B2CF9AE}" pid="6" name="MSIP_Label_477eab6e-04c6-4822-9252-98ab9f25736b_SiteId">
    <vt:lpwstr>d2007bef-127d-4591-97ac-10d72fe28031</vt:lpwstr>
  </property>
  <property fmtid="{D5CDD505-2E9C-101B-9397-08002B2CF9AE}" pid="7" name="MSIP_Label_477eab6e-04c6-4822-9252-98ab9f25736b_ActionId">
    <vt:lpwstr>6b22abc8-38ba-4736-b42d-889b3643dc11</vt:lpwstr>
  </property>
  <property fmtid="{D5CDD505-2E9C-101B-9397-08002B2CF9AE}" pid="8" name="MSIP_Label_477eab6e-04c6-4822-9252-98ab9f25736b_ContentBits">
    <vt:lpwstr>2</vt:lpwstr>
  </property>
  <property fmtid="{D5CDD505-2E9C-101B-9397-08002B2CF9AE}" pid="9" name="ContentTypeId">
    <vt:lpwstr>0x010100BAE22DF2EC5DC54BA12D68AA587887CD</vt:lpwstr>
  </property>
</Properties>
</file>