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aThi\Downloads\Comex_app-main\Comex_app-main\comex_pdf_reader\assets\modelos\"/>
    </mc:Choice>
  </mc:AlternateContent>
  <xr:revisionPtr revIDLastSave="0" documentId="13_ncr:1_{C6ACBE7C-7E09-4429-A460-40E4EF591E96}" xr6:coauthVersionLast="47" xr6:coauthVersionMax="47" xr10:uidLastSave="{00000000-0000-0000-0000-000000000000}"/>
  <bookViews>
    <workbookView xWindow="-120" yWindow="-120" windowWidth="29040" windowHeight="15720" xr2:uid="{4638A901-3F76-4301-A32C-B664CAEC7D5B}"/>
  </bookViews>
  <sheets>
    <sheet name="libro compras" sheetId="1" r:id="rId1"/>
    <sheet name="asiento conta" sheetId="2" r:id="rId2"/>
    <sheet name="Hoja2" sheetId="4" state="hidden" r:id="rId3"/>
    <sheet name="Hoja1" sheetId="3" state="hidden" r:id="rId4"/>
  </sheets>
  <definedNames>
    <definedName name="_xlnm._FilterDatabase" localSheetId="1" hidden="1">'asiento conta'!$A$1:$N$625</definedName>
    <definedName name="_xlnm._FilterDatabase" localSheetId="2" hidden="1">Hoja2!$A$1:$A$58</definedName>
    <definedName name="_xlnm._FilterDatabase" localSheetId="0" hidden="1">'libro compras'!$A$1:$A$917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7" i="1"/>
  <c r="K11" i="1"/>
  <c r="K15" i="1"/>
  <c r="K19" i="1"/>
  <c r="K23" i="1"/>
  <c r="K27" i="1"/>
  <c r="K31" i="1"/>
  <c r="K35" i="1"/>
  <c r="K39" i="1"/>
  <c r="K43" i="1"/>
  <c r="K47" i="1"/>
  <c r="K51" i="1"/>
  <c r="K55" i="1"/>
  <c r="K59" i="1"/>
  <c r="K63" i="1"/>
  <c r="K67" i="1"/>
  <c r="K71" i="1"/>
  <c r="K75" i="1"/>
  <c r="K79" i="1"/>
  <c r="K83" i="1"/>
  <c r="K87" i="1"/>
  <c r="K91" i="1"/>
  <c r="K95" i="1"/>
  <c r="K99" i="1"/>
  <c r="K103" i="1"/>
  <c r="K107" i="1"/>
  <c r="K111" i="1"/>
  <c r="K115" i="1"/>
  <c r="K119" i="1"/>
  <c r="K123" i="1"/>
  <c r="K127" i="1"/>
  <c r="K131" i="1"/>
  <c r="K135" i="1"/>
  <c r="K139" i="1"/>
  <c r="K143" i="1"/>
  <c r="K147" i="1"/>
  <c r="K151" i="1"/>
  <c r="K155" i="1"/>
  <c r="K159" i="1"/>
  <c r="K163" i="1"/>
  <c r="K167" i="1"/>
  <c r="K171" i="1"/>
  <c r="K175" i="1"/>
  <c r="K179" i="1"/>
  <c r="K183" i="1"/>
  <c r="K187" i="1"/>
  <c r="K191" i="1"/>
  <c r="K195" i="1"/>
  <c r="K199" i="1"/>
  <c r="K203" i="1"/>
  <c r="K207" i="1"/>
  <c r="K211" i="1"/>
  <c r="K215" i="1"/>
  <c r="K219" i="1"/>
  <c r="K223" i="1"/>
  <c r="K227" i="1"/>
  <c r="K231" i="1"/>
  <c r="K235" i="1"/>
  <c r="K239" i="1"/>
  <c r="K243" i="1"/>
  <c r="K247" i="1"/>
  <c r="K251" i="1"/>
  <c r="K255" i="1"/>
  <c r="K259" i="1"/>
  <c r="K263" i="1"/>
  <c r="K267" i="1"/>
  <c r="K271" i="1"/>
  <c r="K275" i="1"/>
  <c r="K279" i="1"/>
  <c r="K283" i="1"/>
  <c r="K287" i="1"/>
  <c r="K291" i="1"/>
  <c r="K295" i="1"/>
  <c r="K299" i="1"/>
  <c r="K303" i="1"/>
  <c r="K307" i="1"/>
  <c r="K311" i="1"/>
  <c r="K315" i="1"/>
  <c r="K319" i="1"/>
  <c r="K323" i="1"/>
  <c r="K327" i="1"/>
  <c r="K331" i="1"/>
  <c r="K335" i="1"/>
  <c r="K339" i="1"/>
  <c r="K343" i="1"/>
  <c r="K347" i="1"/>
  <c r="K351" i="1"/>
  <c r="K355" i="1"/>
  <c r="K359" i="1"/>
  <c r="K363" i="1"/>
  <c r="K367" i="1"/>
  <c r="K371" i="1"/>
  <c r="K375" i="1"/>
  <c r="K379" i="1"/>
  <c r="K383" i="1"/>
  <c r="K387" i="1"/>
  <c r="K391" i="1"/>
  <c r="K395" i="1"/>
  <c r="K399" i="1"/>
  <c r="K403" i="1"/>
  <c r="K407" i="1"/>
  <c r="K411" i="1"/>
  <c r="K415" i="1"/>
  <c r="K419" i="1"/>
  <c r="K423" i="1"/>
  <c r="K427" i="1"/>
  <c r="K431" i="1"/>
  <c r="K435" i="1"/>
  <c r="K439" i="1"/>
  <c r="K443" i="1"/>
  <c r="K447" i="1"/>
  <c r="K451" i="1"/>
  <c r="K455" i="1"/>
  <c r="K459" i="1"/>
  <c r="K463" i="1"/>
  <c r="K467" i="1"/>
  <c r="K471" i="1"/>
  <c r="K475" i="1"/>
  <c r="K479" i="1"/>
  <c r="K483" i="1"/>
  <c r="K487" i="1"/>
  <c r="K491" i="1"/>
  <c r="K495" i="1"/>
  <c r="K499" i="1"/>
  <c r="K503" i="1"/>
  <c r="K507" i="1"/>
  <c r="K511" i="1"/>
  <c r="K515" i="1"/>
  <c r="K519" i="1"/>
  <c r="K523" i="1"/>
  <c r="K527" i="1"/>
  <c r="K531" i="1"/>
  <c r="K535" i="1"/>
  <c r="K539" i="1"/>
  <c r="K543" i="1"/>
  <c r="K547" i="1"/>
  <c r="K551" i="1"/>
  <c r="K555" i="1"/>
  <c r="K559" i="1"/>
  <c r="K563" i="1"/>
  <c r="K567" i="1"/>
  <c r="K571" i="1"/>
  <c r="K575" i="1"/>
  <c r="K579" i="1"/>
  <c r="K583" i="1"/>
  <c r="K587" i="1"/>
  <c r="K591" i="1"/>
  <c r="K595" i="1"/>
  <c r="K599" i="1"/>
  <c r="K603" i="1"/>
  <c r="K607" i="1"/>
  <c r="K611" i="1"/>
  <c r="K615" i="1"/>
  <c r="K619" i="1"/>
  <c r="K623" i="1"/>
  <c r="B26" i="2"/>
  <c r="J26" i="2"/>
  <c r="J27" i="2" s="1"/>
  <c r="J28" i="2" s="1"/>
  <c r="J29" i="2" s="1"/>
  <c r="L26" i="2"/>
  <c r="L27" i="2" s="1"/>
  <c r="L28" i="2" s="1"/>
  <c r="L29" i="2" s="1"/>
  <c r="M26" i="2"/>
  <c r="M27" i="2" s="1"/>
  <c r="M28" i="2" s="1"/>
  <c r="M29" i="2" s="1"/>
  <c r="B27" i="2"/>
  <c r="B28" i="2"/>
  <c r="B29" i="2" s="1"/>
  <c r="B30" i="2"/>
  <c r="J30" i="2"/>
  <c r="J31" i="2" s="1"/>
  <c r="J32" i="2" s="1"/>
  <c r="J33" i="2" s="1"/>
  <c r="K30" i="2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L30" i="2"/>
  <c r="L31" i="2" s="1"/>
  <c r="L32" i="2" s="1"/>
  <c r="L33" i="2" s="1"/>
  <c r="M30" i="2"/>
  <c r="M31" i="2" s="1"/>
  <c r="M32" i="2" s="1"/>
  <c r="M33" i="2" s="1"/>
  <c r="B31" i="2"/>
  <c r="B32" i="2"/>
  <c r="B33" i="2" s="1"/>
  <c r="B34" i="2"/>
  <c r="J34" i="2"/>
  <c r="J35" i="2" s="1"/>
  <c r="J36" i="2" s="1"/>
  <c r="J37" i="2" s="1"/>
  <c r="L34" i="2"/>
  <c r="L35" i="2" s="1"/>
  <c r="L36" i="2" s="1"/>
  <c r="L37" i="2" s="1"/>
  <c r="M34" i="2"/>
  <c r="M35" i="2" s="1"/>
  <c r="M36" i="2" s="1"/>
  <c r="M37" i="2" s="1"/>
  <c r="B35" i="2"/>
  <c r="B36" i="2"/>
  <c r="B37" i="2" s="1"/>
  <c r="B38" i="2"/>
  <c r="J38" i="2"/>
  <c r="J39" i="2" s="1"/>
  <c r="J40" i="2" s="1"/>
  <c r="J41" i="2" s="1"/>
  <c r="L38" i="2"/>
  <c r="L39" i="2" s="1"/>
  <c r="L40" i="2" s="1"/>
  <c r="L41" i="2" s="1"/>
  <c r="M38" i="2"/>
  <c r="M39" i="2" s="1"/>
  <c r="M40" i="2" s="1"/>
  <c r="M41" i="2" s="1"/>
  <c r="B39" i="2"/>
  <c r="B40" i="2"/>
  <c r="B41" i="2" s="1"/>
  <c r="B42" i="2"/>
  <c r="J42" i="2"/>
  <c r="J43" i="2" s="1"/>
  <c r="J44" i="2" s="1"/>
  <c r="J45" i="2" s="1"/>
  <c r="K42" i="2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L42" i="2"/>
  <c r="L43" i="2" s="1"/>
  <c r="L44" i="2" s="1"/>
  <c r="L45" i="2" s="1"/>
  <c r="M42" i="2"/>
  <c r="M43" i="2" s="1"/>
  <c r="M44" i="2" s="1"/>
  <c r="M45" i="2" s="1"/>
  <c r="B43" i="2"/>
  <c r="B44" i="2"/>
  <c r="B45" i="2" s="1"/>
  <c r="B46" i="2"/>
  <c r="J46" i="2"/>
  <c r="J47" i="2" s="1"/>
  <c r="J48" i="2" s="1"/>
  <c r="J49" i="2" s="1"/>
  <c r="L46" i="2"/>
  <c r="L47" i="2" s="1"/>
  <c r="L48" i="2" s="1"/>
  <c r="L49" i="2" s="1"/>
  <c r="M46" i="2"/>
  <c r="M47" i="2" s="1"/>
  <c r="M48" i="2" s="1"/>
  <c r="M49" i="2" s="1"/>
  <c r="B47" i="2"/>
  <c r="B48" i="2"/>
  <c r="B49" i="2" s="1"/>
  <c r="B50" i="2"/>
  <c r="J50" i="2"/>
  <c r="J51" i="2" s="1"/>
  <c r="J52" i="2" s="1"/>
  <c r="J53" i="2" s="1"/>
  <c r="L50" i="2"/>
  <c r="L51" i="2" s="1"/>
  <c r="L52" i="2" s="1"/>
  <c r="L53" i="2" s="1"/>
  <c r="M50" i="2"/>
  <c r="M51" i="2" s="1"/>
  <c r="M52" i="2" s="1"/>
  <c r="M53" i="2" s="1"/>
  <c r="B51" i="2"/>
  <c r="B52" i="2"/>
  <c r="B53" i="2" s="1"/>
  <c r="B54" i="2"/>
  <c r="J54" i="2"/>
  <c r="J55" i="2" s="1"/>
  <c r="J56" i="2" s="1"/>
  <c r="J57" i="2" s="1"/>
  <c r="K54" i="2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L54" i="2"/>
  <c r="L55" i="2" s="1"/>
  <c r="L56" i="2" s="1"/>
  <c r="L57" i="2" s="1"/>
  <c r="M54" i="2"/>
  <c r="M55" i="2" s="1"/>
  <c r="M56" i="2" s="1"/>
  <c r="M57" i="2" s="1"/>
  <c r="B55" i="2"/>
  <c r="B56" i="2"/>
  <c r="B57" i="2" s="1"/>
  <c r="B58" i="2"/>
  <c r="J58" i="2"/>
  <c r="J59" i="2" s="1"/>
  <c r="J60" i="2" s="1"/>
  <c r="J61" i="2" s="1"/>
  <c r="L58" i="2"/>
  <c r="L59" i="2" s="1"/>
  <c r="L60" i="2" s="1"/>
  <c r="L61" i="2" s="1"/>
  <c r="M58" i="2"/>
  <c r="M59" i="2" s="1"/>
  <c r="M60" i="2" s="1"/>
  <c r="M61" i="2" s="1"/>
  <c r="B59" i="2"/>
  <c r="B60" i="2"/>
  <c r="B61" i="2" s="1"/>
  <c r="B62" i="2"/>
  <c r="J62" i="2"/>
  <c r="J63" i="2" s="1"/>
  <c r="J64" i="2" s="1"/>
  <c r="J65" i="2" s="1"/>
  <c r="L62" i="2"/>
  <c r="L63" i="2" s="1"/>
  <c r="L64" i="2" s="1"/>
  <c r="L65" i="2" s="1"/>
  <c r="M62" i="2"/>
  <c r="M63" i="2" s="1"/>
  <c r="M64" i="2" s="1"/>
  <c r="M65" i="2" s="1"/>
  <c r="B63" i="2"/>
  <c r="B64" i="2"/>
  <c r="B65" i="2" s="1"/>
  <c r="B66" i="2"/>
  <c r="J66" i="2"/>
  <c r="J67" i="2" s="1"/>
  <c r="J68" i="2" s="1"/>
  <c r="J69" i="2" s="1"/>
  <c r="K66" i="2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L66" i="2"/>
  <c r="L67" i="2" s="1"/>
  <c r="L68" i="2" s="1"/>
  <c r="L69" i="2" s="1"/>
  <c r="M66" i="2"/>
  <c r="M67" i="2" s="1"/>
  <c r="M68" i="2" s="1"/>
  <c r="M69" i="2" s="1"/>
  <c r="B67" i="2"/>
  <c r="B68" i="2"/>
  <c r="B69" i="2" s="1"/>
  <c r="B70" i="2"/>
  <c r="J70" i="2"/>
  <c r="J71" i="2" s="1"/>
  <c r="J72" i="2" s="1"/>
  <c r="J73" i="2" s="1"/>
  <c r="L70" i="2"/>
  <c r="L71" i="2" s="1"/>
  <c r="L72" i="2" s="1"/>
  <c r="L73" i="2" s="1"/>
  <c r="M70" i="2"/>
  <c r="M71" i="2" s="1"/>
  <c r="M72" i="2" s="1"/>
  <c r="M73" i="2" s="1"/>
  <c r="B71" i="2"/>
  <c r="B72" i="2"/>
  <c r="B73" i="2" s="1"/>
  <c r="B74" i="2"/>
  <c r="J74" i="2"/>
  <c r="J75" i="2" s="1"/>
  <c r="J76" i="2" s="1"/>
  <c r="J77" i="2" s="1"/>
  <c r="L74" i="2"/>
  <c r="L75" i="2" s="1"/>
  <c r="L76" i="2" s="1"/>
  <c r="L77" i="2" s="1"/>
  <c r="M74" i="2"/>
  <c r="M75" i="2" s="1"/>
  <c r="M76" i="2" s="1"/>
  <c r="M77" i="2" s="1"/>
  <c r="B75" i="2"/>
  <c r="B76" i="2"/>
  <c r="B77" i="2" s="1"/>
  <c r="B78" i="2"/>
  <c r="J78" i="2"/>
  <c r="J79" i="2" s="1"/>
  <c r="J80" i="2" s="1"/>
  <c r="J81" i="2" s="1"/>
  <c r="K78" i="2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L78" i="2"/>
  <c r="L79" i="2" s="1"/>
  <c r="L80" i="2" s="1"/>
  <c r="L81" i="2" s="1"/>
  <c r="M78" i="2"/>
  <c r="M79" i="2" s="1"/>
  <c r="M80" i="2" s="1"/>
  <c r="M81" i="2" s="1"/>
  <c r="B79" i="2"/>
  <c r="B80" i="2"/>
  <c r="B81" i="2" s="1"/>
  <c r="B82" i="2"/>
  <c r="J82" i="2"/>
  <c r="J83" i="2" s="1"/>
  <c r="J84" i="2" s="1"/>
  <c r="J85" i="2" s="1"/>
  <c r="L82" i="2"/>
  <c r="L83" i="2" s="1"/>
  <c r="L84" i="2" s="1"/>
  <c r="L85" i="2" s="1"/>
  <c r="M82" i="2"/>
  <c r="M83" i="2" s="1"/>
  <c r="M84" i="2" s="1"/>
  <c r="M85" i="2" s="1"/>
  <c r="B83" i="2"/>
  <c r="B84" i="2"/>
  <c r="B85" i="2" s="1"/>
  <c r="B86" i="2"/>
  <c r="J86" i="2"/>
  <c r="J87" i="2" s="1"/>
  <c r="J88" i="2" s="1"/>
  <c r="J89" i="2" s="1"/>
  <c r="L86" i="2"/>
  <c r="L87" i="2" s="1"/>
  <c r="L88" i="2" s="1"/>
  <c r="L89" i="2" s="1"/>
  <c r="M86" i="2"/>
  <c r="M87" i="2" s="1"/>
  <c r="M88" i="2" s="1"/>
  <c r="M89" i="2" s="1"/>
  <c r="B87" i="2"/>
  <c r="B88" i="2"/>
  <c r="B89" i="2" s="1"/>
  <c r="B90" i="2"/>
  <c r="J90" i="2"/>
  <c r="J91" i="2" s="1"/>
  <c r="J92" i="2" s="1"/>
  <c r="J93" i="2" s="1"/>
  <c r="K90" i="2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L90" i="2"/>
  <c r="L91" i="2" s="1"/>
  <c r="L92" i="2" s="1"/>
  <c r="L93" i="2" s="1"/>
  <c r="M90" i="2"/>
  <c r="M91" i="2" s="1"/>
  <c r="M92" i="2" s="1"/>
  <c r="M93" i="2" s="1"/>
  <c r="B91" i="2"/>
  <c r="B92" i="2"/>
  <c r="B93" i="2" s="1"/>
  <c r="B94" i="2"/>
  <c r="J94" i="2"/>
  <c r="J95" i="2" s="1"/>
  <c r="J96" i="2" s="1"/>
  <c r="J97" i="2" s="1"/>
  <c r="L94" i="2"/>
  <c r="L95" i="2" s="1"/>
  <c r="L96" i="2" s="1"/>
  <c r="L97" i="2" s="1"/>
  <c r="M94" i="2"/>
  <c r="M95" i="2" s="1"/>
  <c r="M96" i="2" s="1"/>
  <c r="M97" i="2" s="1"/>
  <c r="B95" i="2"/>
  <c r="B96" i="2"/>
  <c r="B97" i="2" s="1"/>
  <c r="B98" i="2"/>
  <c r="J98" i="2"/>
  <c r="J99" i="2" s="1"/>
  <c r="J100" i="2" s="1"/>
  <c r="J101" i="2" s="1"/>
  <c r="L98" i="2"/>
  <c r="L99" i="2" s="1"/>
  <c r="L100" i="2" s="1"/>
  <c r="L101" i="2" s="1"/>
  <c r="M98" i="2"/>
  <c r="M99" i="2" s="1"/>
  <c r="M100" i="2" s="1"/>
  <c r="M101" i="2" s="1"/>
  <c r="B99" i="2"/>
  <c r="B100" i="2"/>
  <c r="B101" i="2" s="1"/>
  <c r="B102" i="2"/>
  <c r="J102" i="2"/>
  <c r="J103" i="2" s="1"/>
  <c r="J104" i="2" s="1"/>
  <c r="J105" i="2" s="1"/>
  <c r="K102" i="2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L102" i="2"/>
  <c r="L103" i="2" s="1"/>
  <c r="L104" i="2" s="1"/>
  <c r="L105" i="2" s="1"/>
  <c r="M102" i="2"/>
  <c r="M103" i="2" s="1"/>
  <c r="M104" i="2" s="1"/>
  <c r="M105" i="2" s="1"/>
  <c r="B103" i="2"/>
  <c r="B104" i="2"/>
  <c r="B105" i="2" s="1"/>
  <c r="B106" i="2"/>
  <c r="J106" i="2"/>
  <c r="J107" i="2" s="1"/>
  <c r="J108" i="2" s="1"/>
  <c r="J109" i="2" s="1"/>
  <c r="L106" i="2"/>
  <c r="L107" i="2" s="1"/>
  <c r="L108" i="2" s="1"/>
  <c r="L109" i="2" s="1"/>
  <c r="M106" i="2"/>
  <c r="M107" i="2" s="1"/>
  <c r="M108" i="2" s="1"/>
  <c r="M109" i="2" s="1"/>
  <c r="B107" i="2"/>
  <c r="B108" i="2"/>
  <c r="B109" i="2" s="1"/>
  <c r="B110" i="2"/>
  <c r="J110" i="2"/>
  <c r="J111" i="2" s="1"/>
  <c r="J112" i="2" s="1"/>
  <c r="J113" i="2" s="1"/>
  <c r="L110" i="2"/>
  <c r="L111" i="2" s="1"/>
  <c r="L112" i="2" s="1"/>
  <c r="L113" i="2" s="1"/>
  <c r="M110" i="2"/>
  <c r="M111" i="2" s="1"/>
  <c r="M112" i="2" s="1"/>
  <c r="M113" i="2" s="1"/>
  <c r="B111" i="2"/>
  <c r="B112" i="2"/>
  <c r="B113" i="2" s="1"/>
  <c r="B114" i="2"/>
  <c r="J114" i="2"/>
  <c r="J115" i="2" s="1"/>
  <c r="J116" i="2" s="1"/>
  <c r="J117" i="2" s="1"/>
  <c r="K114" i="2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L114" i="2"/>
  <c r="L115" i="2" s="1"/>
  <c r="L116" i="2" s="1"/>
  <c r="L117" i="2" s="1"/>
  <c r="M114" i="2"/>
  <c r="M115" i="2" s="1"/>
  <c r="M116" i="2" s="1"/>
  <c r="M117" i="2" s="1"/>
  <c r="B115" i="2"/>
  <c r="B116" i="2"/>
  <c r="B117" i="2" s="1"/>
  <c r="B118" i="2"/>
  <c r="J118" i="2"/>
  <c r="J119" i="2" s="1"/>
  <c r="J120" i="2" s="1"/>
  <c r="J121" i="2" s="1"/>
  <c r="L118" i="2"/>
  <c r="L119" i="2" s="1"/>
  <c r="L120" i="2" s="1"/>
  <c r="L121" i="2" s="1"/>
  <c r="M118" i="2"/>
  <c r="M119" i="2" s="1"/>
  <c r="M120" i="2" s="1"/>
  <c r="M121" i="2" s="1"/>
  <c r="B119" i="2"/>
  <c r="B120" i="2"/>
  <c r="B121" i="2" s="1"/>
  <c r="B122" i="2"/>
  <c r="J122" i="2"/>
  <c r="J123" i="2" s="1"/>
  <c r="J124" i="2" s="1"/>
  <c r="J125" i="2" s="1"/>
  <c r="L122" i="2"/>
  <c r="L123" i="2" s="1"/>
  <c r="L124" i="2" s="1"/>
  <c r="L125" i="2" s="1"/>
  <c r="M122" i="2"/>
  <c r="M123" i="2" s="1"/>
  <c r="M124" i="2" s="1"/>
  <c r="M125" i="2" s="1"/>
  <c r="B123" i="2"/>
  <c r="B124" i="2"/>
  <c r="B125" i="2" s="1"/>
  <c r="B126" i="2"/>
  <c r="J126" i="2"/>
  <c r="J127" i="2" s="1"/>
  <c r="J128" i="2" s="1"/>
  <c r="J129" i="2" s="1"/>
  <c r="K126" i="2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L126" i="2"/>
  <c r="L127" i="2" s="1"/>
  <c r="L128" i="2" s="1"/>
  <c r="L129" i="2" s="1"/>
  <c r="M126" i="2"/>
  <c r="M127" i="2" s="1"/>
  <c r="M128" i="2" s="1"/>
  <c r="M129" i="2" s="1"/>
  <c r="B127" i="2"/>
  <c r="B128" i="2"/>
  <c r="B129" i="2" s="1"/>
  <c r="B130" i="2"/>
  <c r="J130" i="2"/>
  <c r="J131" i="2" s="1"/>
  <c r="J132" i="2" s="1"/>
  <c r="J133" i="2" s="1"/>
  <c r="L130" i="2"/>
  <c r="L131" i="2" s="1"/>
  <c r="L132" i="2" s="1"/>
  <c r="L133" i="2" s="1"/>
  <c r="M130" i="2"/>
  <c r="M131" i="2" s="1"/>
  <c r="M132" i="2" s="1"/>
  <c r="M133" i="2" s="1"/>
  <c r="B131" i="2"/>
  <c r="B132" i="2"/>
  <c r="B133" i="2" s="1"/>
  <c r="B134" i="2"/>
  <c r="J134" i="2"/>
  <c r="J135" i="2" s="1"/>
  <c r="J136" i="2" s="1"/>
  <c r="J137" i="2" s="1"/>
  <c r="L134" i="2"/>
  <c r="L135" i="2" s="1"/>
  <c r="L136" i="2" s="1"/>
  <c r="L137" i="2" s="1"/>
  <c r="M134" i="2"/>
  <c r="M135" i="2" s="1"/>
  <c r="M136" i="2" s="1"/>
  <c r="M137" i="2" s="1"/>
  <c r="B135" i="2"/>
  <c r="B136" i="2"/>
  <c r="B137" i="2" s="1"/>
  <c r="B138" i="2"/>
  <c r="J138" i="2"/>
  <c r="J139" i="2" s="1"/>
  <c r="J140" i="2" s="1"/>
  <c r="J141" i="2" s="1"/>
  <c r="K138" i="2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L138" i="2"/>
  <c r="L139" i="2" s="1"/>
  <c r="L140" i="2" s="1"/>
  <c r="L141" i="2" s="1"/>
  <c r="M138" i="2"/>
  <c r="M139" i="2" s="1"/>
  <c r="M140" i="2" s="1"/>
  <c r="M141" i="2" s="1"/>
  <c r="B139" i="2"/>
  <c r="B140" i="2"/>
  <c r="B141" i="2" s="1"/>
  <c r="B142" i="2"/>
  <c r="J142" i="2"/>
  <c r="J143" i="2" s="1"/>
  <c r="J144" i="2" s="1"/>
  <c r="J145" i="2" s="1"/>
  <c r="L142" i="2"/>
  <c r="L143" i="2" s="1"/>
  <c r="L144" i="2" s="1"/>
  <c r="L145" i="2" s="1"/>
  <c r="M142" i="2"/>
  <c r="M143" i="2" s="1"/>
  <c r="M144" i="2" s="1"/>
  <c r="M145" i="2" s="1"/>
  <c r="B143" i="2"/>
  <c r="B144" i="2"/>
  <c r="B145" i="2" s="1"/>
  <c r="B146" i="2"/>
  <c r="J146" i="2"/>
  <c r="J147" i="2" s="1"/>
  <c r="J148" i="2" s="1"/>
  <c r="J149" i="2" s="1"/>
  <c r="L146" i="2"/>
  <c r="L147" i="2" s="1"/>
  <c r="L148" i="2" s="1"/>
  <c r="L149" i="2" s="1"/>
  <c r="M146" i="2"/>
  <c r="M147" i="2" s="1"/>
  <c r="M148" i="2" s="1"/>
  <c r="M149" i="2" s="1"/>
  <c r="B147" i="2"/>
  <c r="B148" i="2"/>
  <c r="B149" i="2" s="1"/>
  <c r="B150" i="2"/>
  <c r="J150" i="2"/>
  <c r="J151" i="2" s="1"/>
  <c r="J152" i="2" s="1"/>
  <c r="J153" i="2" s="1"/>
  <c r="K150" i="2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L150" i="2"/>
  <c r="L151" i="2" s="1"/>
  <c r="L152" i="2" s="1"/>
  <c r="L153" i="2" s="1"/>
  <c r="M150" i="2"/>
  <c r="M151" i="2" s="1"/>
  <c r="M152" i="2" s="1"/>
  <c r="M153" i="2" s="1"/>
  <c r="B151" i="2"/>
  <c r="B152" i="2"/>
  <c r="B153" i="2" s="1"/>
  <c r="B154" i="2"/>
  <c r="J154" i="2"/>
  <c r="J155" i="2" s="1"/>
  <c r="J156" i="2" s="1"/>
  <c r="J157" i="2" s="1"/>
  <c r="L154" i="2"/>
  <c r="L155" i="2" s="1"/>
  <c r="L156" i="2" s="1"/>
  <c r="L157" i="2" s="1"/>
  <c r="M154" i="2"/>
  <c r="M155" i="2" s="1"/>
  <c r="M156" i="2" s="1"/>
  <c r="M157" i="2" s="1"/>
  <c r="B155" i="2"/>
  <c r="B156" i="2"/>
  <c r="B157" i="2" s="1"/>
  <c r="B158" i="2"/>
  <c r="J158" i="2"/>
  <c r="J159" i="2" s="1"/>
  <c r="J160" i="2" s="1"/>
  <c r="J161" i="2" s="1"/>
  <c r="L158" i="2"/>
  <c r="L159" i="2" s="1"/>
  <c r="L160" i="2" s="1"/>
  <c r="L161" i="2" s="1"/>
  <c r="M158" i="2"/>
  <c r="M159" i="2" s="1"/>
  <c r="M160" i="2" s="1"/>
  <c r="M161" i="2" s="1"/>
  <c r="B159" i="2"/>
  <c r="B160" i="2"/>
  <c r="B161" i="2" s="1"/>
  <c r="B162" i="2"/>
  <c r="J162" i="2"/>
  <c r="J163" i="2" s="1"/>
  <c r="J164" i="2" s="1"/>
  <c r="J165" i="2" s="1"/>
  <c r="K162" i="2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L162" i="2"/>
  <c r="L163" i="2" s="1"/>
  <c r="L164" i="2" s="1"/>
  <c r="L165" i="2" s="1"/>
  <c r="M162" i="2"/>
  <c r="M163" i="2" s="1"/>
  <c r="M164" i="2" s="1"/>
  <c r="M165" i="2" s="1"/>
  <c r="B163" i="2"/>
  <c r="B164" i="2"/>
  <c r="B165" i="2" s="1"/>
  <c r="B166" i="2"/>
  <c r="J166" i="2"/>
  <c r="J167" i="2" s="1"/>
  <c r="J168" i="2" s="1"/>
  <c r="J169" i="2" s="1"/>
  <c r="L166" i="2"/>
  <c r="L167" i="2" s="1"/>
  <c r="L168" i="2" s="1"/>
  <c r="L169" i="2" s="1"/>
  <c r="M166" i="2"/>
  <c r="M167" i="2" s="1"/>
  <c r="M168" i="2" s="1"/>
  <c r="M169" i="2" s="1"/>
  <c r="B167" i="2"/>
  <c r="B168" i="2"/>
  <c r="B169" i="2" s="1"/>
  <c r="B170" i="2"/>
  <c r="J170" i="2"/>
  <c r="J171" i="2" s="1"/>
  <c r="J172" i="2" s="1"/>
  <c r="J173" i="2" s="1"/>
  <c r="L170" i="2"/>
  <c r="L171" i="2" s="1"/>
  <c r="L172" i="2" s="1"/>
  <c r="L173" i="2" s="1"/>
  <c r="M170" i="2"/>
  <c r="M171" i="2" s="1"/>
  <c r="M172" i="2" s="1"/>
  <c r="M173" i="2" s="1"/>
  <c r="B171" i="2"/>
  <c r="B172" i="2"/>
  <c r="B173" i="2" s="1"/>
  <c r="B174" i="2"/>
  <c r="J174" i="2"/>
  <c r="J175" i="2" s="1"/>
  <c r="J176" i="2" s="1"/>
  <c r="J177" i="2" s="1"/>
  <c r="K174" i="2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L174" i="2"/>
  <c r="L175" i="2" s="1"/>
  <c r="L176" i="2" s="1"/>
  <c r="L177" i="2" s="1"/>
  <c r="M174" i="2"/>
  <c r="M175" i="2" s="1"/>
  <c r="M176" i="2" s="1"/>
  <c r="M177" i="2" s="1"/>
  <c r="B175" i="2"/>
  <c r="B176" i="2"/>
  <c r="B177" i="2" s="1"/>
  <c r="B178" i="2"/>
  <c r="J178" i="2"/>
  <c r="J179" i="2" s="1"/>
  <c r="J180" i="2" s="1"/>
  <c r="J181" i="2" s="1"/>
  <c r="L178" i="2"/>
  <c r="L179" i="2" s="1"/>
  <c r="L180" i="2" s="1"/>
  <c r="L181" i="2" s="1"/>
  <c r="M178" i="2"/>
  <c r="M179" i="2" s="1"/>
  <c r="M180" i="2" s="1"/>
  <c r="M181" i="2" s="1"/>
  <c r="B179" i="2"/>
  <c r="B180" i="2"/>
  <c r="B181" i="2" s="1"/>
  <c r="B182" i="2"/>
  <c r="J182" i="2"/>
  <c r="J183" i="2" s="1"/>
  <c r="J184" i="2" s="1"/>
  <c r="J185" i="2" s="1"/>
  <c r="L182" i="2"/>
  <c r="L183" i="2" s="1"/>
  <c r="L184" i="2" s="1"/>
  <c r="L185" i="2" s="1"/>
  <c r="M182" i="2"/>
  <c r="M183" i="2" s="1"/>
  <c r="M184" i="2" s="1"/>
  <c r="M185" i="2" s="1"/>
  <c r="B183" i="2"/>
  <c r="B184" i="2"/>
  <c r="B185" i="2" s="1"/>
  <c r="B186" i="2"/>
  <c r="J186" i="2"/>
  <c r="J187" i="2" s="1"/>
  <c r="J188" i="2" s="1"/>
  <c r="J189" i="2" s="1"/>
  <c r="K186" i="2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L186" i="2"/>
  <c r="L187" i="2" s="1"/>
  <c r="L188" i="2" s="1"/>
  <c r="L189" i="2" s="1"/>
  <c r="M186" i="2"/>
  <c r="M187" i="2" s="1"/>
  <c r="M188" i="2" s="1"/>
  <c r="M189" i="2" s="1"/>
  <c r="B187" i="2"/>
  <c r="B188" i="2"/>
  <c r="B189" i="2" s="1"/>
  <c r="B190" i="2"/>
  <c r="J190" i="2"/>
  <c r="J191" i="2" s="1"/>
  <c r="J192" i="2" s="1"/>
  <c r="J193" i="2" s="1"/>
  <c r="L190" i="2"/>
  <c r="L191" i="2" s="1"/>
  <c r="L192" i="2" s="1"/>
  <c r="L193" i="2" s="1"/>
  <c r="M190" i="2"/>
  <c r="M191" i="2" s="1"/>
  <c r="M192" i="2" s="1"/>
  <c r="M193" i="2" s="1"/>
  <c r="B191" i="2"/>
  <c r="B192" i="2"/>
  <c r="B193" i="2" s="1"/>
  <c r="B194" i="2"/>
  <c r="J194" i="2"/>
  <c r="J195" i="2" s="1"/>
  <c r="J196" i="2" s="1"/>
  <c r="J197" i="2" s="1"/>
  <c r="L194" i="2"/>
  <c r="L195" i="2" s="1"/>
  <c r="L196" i="2" s="1"/>
  <c r="L197" i="2" s="1"/>
  <c r="M194" i="2"/>
  <c r="M195" i="2" s="1"/>
  <c r="M196" i="2" s="1"/>
  <c r="M197" i="2" s="1"/>
  <c r="B195" i="2"/>
  <c r="B196" i="2"/>
  <c r="B197" i="2" s="1"/>
  <c r="B198" i="2"/>
  <c r="J198" i="2"/>
  <c r="J199" i="2" s="1"/>
  <c r="J200" i="2" s="1"/>
  <c r="J201" i="2" s="1"/>
  <c r="K198" i="2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L198" i="2"/>
  <c r="L199" i="2" s="1"/>
  <c r="L200" i="2" s="1"/>
  <c r="L201" i="2" s="1"/>
  <c r="M198" i="2"/>
  <c r="M199" i="2" s="1"/>
  <c r="M200" i="2" s="1"/>
  <c r="M201" i="2" s="1"/>
  <c r="B199" i="2"/>
  <c r="B200" i="2"/>
  <c r="B201" i="2" s="1"/>
  <c r="B202" i="2"/>
  <c r="J202" i="2"/>
  <c r="J203" i="2" s="1"/>
  <c r="J204" i="2" s="1"/>
  <c r="J205" i="2" s="1"/>
  <c r="L202" i="2"/>
  <c r="L203" i="2" s="1"/>
  <c r="L204" i="2" s="1"/>
  <c r="L205" i="2" s="1"/>
  <c r="M202" i="2"/>
  <c r="M203" i="2" s="1"/>
  <c r="M204" i="2" s="1"/>
  <c r="M205" i="2" s="1"/>
  <c r="B203" i="2"/>
  <c r="B204" i="2"/>
  <c r="B205" i="2" s="1"/>
  <c r="B206" i="2"/>
  <c r="J206" i="2"/>
  <c r="J207" i="2" s="1"/>
  <c r="J208" i="2" s="1"/>
  <c r="J209" i="2" s="1"/>
  <c r="L206" i="2"/>
  <c r="L207" i="2" s="1"/>
  <c r="L208" i="2" s="1"/>
  <c r="L209" i="2" s="1"/>
  <c r="M206" i="2"/>
  <c r="M207" i="2" s="1"/>
  <c r="M208" i="2" s="1"/>
  <c r="M209" i="2" s="1"/>
  <c r="B207" i="2"/>
  <c r="B208" i="2"/>
  <c r="B209" i="2" s="1"/>
  <c r="B210" i="2"/>
  <c r="J210" i="2"/>
  <c r="J211" i="2" s="1"/>
  <c r="J212" i="2" s="1"/>
  <c r="J213" i="2" s="1"/>
  <c r="K210" i="2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L210" i="2"/>
  <c r="L211" i="2" s="1"/>
  <c r="L212" i="2" s="1"/>
  <c r="L213" i="2" s="1"/>
  <c r="M210" i="2"/>
  <c r="M211" i="2" s="1"/>
  <c r="M212" i="2" s="1"/>
  <c r="M213" i="2" s="1"/>
  <c r="B211" i="2"/>
  <c r="B212" i="2"/>
  <c r="B213" i="2" s="1"/>
  <c r="B214" i="2"/>
  <c r="J214" i="2"/>
  <c r="J215" i="2" s="1"/>
  <c r="J216" i="2" s="1"/>
  <c r="J217" i="2" s="1"/>
  <c r="L214" i="2"/>
  <c r="L215" i="2" s="1"/>
  <c r="L216" i="2" s="1"/>
  <c r="L217" i="2" s="1"/>
  <c r="M214" i="2"/>
  <c r="M215" i="2" s="1"/>
  <c r="M216" i="2" s="1"/>
  <c r="M217" i="2" s="1"/>
  <c r="B215" i="2"/>
  <c r="B216" i="2"/>
  <c r="B217" i="2" s="1"/>
  <c r="B218" i="2"/>
  <c r="J218" i="2"/>
  <c r="J219" i="2" s="1"/>
  <c r="J220" i="2" s="1"/>
  <c r="J221" i="2" s="1"/>
  <c r="L218" i="2"/>
  <c r="L219" i="2" s="1"/>
  <c r="L220" i="2" s="1"/>
  <c r="L221" i="2" s="1"/>
  <c r="M218" i="2"/>
  <c r="M219" i="2" s="1"/>
  <c r="M220" i="2" s="1"/>
  <c r="M221" i="2" s="1"/>
  <c r="B219" i="2"/>
  <c r="B220" i="2"/>
  <c r="B221" i="2" s="1"/>
  <c r="B222" i="2"/>
  <c r="J222" i="2"/>
  <c r="J223" i="2" s="1"/>
  <c r="J224" i="2" s="1"/>
  <c r="J225" i="2" s="1"/>
  <c r="K222" i="2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L222" i="2"/>
  <c r="L223" i="2" s="1"/>
  <c r="L224" i="2" s="1"/>
  <c r="L225" i="2" s="1"/>
  <c r="M222" i="2"/>
  <c r="M223" i="2" s="1"/>
  <c r="M224" i="2" s="1"/>
  <c r="M225" i="2" s="1"/>
  <c r="B223" i="2"/>
  <c r="B224" i="2"/>
  <c r="B225" i="2" s="1"/>
  <c r="B226" i="2"/>
  <c r="J226" i="2"/>
  <c r="J227" i="2" s="1"/>
  <c r="J228" i="2" s="1"/>
  <c r="J229" i="2" s="1"/>
  <c r="L226" i="2"/>
  <c r="L227" i="2" s="1"/>
  <c r="L228" i="2" s="1"/>
  <c r="L229" i="2" s="1"/>
  <c r="M226" i="2"/>
  <c r="M227" i="2" s="1"/>
  <c r="M228" i="2" s="1"/>
  <c r="M229" i="2" s="1"/>
  <c r="B227" i="2"/>
  <c r="B228" i="2"/>
  <c r="B229" i="2" s="1"/>
  <c r="B230" i="2"/>
  <c r="J230" i="2"/>
  <c r="J231" i="2" s="1"/>
  <c r="J232" i="2" s="1"/>
  <c r="J233" i="2" s="1"/>
  <c r="L230" i="2"/>
  <c r="L231" i="2" s="1"/>
  <c r="L232" i="2" s="1"/>
  <c r="L233" i="2" s="1"/>
  <c r="M230" i="2"/>
  <c r="M231" i="2" s="1"/>
  <c r="M232" i="2" s="1"/>
  <c r="M233" i="2" s="1"/>
  <c r="B231" i="2"/>
  <c r="B232" i="2"/>
  <c r="B233" i="2" s="1"/>
  <c r="B234" i="2"/>
  <c r="J234" i="2"/>
  <c r="J235" i="2" s="1"/>
  <c r="J236" i="2" s="1"/>
  <c r="J237" i="2" s="1"/>
  <c r="K234" i="2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L234" i="2"/>
  <c r="L235" i="2" s="1"/>
  <c r="L236" i="2" s="1"/>
  <c r="L237" i="2" s="1"/>
  <c r="M234" i="2"/>
  <c r="M235" i="2" s="1"/>
  <c r="M236" i="2" s="1"/>
  <c r="M237" i="2" s="1"/>
  <c r="B235" i="2"/>
  <c r="B236" i="2"/>
  <c r="B237" i="2" s="1"/>
  <c r="B238" i="2"/>
  <c r="J238" i="2"/>
  <c r="J239" i="2" s="1"/>
  <c r="J240" i="2" s="1"/>
  <c r="J241" i="2" s="1"/>
  <c r="L238" i="2"/>
  <c r="L239" i="2" s="1"/>
  <c r="L240" i="2" s="1"/>
  <c r="L241" i="2" s="1"/>
  <c r="M238" i="2"/>
  <c r="M239" i="2" s="1"/>
  <c r="M240" i="2" s="1"/>
  <c r="M241" i="2" s="1"/>
  <c r="B239" i="2"/>
  <c r="B240" i="2"/>
  <c r="B241" i="2" s="1"/>
  <c r="B242" i="2"/>
  <c r="J242" i="2"/>
  <c r="L242" i="2"/>
  <c r="L243" i="2" s="1"/>
  <c r="L244" i="2" s="1"/>
  <c r="L245" i="2" s="1"/>
  <c r="M242" i="2"/>
  <c r="M243" i="2" s="1"/>
  <c r="M244" i="2" s="1"/>
  <c r="M245" i="2" s="1"/>
  <c r="B243" i="2"/>
  <c r="J243" i="2"/>
  <c r="J244" i="2" s="1"/>
  <c r="J245" i="2" s="1"/>
  <c r="B244" i="2"/>
  <c r="B245" i="2" s="1"/>
  <c r="B246" i="2"/>
  <c r="J246" i="2"/>
  <c r="J247" i="2" s="1"/>
  <c r="J248" i="2" s="1"/>
  <c r="J249" i="2" s="1"/>
  <c r="K246" i="2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L246" i="2"/>
  <c r="L247" i="2" s="1"/>
  <c r="L248" i="2" s="1"/>
  <c r="L249" i="2" s="1"/>
  <c r="M246" i="2"/>
  <c r="M247" i="2" s="1"/>
  <c r="M248" i="2" s="1"/>
  <c r="M249" i="2" s="1"/>
  <c r="B247" i="2"/>
  <c r="B248" i="2"/>
  <c r="B249" i="2" s="1"/>
  <c r="B250" i="2"/>
  <c r="J250" i="2"/>
  <c r="J251" i="2" s="1"/>
  <c r="J252" i="2" s="1"/>
  <c r="J253" i="2" s="1"/>
  <c r="L250" i="2"/>
  <c r="L251" i="2" s="1"/>
  <c r="L252" i="2" s="1"/>
  <c r="L253" i="2" s="1"/>
  <c r="M250" i="2"/>
  <c r="M251" i="2" s="1"/>
  <c r="M252" i="2" s="1"/>
  <c r="M253" i="2" s="1"/>
  <c r="B251" i="2"/>
  <c r="B252" i="2"/>
  <c r="B253" i="2" s="1"/>
  <c r="B254" i="2"/>
  <c r="J254" i="2"/>
  <c r="J255" i="2" s="1"/>
  <c r="J256" i="2" s="1"/>
  <c r="J257" i="2" s="1"/>
  <c r="L254" i="2"/>
  <c r="L255" i="2" s="1"/>
  <c r="L256" i="2" s="1"/>
  <c r="L257" i="2" s="1"/>
  <c r="M254" i="2"/>
  <c r="M255" i="2" s="1"/>
  <c r="M256" i="2" s="1"/>
  <c r="M257" i="2" s="1"/>
  <c r="B255" i="2"/>
  <c r="B256" i="2"/>
  <c r="B257" i="2" s="1"/>
  <c r="B258" i="2"/>
  <c r="J258" i="2"/>
  <c r="J259" i="2" s="1"/>
  <c r="J260" i="2" s="1"/>
  <c r="J261" i="2" s="1"/>
  <c r="K258" i="2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L258" i="2"/>
  <c r="L259" i="2" s="1"/>
  <c r="L260" i="2" s="1"/>
  <c r="L261" i="2" s="1"/>
  <c r="M258" i="2"/>
  <c r="M259" i="2" s="1"/>
  <c r="M260" i="2" s="1"/>
  <c r="M261" i="2" s="1"/>
  <c r="B259" i="2"/>
  <c r="B260" i="2"/>
  <c r="B261" i="2" s="1"/>
  <c r="B262" i="2"/>
  <c r="J262" i="2"/>
  <c r="J263" i="2" s="1"/>
  <c r="J264" i="2" s="1"/>
  <c r="J265" i="2" s="1"/>
  <c r="L262" i="2"/>
  <c r="L263" i="2" s="1"/>
  <c r="L264" i="2" s="1"/>
  <c r="L265" i="2" s="1"/>
  <c r="M262" i="2"/>
  <c r="M263" i="2" s="1"/>
  <c r="M264" i="2" s="1"/>
  <c r="M265" i="2" s="1"/>
  <c r="B263" i="2"/>
  <c r="B264" i="2"/>
  <c r="B265" i="2" s="1"/>
  <c r="B266" i="2"/>
  <c r="J266" i="2"/>
  <c r="J267" i="2" s="1"/>
  <c r="J268" i="2" s="1"/>
  <c r="J269" i="2" s="1"/>
  <c r="L266" i="2"/>
  <c r="L267" i="2" s="1"/>
  <c r="L268" i="2" s="1"/>
  <c r="L269" i="2" s="1"/>
  <c r="M266" i="2"/>
  <c r="M267" i="2" s="1"/>
  <c r="M268" i="2" s="1"/>
  <c r="M269" i="2" s="1"/>
  <c r="B267" i="2"/>
  <c r="B268" i="2"/>
  <c r="B269" i="2" s="1"/>
  <c r="B270" i="2"/>
  <c r="J270" i="2"/>
  <c r="J271" i="2" s="1"/>
  <c r="J272" i="2" s="1"/>
  <c r="J273" i="2" s="1"/>
  <c r="K270" i="2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L270" i="2"/>
  <c r="L271" i="2" s="1"/>
  <c r="L272" i="2" s="1"/>
  <c r="L273" i="2" s="1"/>
  <c r="M270" i="2"/>
  <c r="M271" i="2" s="1"/>
  <c r="M272" i="2" s="1"/>
  <c r="M273" i="2" s="1"/>
  <c r="B271" i="2"/>
  <c r="B272" i="2"/>
  <c r="B273" i="2" s="1"/>
  <c r="B274" i="2"/>
  <c r="J274" i="2"/>
  <c r="J275" i="2" s="1"/>
  <c r="J276" i="2" s="1"/>
  <c r="J277" i="2" s="1"/>
  <c r="L274" i="2"/>
  <c r="L275" i="2" s="1"/>
  <c r="L276" i="2" s="1"/>
  <c r="L277" i="2" s="1"/>
  <c r="M274" i="2"/>
  <c r="M275" i="2" s="1"/>
  <c r="M276" i="2" s="1"/>
  <c r="M277" i="2" s="1"/>
  <c r="B275" i="2"/>
  <c r="B276" i="2"/>
  <c r="B277" i="2" s="1"/>
  <c r="B278" i="2"/>
  <c r="J278" i="2"/>
  <c r="J279" i="2" s="1"/>
  <c r="J280" i="2" s="1"/>
  <c r="J281" i="2" s="1"/>
  <c r="L278" i="2"/>
  <c r="L279" i="2" s="1"/>
  <c r="L280" i="2" s="1"/>
  <c r="L281" i="2" s="1"/>
  <c r="M278" i="2"/>
  <c r="M279" i="2" s="1"/>
  <c r="M280" i="2" s="1"/>
  <c r="M281" i="2" s="1"/>
  <c r="B279" i="2"/>
  <c r="B280" i="2"/>
  <c r="B281" i="2" s="1"/>
  <c r="B282" i="2"/>
  <c r="J282" i="2"/>
  <c r="J283" i="2" s="1"/>
  <c r="J284" i="2" s="1"/>
  <c r="J285" i="2" s="1"/>
  <c r="K282" i="2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L282" i="2"/>
  <c r="L283" i="2" s="1"/>
  <c r="L284" i="2" s="1"/>
  <c r="L285" i="2" s="1"/>
  <c r="M282" i="2"/>
  <c r="M283" i="2" s="1"/>
  <c r="M284" i="2" s="1"/>
  <c r="M285" i="2" s="1"/>
  <c r="B283" i="2"/>
  <c r="B284" i="2"/>
  <c r="B285" i="2" s="1"/>
  <c r="B286" i="2"/>
  <c r="J286" i="2"/>
  <c r="J287" i="2" s="1"/>
  <c r="J288" i="2" s="1"/>
  <c r="J289" i="2" s="1"/>
  <c r="L286" i="2"/>
  <c r="L287" i="2" s="1"/>
  <c r="L288" i="2" s="1"/>
  <c r="L289" i="2" s="1"/>
  <c r="M286" i="2"/>
  <c r="M287" i="2" s="1"/>
  <c r="M288" i="2" s="1"/>
  <c r="M289" i="2" s="1"/>
  <c r="B287" i="2"/>
  <c r="B288" i="2"/>
  <c r="B289" i="2" s="1"/>
  <c r="B290" i="2"/>
  <c r="J290" i="2"/>
  <c r="J291" i="2" s="1"/>
  <c r="J292" i="2" s="1"/>
  <c r="J293" i="2" s="1"/>
  <c r="L290" i="2"/>
  <c r="L291" i="2" s="1"/>
  <c r="L292" i="2" s="1"/>
  <c r="L293" i="2" s="1"/>
  <c r="M290" i="2"/>
  <c r="M291" i="2" s="1"/>
  <c r="M292" i="2" s="1"/>
  <c r="M293" i="2" s="1"/>
  <c r="B291" i="2"/>
  <c r="B292" i="2"/>
  <c r="B293" i="2" s="1"/>
  <c r="B294" i="2"/>
  <c r="J294" i="2"/>
  <c r="J295" i="2" s="1"/>
  <c r="J296" i="2" s="1"/>
  <c r="J297" i="2" s="1"/>
  <c r="K294" i="2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L294" i="2"/>
  <c r="L295" i="2" s="1"/>
  <c r="L296" i="2" s="1"/>
  <c r="L297" i="2" s="1"/>
  <c r="M294" i="2"/>
  <c r="M295" i="2" s="1"/>
  <c r="M296" i="2" s="1"/>
  <c r="M297" i="2" s="1"/>
  <c r="B295" i="2"/>
  <c r="B296" i="2"/>
  <c r="B297" i="2" s="1"/>
  <c r="B298" i="2"/>
  <c r="J298" i="2"/>
  <c r="J299" i="2" s="1"/>
  <c r="J300" i="2" s="1"/>
  <c r="J301" i="2" s="1"/>
  <c r="L298" i="2"/>
  <c r="L299" i="2" s="1"/>
  <c r="L300" i="2" s="1"/>
  <c r="L301" i="2" s="1"/>
  <c r="M298" i="2"/>
  <c r="M299" i="2" s="1"/>
  <c r="M300" i="2" s="1"/>
  <c r="M301" i="2" s="1"/>
  <c r="B299" i="2"/>
  <c r="B300" i="2"/>
  <c r="B301" i="2" s="1"/>
  <c r="B302" i="2"/>
  <c r="J302" i="2"/>
  <c r="J303" i="2" s="1"/>
  <c r="J304" i="2" s="1"/>
  <c r="J305" i="2" s="1"/>
  <c r="L302" i="2"/>
  <c r="L303" i="2" s="1"/>
  <c r="L304" i="2" s="1"/>
  <c r="L305" i="2" s="1"/>
  <c r="M302" i="2"/>
  <c r="M303" i="2" s="1"/>
  <c r="M304" i="2" s="1"/>
  <c r="M305" i="2" s="1"/>
  <c r="B303" i="2"/>
  <c r="B304" i="2"/>
  <c r="B305" i="2" s="1"/>
  <c r="B306" i="2"/>
  <c r="J306" i="2"/>
  <c r="J307" i="2" s="1"/>
  <c r="J308" i="2" s="1"/>
  <c r="J309" i="2" s="1"/>
  <c r="K306" i="2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L306" i="2"/>
  <c r="L307" i="2" s="1"/>
  <c r="L308" i="2" s="1"/>
  <c r="L309" i="2" s="1"/>
  <c r="M306" i="2"/>
  <c r="M307" i="2" s="1"/>
  <c r="M308" i="2" s="1"/>
  <c r="M309" i="2" s="1"/>
  <c r="B307" i="2"/>
  <c r="B308" i="2"/>
  <c r="B309" i="2" s="1"/>
  <c r="B310" i="2"/>
  <c r="J310" i="2"/>
  <c r="J311" i="2" s="1"/>
  <c r="J312" i="2" s="1"/>
  <c r="J313" i="2" s="1"/>
  <c r="L310" i="2"/>
  <c r="L311" i="2" s="1"/>
  <c r="L312" i="2" s="1"/>
  <c r="L313" i="2" s="1"/>
  <c r="M310" i="2"/>
  <c r="M311" i="2" s="1"/>
  <c r="M312" i="2" s="1"/>
  <c r="M313" i="2" s="1"/>
  <c r="B311" i="2"/>
  <c r="B312" i="2"/>
  <c r="B313" i="2" s="1"/>
  <c r="B314" i="2"/>
  <c r="J314" i="2"/>
  <c r="J315" i="2" s="1"/>
  <c r="J316" i="2" s="1"/>
  <c r="J317" i="2" s="1"/>
  <c r="L314" i="2"/>
  <c r="L315" i="2" s="1"/>
  <c r="L316" i="2" s="1"/>
  <c r="L317" i="2" s="1"/>
  <c r="M314" i="2"/>
  <c r="M315" i="2" s="1"/>
  <c r="M316" i="2" s="1"/>
  <c r="M317" i="2" s="1"/>
  <c r="B315" i="2"/>
  <c r="B316" i="2"/>
  <c r="B317" i="2" s="1"/>
  <c r="B318" i="2"/>
  <c r="J318" i="2"/>
  <c r="J319" i="2" s="1"/>
  <c r="J320" i="2" s="1"/>
  <c r="J321" i="2" s="1"/>
  <c r="K318" i="2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L318" i="2"/>
  <c r="L319" i="2" s="1"/>
  <c r="L320" i="2" s="1"/>
  <c r="L321" i="2" s="1"/>
  <c r="M318" i="2"/>
  <c r="M319" i="2" s="1"/>
  <c r="M320" i="2" s="1"/>
  <c r="M321" i="2" s="1"/>
  <c r="B319" i="2"/>
  <c r="B320" i="2"/>
  <c r="B321" i="2" s="1"/>
  <c r="B322" i="2"/>
  <c r="J322" i="2"/>
  <c r="J323" i="2" s="1"/>
  <c r="J324" i="2" s="1"/>
  <c r="J325" i="2" s="1"/>
  <c r="L322" i="2"/>
  <c r="L323" i="2" s="1"/>
  <c r="L324" i="2" s="1"/>
  <c r="L325" i="2" s="1"/>
  <c r="M322" i="2"/>
  <c r="M323" i="2" s="1"/>
  <c r="M324" i="2" s="1"/>
  <c r="M325" i="2" s="1"/>
  <c r="B323" i="2"/>
  <c r="B324" i="2"/>
  <c r="B325" i="2" s="1"/>
  <c r="B326" i="2"/>
  <c r="J326" i="2"/>
  <c r="J327" i="2" s="1"/>
  <c r="J328" i="2" s="1"/>
  <c r="J329" i="2" s="1"/>
  <c r="L326" i="2"/>
  <c r="L327" i="2" s="1"/>
  <c r="L328" i="2" s="1"/>
  <c r="L329" i="2" s="1"/>
  <c r="M326" i="2"/>
  <c r="M327" i="2" s="1"/>
  <c r="M328" i="2" s="1"/>
  <c r="M329" i="2" s="1"/>
  <c r="B327" i="2"/>
  <c r="B328" i="2"/>
  <c r="B329" i="2" s="1"/>
  <c r="B330" i="2"/>
  <c r="J330" i="2"/>
  <c r="J331" i="2" s="1"/>
  <c r="J332" i="2" s="1"/>
  <c r="J333" i="2" s="1"/>
  <c r="K330" i="2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L330" i="2"/>
  <c r="L331" i="2" s="1"/>
  <c r="L332" i="2" s="1"/>
  <c r="L333" i="2" s="1"/>
  <c r="M330" i="2"/>
  <c r="M331" i="2" s="1"/>
  <c r="M332" i="2" s="1"/>
  <c r="M333" i="2" s="1"/>
  <c r="B331" i="2"/>
  <c r="B332" i="2"/>
  <c r="B333" i="2" s="1"/>
  <c r="B334" i="2"/>
  <c r="J334" i="2"/>
  <c r="J335" i="2" s="1"/>
  <c r="J336" i="2" s="1"/>
  <c r="J337" i="2" s="1"/>
  <c r="L334" i="2"/>
  <c r="L335" i="2" s="1"/>
  <c r="L336" i="2" s="1"/>
  <c r="L337" i="2" s="1"/>
  <c r="M334" i="2"/>
  <c r="M335" i="2" s="1"/>
  <c r="M336" i="2" s="1"/>
  <c r="M337" i="2" s="1"/>
  <c r="B335" i="2"/>
  <c r="B336" i="2"/>
  <c r="B337" i="2" s="1"/>
  <c r="B338" i="2"/>
  <c r="J338" i="2"/>
  <c r="J339" i="2" s="1"/>
  <c r="J340" i="2" s="1"/>
  <c r="J341" i="2" s="1"/>
  <c r="L338" i="2"/>
  <c r="L339" i="2" s="1"/>
  <c r="L340" i="2" s="1"/>
  <c r="L341" i="2" s="1"/>
  <c r="M338" i="2"/>
  <c r="M339" i="2" s="1"/>
  <c r="M340" i="2" s="1"/>
  <c r="M341" i="2" s="1"/>
  <c r="B339" i="2"/>
  <c r="B340" i="2"/>
  <c r="B341" i="2" s="1"/>
  <c r="B342" i="2"/>
  <c r="J342" i="2"/>
  <c r="J343" i="2" s="1"/>
  <c r="J344" i="2" s="1"/>
  <c r="J345" i="2" s="1"/>
  <c r="K342" i="2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L342" i="2"/>
  <c r="L343" i="2" s="1"/>
  <c r="L344" i="2" s="1"/>
  <c r="L345" i="2" s="1"/>
  <c r="M342" i="2"/>
  <c r="M343" i="2" s="1"/>
  <c r="M344" i="2" s="1"/>
  <c r="M345" i="2" s="1"/>
  <c r="B343" i="2"/>
  <c r="B344" i="2"/>
  <c r="B345" i="2" s="1"/>
  <c r="B346" i="2"/>
  <c r="J346" i="2"/>
  <c r="J347" i="2" s="1"/>
  <c r="J348" i="2" s="1"/>
  <c r="J349" i="2" s="1"/>
  <c r="L346" i="2"/>
  <c r="L347" i="2" s="1"/>
  <c r="L348" i="2" s="1"/>
  <c r="L349" i="2" s="1"/>
  <c r="M346" i="2"/>
  <c r="M347" i="2" s="1"/>
  <c r="M348" i="2" s="1"/>
  <c r="M349" i="2" s="1"/>
  <c r="B347" i="2"/>
  <c r="B348" i="2"/>
  <c r="B349" i="2" s="1"/>
  <c r="B350" i="2"/>
  <c r="J350" i="2"/>
  <c r="J351" i="2" s="1"/>
  <c r="J352" i="2" s="1"/>
  <c r="J353" i="2" s="1"/>
  <c r="L350" i="2"/>
  <c r="L351" i="2" s="1"/>
  <c r="L352" i="2" s="1"/>
  <c r="L353" i="2" s="1"/>
  <c r="M350" i="2"/>
  <c r="M351" i="2" s="1"/>
  <c r="M352" i="2" s="1"/>
  <c r="M353" i="2" s="1"/>
  <c r="B351" i="2"/>
  <c r="B352" i="2"/>
  <c r="B353" i="2" s="1"/>
  <c r="B354" i="2"/>
  <c r="J354" i="2"/>
  <c r="J355" i="2" s="1"/>
  <c r="J356" i="2" s="1"/>
  <c r="J357" i="2" s="1"/>
  <c r="K354" i="2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L354" i="2"/>
  <c r="L355" i="2" s="1"/>
  <c r="L356" i="2" s="1"/>
  <c r="L357" i="2" s="1"/>
  <c r="M354" i="2"/>
  <c r="M355" i="2" s="1"/>
  <c r="M356" i="2" s="1"/>
  <c r="M357" i="2" s="1"/>
  <c r="B355" i="2"/>
  <c r="B356" i="2"/>
  <c r="B357" i="2" s="1"/>
  <c r="B358" i="2"/>
  <c r="J358" i="2"/>
  <c r="J359" i="2" s="1"/>
  <c r="J360" i="2" s="1"/>
  <c r="J361" i="2" s="1"/>
  <c r="L358" i="2"/>
  <c r="L359" i="2" s="1"/>
  <c r="L360" i="2" s="1"/>
  <c r="L361" i="2" s="1"/>
  <c r="M358" i="2"/>
  <c r="M359" i="2" s="1"/>
  <c r="M360" i="2" s="1"/>
  <c r="M361" i="2" s="1"/>
  <c r="B359" i="2"/>
  <c r="B360" i="2"/>
  <c r="B361" i="2" s="1"/>
  <c r="B362" i="2"/>
  <c r="J362" i="2"/>
  <c r="J363" i="2" s="1"/>
  <c r="J364" i="2" s="1"/>
  <c r="J365" i="2" s="1"/>
  <c r="L362" i="2"/>
  <c r="L363" i="2" s="1"/>
  <c r="L364" i="2" s="1"/>
  <c r="L365" i="2" s="1"/>
  <c r="M362" i="2"/>
  <c r="M363" i="2" s="1"/>
  <c r="M364" i="2" s="1"/>
  <c r="M365" i="2" s="1"/>
  <c r="B363" i="2"/>
  <c r="B364" i="2"/>
  <c r="B365" i="2" s="1"/>
  <c r="B366" i="2"/>
  <c r="J366" i="2"/>
  <c r="J367" i="2" s="1"/>
  <c r="J368" i="2" s="1"/>
  <c r="J369" i="2" s="1"/>
  <c r="K366" i="2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L366" i="2"/>
  <c r="L367" i="2" s="1"/>
  <c r="L368" i="2" s="1"/>
  <c r="L369" i="2" s="1"/>
  <c r="M366" i="2"/>
  <c r="M367" i="2" s="1"/>
  <c r="M368" i="2" s="1"/>
  <c r="M369" i="2" s="1"/>
  <c r="B367" i="2"/>
  <c r="B368" i="2"/>
  <c r="B369" i="2" s="1"/>
  <c r="B370" i="2"/>
  <c r="J370" i="2"/>
  <c r="J371" i="2" s="1"/>
  <c r="J372" i="2" s="1"/>
  <c r="J373" i="2" s="1"/>
  <c r="L370" i="2"/>
  <c r="L371" i="2" s="1"/>
  <c r="L372" i="2" s="1"/>
  <c r="L373" i="2" s="1"/>
  <c r="M370" i="2"/>
  <c r="M371" i="2" s="1"/>
  <c r="M372" i="2" s="1"/>
  <c r="M373" i="2" s="1"/>
  <c r="B371" i="2"/>
  <c r="B372" i="2"/>
  <c r="B373" i="2" s="1"/>
  <c r="B374" i="2"/>
  <c r="J374" i="2"/>
  <c r="J375" i="2" s="1"/>
  <c r="J376" i="2" s="1"/>
  <c r="J377" i="2" s="1"/>
  <c r="L374" i="2"/>
  <c r="L375" i="2" s="1"/>
  <c r="L376" i="2" s="1"/>
  <c r="L377" i="2" s="1"/>
  <c r="M374" i="2"/>
  <c r="M375" i="2" s="1"/>
  <c r="M376" i="2" s="1"/>
  <c r="M377" i="2" s="1"/>
  <c r="B375" i="2"/>
  <c r="B376" i="2"/>
  <c r="B377" i="2" s="1"/>
  <c r="B378" i="2"/>
  <c r="J378" i="2"/>
  <c r="J379" i="2" s="1"/>
  <c r="J380" i="2" s="1"/>
  <c r="J381" i="2" s="1"/>
  <c r="K378" i="2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L378" i="2"/>
  <c r="L379" i="2" s="1"/>
  <c r="L380" i="2" s="1"/>
  <c r="L381" i="2" s="1"/>
  <c r="M378" i="2"/>
  <c r="M379" i="2" s="1"/>
  <c r="M380" i="2" s="1"/>
  <c r="M381" i="2" s="1"/>
  <c r="B379" i="2"/>
  <c r="B380" i="2"/>
  <c r="B381" i="2" s="1"/>
  <c r="B382" i="2"/>
  <c r="J382" i="2"/>
  <c r="J383" i="2" s="1"/>
  <c r="J384" i="2" s="1"/>
  <c r="J385" i="2" s="1"/>
  <c r="L382" i="2"/>
  <c r="L383" i="2" s="1"/>
  <c r="L384" i="2" s="1"/>
  <c r="L385" i="2" s="1"/>
  <c r="M382" i="2"/>
  <c r="M383" i="2" s="1"/>
  <c r="M384" i="2" s="1"/>
  <c r="M385" i="2" s="1"/>
  <c r="B383" i="2"/>
  <c r="B384" i="2"/>
  <c r="B385" i="2" s="1"/>
  <c r="B386" i="2"/>
  <c r="J386" i="2"/>
  <c r="J387" i="2" s="1"/>
  <c r="J388" i="2" s="1"/>
  <c r="J389" i="2" s="1"/>
  <c r="L386" i="2"/>
  <c r="L387" i="2" s="1"/>
  <c r="L388" i="2" s="1"/>
  <c r="L389" i="2" s="1"/>
  <c r="M386" i="2"/>
  <c r="M387" i="2" s="1"/>
  <c r="M388" i="2" s="1"/>
  <c r="M389" i="2" s="1"/>
  <c r="B387" i="2"/>
  <c r="B388" i="2"/>
  <c r="B389" i="2" s="1"/>
  <c r="B390" i="2"/>
  <c r="J390" i="2"/>
  <c r="J391" i="2" s="1"/>
  <c r="J392" i="2" s="1"/>
  <c r="J393" i="2" s="1"/>
  <c r="K390" i="2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L390" i="2"/>
  <c r="L391" i="2" s="1"/>
  <c r="L392" i="2" s="1"/>
  <c r="L393" i="2" s="1"/>
  <c r="M390" i="2"/>
  <c r="M391" i="2" s="1"/>
  <c r="M392" i="2" s="1"/>
  <c r="M393" i="2" s="1"/>
  <c r="B391" i="2"/>
  <c r="B392" i="2"/>
  <c r="B393" i="2" s="1"/>
  <c r="B394" i="2"/>
  <c r="J394" i="2"/>
  <c r="J395" i="2" s="1"/>
  <c r="J396" i="2" s="1"/>
  <c r="J397" i="2" s="1"/>
  <c r="L394" i="2"/>
  <c r="L395" i="2" s="1"/>
  <c r="L396" i="2" s="1"/>
  <c r="L397" i="2" s="1"/>
  <c r="M394" i="2"/>
  <c r="M395" i="2" s="1"/>
  <c r="M396" i="2" s="1"/>
  <c r="M397" i="2" s="1"/>
  <c r="B395" i="2"/>
  <c r="B396" i="2"/>
  <c r="B397" i="2" s="1"/>
  <c r="B398" i="2"/>
  <c r="J398" i="2"/>
  <c r="J399" i="2" s="1"/>
  <c r="J400" i="2" s="1"/>
  <c r="J401" i="2" s="1"/>
  <c r="L398" i="2"/>
  <c r="L399" i="2" s="1"/>
  <c r="L400" i="2" s="1"/>
  <c r="L401" i="2" s="1"/>
  <c r="M398" i="2"/>
  <c r="M399" i="2" s="1"/>
  <c r="M400" i="2" s="1"/>
  <c r="M401" i="2" s="1"/>
  <c r="B399" i="2"/>
  <c r="B400" i="2"/>
  <c r="B401" i="2" s="1"/>
  <c r="B402" i="2"/>
  <c r="J402" i="2"/>
  <c r="K402" i="2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L402" i="2"/>
  <c r="L403" i="2" s="1"/>
  <c r="L404" i="2" s="1"/>
  <c r="L405" i="2" s="1"/>
  <c r="M402" i="2"/>
  <c r="M403" i="2" s="1"/>
  <c r="M404" i="2" s="1"/>
  <c r="M405" i="2" s="1"/>
  <c r="B403" i="2"/>
  <c r="J403" i="2"/>
  <c r="J404" i="2" s="1"/>
  <c r="J405" i="2" s="1"/>
  <c r="B404" i="2"/>
  <c r="B405" i="2" s="1"/>
  <c r="B406" i="2"/>
  <c r="J406" i="2"/>
  <c r="J407" i="2" s="1"/>
  <c r="J408" i="2" s="1"/>
  <c r="J409" i="2" s="1"/>
  <c r="L406" i="2"/>
  <c r="L407" i="2" s="1"/>
  <c r="L408" i="2" s="1"/>
  <c r="L409" i="2" s="1"/>
  <c r="M406" i="2"/>
  <c r="M407" i="2" s="1"/>
  <c r="M408" i="2" s="1"/>
  <c r="M409" i="2" s="1"/>
  <c r="B407" i="2"/>
  <c r="B408" i="2"/>
  <c r="B409" i="2" s="1"/>
  <c r="B410" i="2"/>
  <c r="J410" i="2"/>
  <c r="J411" i="2" s="1"/>
  <c r="J412" i="2" s="1"/>
  <c r="J413" i="2" s="1"/>
  <c r="L410" i="2"/>
  <c r="L411" i="2" s="1"/>
  <c r="L412" i="2" s="1"/>
  <c r="L413" i="2" s="1"/>
  <c r="M410" i="2"/>
  <c r="M411" i="2" s="1"/>
  <c r="M412" i="2" s="1"/>
  <c r="M413" i="2" s="1"/>
  <c r="B411" i="2"/>
  <c r="B412" i="2"/>
  <c r="B413" i="2" s="1"/>
  <c r="B414" i="2"/>
  <c r="J414" i="2"/>
  <c r="J415" i="2" s="1"/>
  <c r="J416" i="2" s="1"/>
  <c r="J417" i="2" s="1"/>
  <c r="K414" i="2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L414" i="2"/>
  <c r="L415" i="2" s="1"/>
  <c r="L416" i="2" s="1"/>
  <c r="L417" i="2" s="1"/>
  <c r="M414" i="2"/>
  <c r="M415" i="2" s="1"/>
  <c r="M416" i="2" s="1"/>
  <c r="M417" i="2" s="1"/>
  <c r="B415" i="2"/>
  <c r="B416" i="2"/>
  <c r="B417" i="2" s="1"/>
  <c r="B418" i="2"/>
  <c r="J418" i="2"/>
  <c r="J419" i="2" s="1"/>
  <c r="J420" i="2" s="1"/>
  <c r="J421" i="2" s="1"/>
  <c r="L418" i="2"/>
  <c r="L419" i="2" s="1"/>
  <c r="L420" i="2" s="1"/>
  <c r="L421" i="2" s="1"/>
  <c r="M418" i="2"/>
  <c r="M419" i="2" s="1"/>
  <c r="M420" i="2" s="1"/>
  <c r="M421" i="2" s="1"/>
  <c r="B419" i="2"/>
  <c r="B420" i="2"/>
  <c r="B421" i="2" s="1"/>
  <c r="B422" i="2"/>
  <c r="J422" i="2"/>
  <c r="J423" i="2" s="1"/>
  <c r="J424" i="2" s="1"/>
  <c r="J425" i="2" s="1"/>
  <c r="L422" i="2"/>
  <c r="L423" i="2" s="1"/>
  <c r="L424" i="2" s="1"/>
  <c r="L425" i="2" s="1"/>
  <c r="M422" i="2"/>
  <c r="M423" i="2" s="1"/>
  <c r="M424" i="2" s="1"/>
  <c r="M425" i="2" s="1"/>
  <c r="B423" i="2"/>
  <c r="B424" i="2"/>
  <c r="B425" i="2" s="1"/>
  <c r="B426" i="2"/>
  <c r="J426" i="2"/>
  <c r="J427" i="2" s="1"/>
  <c r="J428" i="2" s="1"/>
  <c r="J429" i="2" s="1"/>
  <c r="K426" i="2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L426" i="2"/>
  <c r="L427" i="2" s="1"/>
  <c r="L428" i="2" s="1"/>
  <c r="L429" i="2" s="1"/>
  <c r="M426" i="2"/>
  <c r="M427" i="2" s="1"/>
  <c r="M428" i="2" s="1"/>
  <c r="M429" i="2" s="1"/>
  <c r="B427" i="2"/>
  <c r="B428" i="2"/>
  <c r="B429" i="2" s="1"/>
  <c r="B430" i="2"/>
  <c r="J430" i="2"/>
  <c r="J431" i="2" s="1"/>
  <c r="J432" i="2" s="1"/>
  <c r="J433" i="2" s="1"/>
  <c r="L430" i="2"/>
  <c r="L431" i="2" s="1"/>
  <c r="L432" i="2" s="1"/>
  <c r="L433" i="2" s="1"/>
  <c r="M430" i="2"/>
  <c r="M431" i="2" s="1"/>
  <c r="M432" i="2" s="1"/>
  <c r="M433" i="2" s="1"/>
  <c r="B431" i="2"/>
  <c r="B432" i="2"/>
  <c r="B433" i="2" s="1"/>
  <c r="B434" i="2"/>
  <c r="J434" i="2"/>
  <c r="J435" i="2" s="1"/>
  <c r="J436" i="2" s="1"/>
  <c r="J437" i="2" s="1"/>
  <c r="L434" i="2"/>
  <c r="L435" i="2" s="1"/>
  <c r="L436" i="2" s="1"/>
  <c r="L437" i="2" s="1"/>
  <c r="M434" i="2"/>
  <c r="M435" i="2" s="1"/>
  <c r="M436" i="2" s="1"/>
  <c r="M437" i="2" s="1"/>
  <c r="B435" i="2"/>
  <c r="B436" i="2"/>
  <c r="B437" i="2" s="1"/>
  <c r="B438" i="2"/>
  <c r="J438" i="2"/>
  <c r="J439" i="2" s="1"/>
  <c r="J440" i="2" s="1"/>
  <c r="J441" i="2" s="1"/>
  <c r="K438" i="2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L438" i="2"/>
  <c r="L439" i="2" s="1"/>
  <c r="L440" i="2" s="1"/>
  <c r="L441" i="2" s="1"/>
  <c r="M438" i="2"/>
  <c r="M439" i="2" s="1"/>
  <c r="M440" i="2" s="1"/>
  <c r="M441" i="2" s="1"/>
  <c r="B439" i="2"/>
  <c r="B440" i="2"/>
  <c r="B441" i="2" s="1"/>
  <c r="B442" i="2"/>
  <c r="J442" i="2"/>
  <c r="J443" i="2" s="1"/>
  <c r="J444" i="2" s="1"/>
  <c r="J445" i="2" s="1"/>
  <c r="L442" i="2"/>
  <c r="L443" i="2" s="1"/>
  <c r="L444" i="2" s="1"/>
  <c r="L445" i="2" s="1"/>
  <c r="M442" i="2"/>
  <c r="M443" i="2" s="1"/>
  <c r="M444" i="2" s="1"/>
  <c r="M445" i="2" s="1"/>
  <c r="B443" i="2"/>
  <c r="B444" i="2"/>
  <c r="B445" i="2" s="1"/>
  <c r="B446" i="2"/>
  <c r="J446" i="2"/>
  <c r="J447" i="2" s="1"/>
  <c r="J448" i="2" s="1"/>
  <c r="J449" i="2" s="1"/>
  <c r="L446" i="2"/>
  <c r="L447" i="2" s="1"/>
  <c r="L448" i="2" s="1"/>
  <c r="L449" i="2" s="1"/>
  <c r="M446" i="2"/>
  <c r="M447" i="2" s="1"/>
  <c r="M448" i="2" s="1"/>
  <c r="M449" i="2" s="1"/>
  <c r="B447" i="2"/>
  <c r="B448" i="2"/>
  <c r="B449" i="2" s="1"/>
  <c r="B450" i="2"/>
  <c r="J450" i="2"/>
  <c r="J451" i="2" s="1"/>
  <c r="J452" i="2" s="1"/>
  <c r="J453" i="2" s="1"/>
  <c r="K450" i="2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L450" i="2"/>
  <c r="L451" i="2" s="1"/>
  <c r="L452" i="2" s="1"/>
  <c r="L453" i="2" s="1"/>
  <c r="M450" i="2"/>
  <c r="M451" i="2" s="1"/>
  <c r="M452" i="2" s="1"/>
  <c r="M453" i="2" s="1"/>
  <c r="B451" i="2"/>
  <c r="B452" i="2"/>
  <c r="B453" i="2" s="1"/>
  <c r="B454" i="2"/>
  <c r="J454" i="2"/>
  <c r="J455" i="2" s="1"/>
  <c r="J456" i="2" s="1"/>
  <c r="J457" i="2" s="1"/>
  <c r="L454" i="2"/>
  <c r="L455" i="2" s="1"/>
  <c r="L456" i="2" s="1"/>
  <c r="L457" i="2" s="1"/>
  <c r="M454" i="2"/>
  <c r="M455" i="2" s="1"/>
  <c r="M456" i="2" s="1"/>
  <c r="M457" i="2" s="1"/>
  <c r="B455" i="2"/>
  <c r="B456" i="2"/>
  <c r="B457" i="2" s="1"/>
  <c r="B458" i="2"/>
  <c r="J458" i="2"/>
  <c r="J459" i="2" s="1"/>
  <c r="J460" i="2" s="1"/>
  <c r="J461" i="2" s="1"/>
  <c r="L458" i="2"/>
  <c r="L459" i="2" s="1"/>
  <c r="L460" i="2" s="1"/>
  <c r="L461" i="2" s="1"/>
  <c r="M458" i="2"/>
  <c r="M459" i="2" s="1"/>
  <c r="M460" i="2" s="1"/>
  <c r="M461" i="2" s="1"/>
  <c r="B459" i="2"/>
  <c r="B460" i="2"/>
  <c r="B461" i="2" s="1"/>
  <c r="B462" i="2"/>
  <c r="J462" i="2"/>
  <c r="J463" i="2" s="1"/>
  <c r="J464" i="2" s="1"/>
  <c r="J465" i="2" s="1"/>
  <c r="K462" i="2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L462" i="2"/>
  <c r="L463" i="2" s="1"/>
  <c r="L464" i="2" s="1"/>
  <c r="L465" i="2" s="1"/>
  <c r="M462" i="2"/>
  <c r="M463" i="2" s="1"/>
  <c r="M464" i="2" s="1"/>
  <c r="M465" i="2" s="1"/>
  <c r="B463" i="2"/>
  <c r="B464" i="2"/>
  <c r="B465" i="2" s="1"/>
  <c r="B466" i="2"/>
  <c r="J466" i="2"/>
  <c r="J467" i="2" s="1"/>
  <c r="J468" i="2" s="1"/>
  <c r="J469" i="2" s="1"/>
  <c r="L466" i="2"/>
  <c r="L467" i="2" s="1"/>
  <c r="L468" i="2" s="1"/>
  <c r="L469" i="2" s="1"/>
  <c r="M466" i="2"/>
  <c r="M467" i="2" s="1"/>
  <c r="M468" i="2" s="1"/>
  <c r="M469" i="2" s="1"/>
  <c r="B467" i="2"/>
  <c r="B468" i="2"/>
  <c r="B469" i="2" s="1"/>
  <c r="B470" i="2"/>
  <c r="J470" i="2"/>
  <c r="J471" i="2" s="1"/>
  <c r="J472" i="2" s="1"/>
  <c r="J473" i="2" s="1"/>
  <c r="L470" i="2"/>
  <c r="L471" i="2" s="1"/>
  <c r="L472" i="2" s="1"/>
  <c r="L473" i="2" s="1"/>
  <c r="M470" i="2"/>
  <c r="M471" i="2" s="1"/>
  <c r="M472" i="2" s="1"/>
  <c r="M473" i="2" s="1"/>
  <c r="B471" i="2"/>
  <c r="B472" i="2"/>
  <c r="B473" i="2" s="1"/>
  <c r="B474" i="2"/>
  <c r="J474" i="2"/>
  <c r="J475" i="2" s="1"/>
  <c r="J476" i="2" s="1"/>
  <c r="J477" i="2" s="1"/>
  <c r="K474" i="2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L474" i="2"/>
  <c r="L475" i="2" s="1"/>
  <c r="L476" i="2" s="1"/>
  <c r="L477" i="2" s="1"/>
  <c r="M474" i="2"/>
  <c r="M475" i="2" s="1"/>
  <c r="M476" i="2" s="1"/>
  <c r="M477" i="2" s="1"/>
  <c r="B475" i="2"/>
  <c r="B476" i="2"/>
  <c r="B477" i="2" s="1"/>
  <c r="B478" i="2"/>
  <c r="J478" i="2"/>
  <c r="J479" i="2" s="1"/>
  <c r="J480" i="2" s="1"/>
  <c r="J481" i="2" s="1"/>
  <c r="L478" i="2"/>
  <c r="L479" i="2" s="1"/>
  <c r="L480" i="2" s="1"/>
  <c r="L481" i="2" s="1"/>
  <c r="M478" i="2"/>
  <c r="M479" i="2" s="1"/>
  <c r="M480" i="2" s="1"/>
  <c r="M481" i="2" s="1"/>
  <c r="B479" i="2"/>
  <c r="B480" i="2"/>
  <c r="B481" i="2" s="1"/>
  <c r="B482" i="2"/>
  <c r="J482" i="2"/>
  <c r="J483" i="2" s="1"/>
  <c r="J484" i="2" s="1"/>
  <c r="J485" i="2" s="1"/>
  <c r="L482" i="2"/>
  <c r="L483" i="2" s="1"/>
  <c r="L484" i="2" s="1"/>
  <c r="L485" i="2" s="1"/>
  <c r="M482" i="2"/>
  <c r="M483" i="2" s="1"/>
  <c r="M484" i="2" s="1"/>
  <c r="M485" i="2" s="1"/>
  <c r="B483" i="2"/>
  <c r="B484" i="2"/>
  <c r="B485" i="2" s="1"/>
  <c r="B486" i="2"/>
  <c r="J486" i="2"/>
  <c r="J487" i="2" s="1"/>
  <c r="J488" i="2" s="1"/>
  <c r="J489" i="2" s="1"/>
  <c r="K486" i="2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L486" i="2"/>
  <c r="L487" i="2" s="1"/>
  <c r="L488" i="2" s="1"/>
  <c r="L489" i="2" s="1"/>
  <c r="M486" i="2"/>
  <c r="M487" i="2" s="1"/>
  <c r="M488" i="2" s="1"/>
  <c r="M489" i="2" s="1"/>
  <c r="B487" i="2"/>
  <c r="B488" i="2"/>
  <c r="B489" i="2" s="1"/>
  <c r="B490" i="2"/>
  <c r="J490" i="2"/>
  <c r="J491" i="2" s="1"/>
  <c r="J492" i="2" s="1"/>
  <c r="J493" i="2" s="1"/>
  <c r="L490" i="2"/>
  <c r="L491" i="2" s="1"/>
  <c r="L492" i="2" s="1"/>
  <c r="L493" i="2" s="1"/>
  <c r="M490" i="2"/>
  <c r="M491" i="2" s="1"/>
  <c r="M492" i="2" s="1"/>
  <c r="M493" i="2" s="1"/>
  <c r="B491" i="2"/>
  <c r="B492" i="2"/>
  <c r="B493" i="2" s="1"/>
  <c r="B494" i="2"/>
  <c r="J494" i="2"/>
  <c r="J495" i="2" s="1"/>
  <c r="J496" i="2" s="1"/>
  <c r="J497" i="2" s="1"/>
  <c r="L494" i="2"/>
  <c r="L495" i="2" s="1"/>
  <c r="L496" i="2" s="1"/>
  <c r="L497" i="2" s="1"/>
  <c r="M494" i="2"/>
  <c r="M495" i="2" s="1"/>
  <c r="M496" i="2" s="1"/>
  <c r="M497" i="2" s="1"/>
  <c r="B495" i="2"/>
  <c r="B496" i="2"/>
  <c r="B497" i="2" s="1"/>
  <c r="B498" i="2"/>
  <c r="J498" i="2"/>
  <c r="J499" i="2" s="1"/>
  <c r="J500" i="2" s="1"/>
  <c r="J501" i="2" s="1"/>
  <c r="K498" i="2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L498" i="2"/>
  <c r="L499" i="2" s="1"/>
  <c r="L500" i="2" s="1"/>
  <c r="L501" i="2" s="1"/>
  <c r="M498" i="2"/>
  <c r="M499" i="2" s="1"/>
  <c r="M500" i="2" s="1"/>
  <c r="M501" i="2" s="1"/>
  <c r="B499" i="2"/>
  <c r="B500" i="2"/>
  <c r="B501" i="2" s="1"/>
  <c r="B502" i="2"/>
  <c r="J502" i="2"/>
  <c r="J503" i="2" s="1"/>
  <c r="J504" i="2" s="1"/>
  <c r="J505" i="2" s="1"/>
  <c r="L502" i="2"/>
  <c r="L503" i="2" s="1"/>
  <c r="L504" i="2" s="1"/>
  <c r="L505" i="2" s="1"/>
  <c r="M502" i="2"/>
  <c r="M503" i="2" s="1"/>
  <c r="M504" i="2" s="1"/>
  <c r="M505" i="2" s="1"/>
  <c r="B503" i="2"/>
  <c r="B504" i="2"/>
  <c r="B505" i="2" s="1"/>
  <c r="B506" i="2"/>
  <c r="J506" i="2"/>
  <c r="J507" i="2" s="1"/>
  <c r="J508" i="2" s="1"/>
  <c r="J509" i="2" s="1"/>
  <c r="L506" i="2"/>
  <c r="L507" i="2" s="1"/>
  <c r="L508" i="2" s="1"/>
  <c r="L509" i="2" s="1"/>
  <c r="M506" i="2"/>
  <c r="M507" i="2" s="1"/>
  <c r="M508" i="2" s="1"/>
  <c r="M509" i="2" s="1"/>
  <c r="B507" i="2"/>
  <c r="B508" i="2"/>
  <c r="B509" i="2" s="1"/>
  <c r="B510" i="2"/>
  <c r="J510" i="2"/>
  <c r="J511" i="2" s="1"/>
  <c r="J512" i="2" s="1"/>
  <c r="J513" i="2" s="1"/>
  <c r="K510" i="2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L510" i="2"/>
  <c r="L511" i="2" s="1"/>
  <c r="L512" i="2" s="1"/>
  <c r="L513" i="2" s="1"/>
  <c r="M510" i="2"/>
  <c r="M511" i="2" s="1"/>
  <c r="M512" i="2" s="1"/>
  <c r="M513" i="2" s="1"/>
  <c r="B511" i="2"/>
  <c r="B512" i="2"/>
  <c r="B513" i="2" s="1"/>
  <c r="B514" i="2"/>
  <c r="J514" i="2"/>
  <c r="J515" i="2" s="1"/>
  <c r="J516" i="2" s="1"/>
  <c r="J517" i="2" s="1"/>
  <c r="L514" i="2"/>
  <c r="L515" i="2" s="1"/>
  <c r="L516" i="2" s="1"/>
  <c r="L517" i="2" s="1"/>
  <c r="M514" i="2"/>
  <c r="M515" i="2" s="1"/>
  <c r="M516" i="2" s="1"/>
  <c r="M517" i="2" s="1"/>
  <c r="B515" i="2"/>
  <c r="B516" i="2"/>
  <c r="B517" i="2" s="1"/>
  <c r="B518" i="2"/>
  <c r="J518" i="2"/>
  <c r="J519" i="2" s="1"/>
  <c r="J520" i="2" s="1"/>
  <c r="J521" i="2" s="1"/>
  <c r="L518" i="2"/>
  <c r="L519" i="2" s="1"/>
  <c r="L520" i="2" s="1"/>
  <c r="L521" i="2" s="1"/>
  <c r="M518" i="2"/>
  <c r="M519" i="2" s="1"/>
  <c r="M520" i="2" s="1"/>
  <c r="M521" i="2" s="1"/>
  <c r="B519" i="2"/>
  <c r="B520" i="2"/>
  <c r="B521" i="2" s="1"/>
  <c r="B522" i="2"/>
  <c r="J522" i="2"/>
  <c r="J523" i="2" s="1"/>
  <c r="J524" i="2" s="1"/>
  <c r="J525" i="2" s="1"/>
  <c r="K522" i="2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L522" i="2"/>
  <c r="L523" i="2" s="1"/>
  <c r="L524" i="2" s="1"/>
  <c r="L525" i="2" s="1"/>
  <c r="M522" i="2"/>
  <c r="M523" i="2" s="1"/>
  <c r="M524" i="2" s="1"/>
  <c r="M525" i="2" s="1"/>
  <c r="B523" i="2"/>
  <c r="B524" i="2"/>
  <c r="B525" i="2" s="1"/>
  <c r="B526" i="2"/>
  <c r="J526" i="2"/>
  <c r="J527" i="2" s="1"/>
  <c r="J528" i="2" s="1"/>
  <c r="J529" i="2" s="1"/>
  <c r="L526" i="2"/>
  <c r="L527" i="2" s="1"/>
  <c r="L528" i="2" s="1"/>
  <c r="L529" i="2" s="1"/>
  <c r="M526" i="2"/>
  <c r="M527" i="2" s="1"/>
  <c r="M528" i="2" s="1"/>
  <c r="M529" i="2" s="1"/>
  <c r="B527" i="2"/>
  <c r="B528" i="2"/>
  <c r="B529" i="2" s="1"/>
  <c r="B530" i="2"/>
  <c r="J530" i="2"/>
  <c r="J531" i="2" s="1"/>
  <c r="J532" i="2" s="1"/>
  <c r="J533" i="2" s="1"/>
  <c r="L530" i="2"/>
  <c r="L531" i="2" s="1"/>
  <c r="L532" i="2" s="1"/>
  <c r="L533" i="2" s="1"/>
  <c r="M530" i="2"/>
  <c r="M531" i="2" s="1"/>
  <c r="M532" i="2" s="1"/>
  <c r="M533" i="2" s="1"/>
  <c r="B531" i="2"/>
  <c r="B532" i="2"/>
  <c r="B533" i="2" s="1"/>
  <c r="B534" i="2"/>
  <c r="J534" i="2"/>
  <c r="J535" i="2" s="1"/>
  <c r="J536" i="2" s="1"/>
  <c r="J537" i="2" s="1"/>
  <c r="K534" i="2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L534" i="2"/>
  <c r="L535" i="2" s="1"/>
  <c r="L536" i="2" s="1"/>
  <c r="L537" i="2" s="1"/>
  <c r="M534" i="2"/>
  <c r="M535" i="2" s="1"/>
  <c r="M536" i="2" s="1"/>
  <c r="M537" i="2" s="1"/>
  <c r="B535" i="2"/>
  <c r="B536" i="2"/>
  <c r="B537" i="2" s="1"/>
  <c r="B538" i="2"/>
  <c r="J538" i="2"/>
  <c r="J539" i="2" s="1"/>
  <c r="J540" i="2" s="1"/>
  <c r="J541" i="2" s="1"/>
  <c r="L538" i="2"/>
  <c r="L539" i="2" s="1"/>
  <c r="L540" i="2" s="1"/>
  <c r="L541" i="2" s="1"/>
  <c r="M538" i="2"/>
  <c r="M539" i="2" s="1"/>
  <c r="M540" i="2" s="1"/>
  <c r="M541" i="2" s="1"/>
  <c r="B539" i="2"/>
  <c r="B540" i="2"/>
  <c r="B541" i="2" s="1"/>
  <c r="B542" i="2"/>
  <c r="J542" i="2"/>
  <c r="J543" i="2" s="1"/>
  <c r="J544" i="2" s="1"/>
  <c r="J545" i="2" s="1"/>
  <c r="L542" i="2"/>
  <c r="L543" i="2" s="1"/>
  <c r="L544" i="2" s="1"/>
  <c r="L545" i="2" s="1"/>
  <c r="M542" i="2"/>
  <c r="M543" i="2" s="1"/>
  <c r="M544" i="2" s="1"/>
  <c r="M545" i="2" s="1"/>
  <c r="B543" i="2"/>
  <c r="B544" i="2"/>
  <c r="B545" i="2" s="1"/>
  <c r="B546" i="2"/>
  <c r="J546" i="2"/>
  <c r="J547" i="2" s="1"/>
  <c r="J548" i="2" s="1"/>
  <c r="J549" i="2" s="1"/>
  <c r="K546" i="2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L546" i="2"/>
  <c r="L547" i="2" s="1"/>
  <c r="L548" i="2" s="1"/>
  <c r="L549" i="2" s="1"/>
  <c r="M546" i="2"/>
  <c r="M547" i="2" s="1"/>
  <c r="M548" i="2" s="1"/>
  <c r="M549" i="2" s="1"/>
  <c r="B547" i="2"/>
  <c r="B548" i="2"/>
  <c r="B549" i="2" s="1"/>
  <c r="B550" i="2"/>
  <c r="J550" i="2"/>
  <c r="J551" i="2" s="1"/>
  <c r="J552" i="2" s="1"/>
  <c r="J553" i="2" s="1"/>
  <c r="L550" i="2"/>
  <c r="L551" i="2" s="1"/>
  <c r="L552" i="2" s="1"/>
  <c r="L553" i="2" s="1"/>
  <c r="M550" i="2"/>
  <c r="M551" i="2" s="1"/>
  <c r="M552" i="2" s="1"/>
  <c r="M553" i="2" s="1"/>
  <c r="B551" i="2"/>
  <c r="B552" i="2"/>
  <c r="B553" i="2" s="1"/>
  <c r="B554" i="2"/>
  <c r="J554" i="2"/>
  <c r="J555" i="2" s="1"/>
  <c r="J556" i="2" s="1"/>
  <c r="J557" i="2" s="1"/>
  <c r="L554" i="2"/>
  <c r="L555" i="2" s="1"/>
  <c r="L556" i="2" s="1"/>
  <c r="L557" i="2" s="1"/>
  <c r="M554" i="2"/>
  <c r="M555" i="2" s="1"/>
  <c r="M556" i="2" s="1"/>
  <c r="M557" i="2" s="1"/>
  <c r="B555" i="2"/>
  <c r="B556" i="2"/>
  <c r="B557" i="2" s="1"/>
  <c r="B558" i="2"/>
  <c r="J558" i="2"/>
  <c r="J559" i="2" s="1"/>
  <c r="J560" i="2" s="1"/>
  <c r="J561" i="2" s="1"/>
  <c r="K558" i="2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L558" i="2"/>
  <c r="L559" i="2" s="1"/>
  <c r="L560" i="2" s="1"/>
  <c r="L561" i="2" s="1"/>
  <c r="M558" i="2"/>
  <c r="M559" i="2" s="1"/>
  <c r="M560" i="2" s="1"/>
  <c r="M561" i="2" s="1"/>
  <c r="B559" i="2"/>
  <c r="B560" i="2"/>
  <c r="B561" i="2" s="1"/>
  <c r="B562" i="2"/>
  <c r="J562" i="2"/>
  <c r="J563" i="2" s="1"/>
  <c r="J564" i="2" s="1"/>
  <c r="J565" i="2" s="1"/>
  <c r="L562" i="2"/>
  <c r="L563" i="2" s="1"/>
  <c r="L564" i="2" s="1"/>
  <c r="L565" i="2" s="1"/>
  <c r="M562" i="2"/>
  <c r="M563" i="2" s="1"/>
  <c r="M564" i="2" s="1"/>
  <c r="M565" i="2" s="1"/>
  <c r="B563" i="2"/>
  <c r="B564" i="2"/>
  <c r="B565" i="2" s="1"/>
  <c r="B566" i="2"/>
  <c r="J566" i="2"/>
  <c r="J567" i="2" s="1"/>
  <c r="J568" i="2" s="1"/>
  <c r="J569" i="2" s="1"/>
  <c r="L566" i="2"/>
  <c r="L567" i="2" s="1"/>
  <c r="L568" i="2" s="1"/>
  <c r="L569" i="2" s="1"/>
  <c r="M566" i="2"/>
  <c r="M567" i="2" s="1"/>
  <c r="M568" i="2" s="1"/>
  <c r="M569" i="2" s="1"/>
  <c r="B567" i="2"/>
  <c r="B568" i="2"/>
  <c r="B569" i="2" s="1"/>
  <c r="B570" i="2"/>
  <c r="J570" i="2"/>
  <c r="J571" i="2" s="1"/>
  <c r="J572" i="2" s="1"/>
  <c r="J573" i="2" s="1"/>
  <c r="K570" i="2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L570" i="2"/>
  <c r="L571" i="2" s="1"/>
  <c r="L572" i="2" s="1"/>
  <c r="L573" i="2" s="1"/>
  <c r="M570" i="2"/>
  <c r="M571" i="2" s="1"/>
  <c r="M572" i="2" s="1"/>
  <c r="M573" i="2" s="1"/>
  <c r="B571" i="2"/>
  <c r="B572" i="2"/>
  <c r="B573" i="2" s="1"/>
  <c r="B574" i="2"/>
  <c r="J574" i="2"/>
  <c r="J575" i="2" s="1"/>
  <c r="J576" i="2" s="1"/>
  <c r="J577" i="2" s="1"/>
  <c r="L574" i="2"/>
  <c r="L575" i="2" s="1"/>
  <c r="L576" i="2" s="1"/>
  <c r="L577" i="2" s="1"/>
  <c r="M574" i="2"/>
  <c r="M575" i="2" s="1"/>
  <c r="M576" i="2" s="1"/>
  <c r="M577" i="2" s="1"/>
  <c r="B575" i="2"/>
  <c r="B576" i="2"/>
  <c r="B577" i="2" s="1"/>
  <c r="B578" i="2"/>
  <c r="J578" i="2"/>
  <c r="J579" i="2" s="1"/>
  <c r="J580" i="2" s="1"/>
  <c r="J581" i="2" s="1"/>
  <c r="L578" i="2"/>
  <c r="M578" i="2"/>
  <c r="M579" i="2" s="1"/>
  <c r="M580" i="2" s="1"/>
  <c r="M581" i="2" s="1"/>
  <c r="B579" i="2"/>
  <c r="L579" i="2"/>
  <c r="L580" i="2" s="1"/>
  <c r="L581" i="2" s="1"/>
  <c r="B580" i="2"/>
  <c r="B581" i="2" s="1"/>
  <c r="B582" i="2"/>
  <c r="J582" i="2"/>
  <c r="J583" i="2" s="1"/>
  <c r="J584" i="2" s="1"/>
  <c r="J585" i="2" s="1"/>
  <c r="K582" i="2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L582" i="2"/>
  <c r="L583" i="2" s="1"/>
  <c r="L584" i="2" s="1"/>
  <c r="L585" i="2" s="1"/>
  <c r="M582" i="2"/>
  <c r="M583" i="2" s="1"/>
  <c r="M584" i="2" s="1"/>
  <c r="M585" i="2" s="1"/>
  <c r="B583" i="2"/>
  <c r="B584" i="2"/>
  <c r="B585" i="2" s="1"/>
  <c r="B586" i="2"/>
  <c r="J586" i="2"/>
  <c r="L586" i="2"/>
  <c r="L587" i="2" s="1"/>
  <c r="L588" i="2" s="1"/>
  <c r="L589" i="2" s="1"/>
  <c r="M586" i="2"/>
  <c r="M587" i="2" s="1"/>
  <c r="M588" i="2" s="1"/>
  <c r="M589" i="2" s="1"/>
  <c r="B587" i="2"/>
  <c r="J587" i="2"/>
  <c r="J588" i="2" s="1"/>
  <c r="J589" i="2" s="1"/>
  <c r="B588" i="2"/>
  <c r="B589" i="2" s="1"/>
  <c r="B590" i="2"/>
  <c r="J590" i="2"/>
  <c r="J591" i="2" s="1"/>
  <c r="J592" i="2" s="1"/>
  <c r="J593" i="2" s="1"/>
  <c r="L590" i="2"/>
  <c r="L591" i="2" s="1"/>
  <c r="L592" i="2" s="1"/>
  <c r="L593" i="2" s="1"/>
  <c r="M590" i="2"/>
  <c r="M591" i="2" s="1"/>
  <c r="M592" i="2" s="1"/>
  <c r="M593" i="2" s="1"/>
  <c r="B591" i="2"/>
  <c r="B592" i="2"/>
  <c r="B593" i="2" s="1"/>
  <c r="B594" i="2"/>
  <c r="J594" i="2"/>
  <c r="J595" i="2" s="1"/>
  <c r="J596" i="2" s="1"/>
  <c r="J597" i="2" s="1"/>
  <c r="K594" i="2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L594" i="2"/>
  <c r="L595" i="2" s="1"/>
  <c r="L596" i="2" s="1"/>
  <c r="L597" i="2" s="1"/>
  <c r="M594" i="2"/>
  <c r="M595" i="2" s="1"/>
  <c r="M596" i="2" s="1"/>
  <c r="M597" i="2" s="1"/>
  <c r="B595" i="2"/>
  <c r="B596" i="2"/>
  <c r="B597" i="2" s="1"/>
  <c r="B598" i="2"/>
  <c r="J598" i="2"/>
  <c r="J599" i="2" s="1"/>
  <c r="J600" i="2" s="1"/>
  <c r="J601" i="2" s="1"/>
  <c r="L598" i="2"/>
  <c r="L599" i="2" s="1"/>
  <c r="L600" i="2" s="1"/>
  <c r="L601" i="2" s="1"/>
  <c r="M598" i="2"/>
  <c r="M599" i="2" s="1"/>
  <c r="M600" i="2" s="1"/>
  <c r="M601" i="2" s="1"/>
  <c r="B599" i="2"/>
  <c r="B600" i="2"/>
  <c r="B601" i="2" s="1"/>
  <c r="B602" i="2"/>
  <c r="J602" i="2"/>
  <c r="J603" i="2" s="1"/>
  <c r="J604" i="2" s="1"/>
  <c r="J605" i="2" s="1"/>
  <c r="L602" i="2"/>
  <c r="L603" i="2" s="1"/>
  <c r="L604" i="2" s="1"/>
  <c r="L605" i="2" s="1"/>
  <c r="M602" i="2"/>
  <c r="M603" i="2" s="1"/>
  <c r="M604" i="2" s="1"/>
  <c r="M605" i="2" s="1"/>
  <c r="B603" i="2"/>
  <c r="B604" i="2"/>
  <c r="B605" i="2" s="1"/>
  <c r="B606" i="2"/>
  <c r="J606" i="2"/>
  <c r="J607" i="2" s="1"/>
  <c r="J608" i="2" s="1"/>
  <c r="J609" i="2" s="1"/>
  <c r="K606" i="2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L606" i="2"/>
  <c r="L607" i="2" s="1"/>
  <c r="L608" i="2" s="1"/>
  <c r="L609" i="2" s="1"/>
  <c r="M606" i="2"/>
  <c r="M607" i="2" s="1"/>
  <c r="M608" i="2" s="1"/>
  <c r="M609" i="2" s="1"/>
  <c r="B607" i="2"/>
  <c r="B608" i="2"/>
  <c r="B609" i="2" s="1"/>
  <c r="B610" i="2"/>
  <c r="J610" i="2"/>
  <c r="J611" i="2" s="1"/>
  <c r="J612" i="2" s="1"/>
  <c r="J613" i="2" s="1"/>
  <c r="L610" i="2"/>
  <c r="L611" i="2" s="1"/>
  <c r="L612" i="2" s="1"/>
  <c r="L613" i="2" s="1"/>
  <c r="M610" i="2"/>
  <c r="M611" i="2" s="1"/>
  <c r="M612" i="2" s="1"/>
  <c r="M613" i="2" s="1"/>
  <c r="B611" i="2"/>
  <c r="B612" i="2"/>
  <c r="B613" i="2" s="1"/>
  <c r="B614" i="2"/>
  <c r="J614" i="2"/>
  <c r="J615" i="2" s="1"/>
  <c r="J616" i="2" s="1"/>
  <c r="J617" i="2" s="1"/>
  <c r="L614" i="2"/>
  <c r="L615" i="2" s="1"/>
  <c r="L616" i="2" s="1"/>
  <c r="L617" i="2" s="1"/>
  <c r="M614" i="2"/>
  <c r="M615" i="2" s="1"/>
  <c r="M616" i="2" s="1"/>
  <c r="M617" i="2" s="1"/>
  <c r="B615" i="2"/>
  <c r="B616" i="2"/>
  <c r="B617" i="2" s="1"/>
  <c r="B618" i="2"/>
  <c r="J618" i="2"/>
  <c r="J619" i="2" s="1"/>
  <c r="J620" i="2" s="1"/>
  <c r="J621" i="2" s="1"/>
  <c r="K618" i="2"/>
  <c r="K619" i="2" s="1"/>
  <c r="K620" i="2" s="1"/>
  <c r="K621" i="2" s="1"/>
  <c r="K622" i="2" s="1"/>
  <c r="K623" i="2" s="1"/>
  <c r="K624" i="2" s="1"/>
  <c r="K625" i="2" s="1"/>
  <c r="L618" i="2"/>
  <c r="L619" i="2" s="1"/>
  <c r="L620" i="2" s="1"/>
  <c r="L621" i="2" s="1"/>
  <c r="M618" i="2"/>
  <c r="M619" i="2" s="1"/>
  <c r="M620" i="2" s="1"/>
  <c r="M621" i="2" s="1"/>
  <c r="B619" i="2"/>
  <c r="B620" i="2"/>
  <c r="B621" i="2" s="1"/>
  <c r="B622" i="2"/>
  <c r="J622" i="2"/>
  <c r="J623" i="2" s="1"/>
  <c r="J624" i="2" s="1"/>
  <c r="J625" i="2" s="1"/>
  <c r="L622" i="2"/>
  <c r="L623" i="2" s="1"/>
  <c r="L624" i="2" s="1"/>
  <c r="L625" i="2" s="1"/>
  <c r="M622" i="2"/>
  <c r="M623" i="2" s="1"/>
  <c r="M624" i="2" s="1"/>
  <c r="M625" i="2" s="1"/>
  <c r="B623" i="2"/>
  <c r="B624" i="2"/>
  <c r="B625" i="2" s="1"/>
  <c r="AC623" i="1"/>
  <c r="AD623" i="1" s="1"/>
  <c r="AC619" i="1"/>
  <c r="AD619" i="1" s="1"/>
  <c r="AC615" i="1"/>
  <c r="AD615" i="1" s="1"/>
  <c r="AC611" i="1"/>
  <c r="AD611" i="1" s="1"/>
  <c r="AC607" i="1"/>
  <c r="AD607" i="1" s="1"/>
  <c r="AC603" i="1"/>
  <c r="AD603" i="1" s="1"/>
  <c r="AC599" i="1"/>
  <c r="AD599" i="1" s="1"/>
  <c r="AC595" i="1"/>
  <c r="AD595" i="1" s="1"/>
  <c r="AC591" i="1"/>
  <c r="AD591" i="1" s="1"/>
  <c r="AC587" i="1"/>
  <c r="AD587" i="1" s="1"/>
  <c r="I587" i="1" s="1"/>
  <c r="G589" i="2" s="1"/>
  <c r="AC583" i="1"/>
  <c r="AD583" i="1" s="1"/>
  <c r="AC579" i="1"/>
  <c r="AD579" i="1" s="1"/>
  <c r="AC575" i="1"/>
  <c r="AD575" i="1" s="1"/>
  <c r="AC571" i="1"/>
  <c r="AD571" i="1" s="1"/>
  <c r="AC567" i="1"/>
  <c r="AD567" i="1" s="1"/>
  <c r="AC563" i="1"/>
  <c r="AD563" i="1" s="1"/>
  <c r="AC559" i="1"/>
  <c r="AD559" i="1" s="1"/>
  <c r="AC555" i="1"/>
  <c r="AD555" i="1" s="1"/>
  <c r="AC551" i="1"/>
  <c r="AD551" i="1" s="1"/>
  <c r="AC547" i="1"/>
  <c r="AD547" i="1" s="1"/>
  <c r="AC543" i="1"/>
  <c r="AD543" i="1" s="1"/>
  <c r="AC539" i="1"/>
  <c r="AD539" i="1" s="1"/>
  <c r="AC535" i="1"/>
  <c r="AD535" i="1" s="1"/>
  <c r="AC531" i="1"/>
  <c r="AD531" i="1" s="1"/>
  <c r="I531" i="1" s="1"/>
  <c r="G533" i="2" s="1"/>
  <c r="AC527" i="1"/>
  <c r="AD527" i="1" s="1"/>
  <c r="AC523" i="1"/>
  <c r="AD523" i="1" s="1"/>
  <c r="AC519" i="1"/>
  <c r="AD519" i="1" s="1"/>
  <c r="I519" i="1" s="1"/>
  <c r="G521" i="2" s="1"/>
  <c r="AC515" i="1"/>
  <c r="AG515" i="1" s="1"/>
  <c r="AJ515" i="1" s="1"/>
  <c r="X515" i="1" s="1"/>
  <c r="AC511" i="1"/>
  <c r="AD511" i="1" s="1"/>
  <c r="AC507" i="1"/>
  <c r="AD507" i="1" s="1"/>
  <c r="AC503" i="1"/>
  <c r="AD503" i="1" s="1"/>
  <c r="AC499" i="1"/>
  <c r="AD499" i="1" s="1"/>
  <c r="AC495" i="1"/>
  <c r="AD495" i="1" s="1"/>
  <c r="AC491" i="1"/>
  <c r="AD491" i="1" s="1"/>
  <c r="AC487" i="1"/>
  <c r="AD487" i="1" s="1"/>
  <c r="AC483" i="1"/>
  <c r="AD483" i="1" s="1"/>
  <c r="AC479" i="1"/>
  <c r="AD479" i="1" s="1"/>
  <c r="AC475" i="1"/>
  <c r="AD475" i="1" s="1"/>
  <c r="AC471" i="1"/>
  <c r="AD471" i="1" s="1"/>
  <c r="AC467" i="1"/>
  <c r="AD467" i="1" s="1"/>
  <c r="I467" i="1" s="1"/>
  <c r="G469" i="2" s="1"/>
  <c r="AC463" i="1"/>
  <c r="AD463" i="1" s="1"/>
  <c r="AC459" i="1"/>
  <c r="AD459" i="1" s="1"/>
  <c r="AC455" i="1"/>
  <c r="AD455" i="1" s="1"/>
  <c r="AC451" i="1"/>
  <c r="AD451" i="1" s="1"/>
  <c r="AH451" i="1" s="1"/>
  <c r="AC447" i="1"/>
  <c r="AD447" i="1" s="1"/>
  <c r="AC443" i="1"/>
  <c r="AG443" i="1" s="1"/>
  <c r="AJ443" i="1" s="1"/>
  <c r="G443" i="2" s="1"/>
  <c r="AC439" i="1"/>
  <c r="AD439" i="1" s="1"/>
  <c r="AC435" i="1"/>
  <c r="AD435" i="1" s="1"/>
  <c r="AC431" i="1"/>
  <c r="AD431" i="1" s="1"/>
  <c r="AH431" i="1" s="1"/>
  <c r="AC427" i="1"/>
  <c r="AD427" i="1" s="1"/>
  <c r="AC423" i="1"/>
  <c r="AD423" i="1" s="1"/>
  <c r="I423" i="1" s="1"/>
  <c r="G425" i="2" s="1"/>
  <c r="AC419" i="1"/>
  <c r="AD419" i="1" s="1"/>
  <c r="AC415" i="1"/>
  <c r="AD415" i="1" s="1"/>
  <c r="AC411" i="1"/>
  <c r="AD411" i="1" s="1"/>
  <c r="AC407" i="1"/>
  <c r="AD407" i="1" s="1"/>
  <c r="AC403" i="1"/>
  <c r="AD403" i="1" s="1"/>
  <c r="I403" i="1" s="1"/>
  <c r="G405" i="2" s="1"/>
  <c r="AC399" i="1"/>
  <c r="AD399" i="1" s="1"/>
  <c r="AC395" i="1"/>
  <c r="AD395" i="1" s="1"/>
  <c r="AC391" i="1"/>
  <c r="AD391" i="1" s="1"/>
  <c r="AC387" i="1"/>
  <c r="AD387" i="1" s="1"/>
  <c r="AC383" i="1"/>
  <c r="AD383" i="1" s="1"/>
  <c r="AC379" i="1"/>
  <c r="AD379" i="1" s="1"/>
  <c r="AC375" i="1"/>
  <c r="AD375" i="1" s="1"/>
  <c r="AH375" i="1" s="1"/>
  <c r="AC371" i="1"/>
  <c r="AD371" i="1" s="1"/>
  <c r="AC367" i="1"/>
  <c r="AD367" i="1" s="1"/>
  <c r="AH367" i="1" s="1"/>
  <c r="AC363" i="1"/>
  <c r="AD363" i="1" s="1"/>
  <c r="AC359" i="1"/>
  <c r="AD359" i="1" s="1"/>
  <c r="AC355" i="1"/>
  <c r="AD355" i="1" s="1"/>
  <c r="AC351" i="1"/>
  <c r="AD351" i="1" s="1"/>
  <c r="AH351" i="1" s="1"/>
  <c r="AC347" i="1"/>
  <c r="AD347" i="1" s="1"/>
  <c r="AC343" i="1"/>
  <c r="AD343" i="1" s="1"/>
  <c r="AC339" i="1"/>
  <c r="AD339" i="1" s="1"/>
  <c r="AC335" i="1"/>
  <c r="AD335" i="1" s="1"/>
  <c r="AH335" i="1" s="1"/>
  <c r="AC331" i="1"/>
  <c r="AD331" i="1" s="1"/>
  <c r="I331" i="1" s="1"/>
  <c r="G333" i="2" s="1"/>
  <c r="AC327" i="1"/>
  <c r="AD327" i="1" s="1"/>
  <c r="AC323" i="1"/>
  <c r="AD323" i="1" s="1"/>
  <c r="AC319" i="1"/>
  <c r="AD319" i="1" s="1"/>
  <c r="AC315" i="1"/>
  <c r="AD315" i="1" s="1"/>
  <c r="AC311" i="1"/>
  <c r="AD311" i="1" s="1"/>
  <c r="I311" i="1" s="1"/>
  <c r="G313" i="2" s="1"/>
  <c r="AC307" i="1"/>
  <c r="AG307" i="1" s="1"/>
  <c r="AJ307" i="1" s="1"/>
  <c r="G307" i="2" s="1"/>
  <c r="AC303" i="1"/>
  <c r="AD303" i="1" s="1"/>
  <c r="AH303" i="1" s="1"/>
  <c r="AC299" i="1"/>
  <c r="AD299" i="1" s="1"/>
  <c r="AC295" i="1"/>
  <c r="AD295" i="1" s="1"/>
  <c r="AC291" i="1"/>
  <c r="AD291" i="1" s="1"/>
  <c r="AC287" i="1"/>
  <c r="AD287" i="1" s="1"/>
  <c r="AC283" i="1"/>
  <c r="AD283" i="1" s="1"/>
  <c r="AC279" i="1"/>
  <c r="AD279" i="1" s="1"/>
  <c r="AC275" i="1"/>
  <c r="AD275" i="1" s="1"/>
  <c r="AC271" i="1"/>
  <c r="AD271" i="1" s="1"/>
  <c r="AH271" i="1" s="1"/>
  <c r="AC267" i="1"/>
  <c r="AD267" i="1" s="1"/>
  <c r="AC263" i="1"/>
  <c r="AD263" i="1" s="1"/>
  <c r="I263" i="1" s="1"/>
  <c r="G265" i="2" s="1"/>
  <c r="AC259" i="1"/>
  <c r="AD259" i="1" s="1"/>
  <c r="AC255" i="1"/>
  <c r="AD255" i="1" s="1"/>
  <c r="AC251" i="1"/>
  <c r="AD251" i="1" s="1"/>
  <c r="AC247" i="1"/>
  <c r="AD247" i="1" s="1"/>
  <c r="AC243" i="1"/>
  <c r="AD243" i="1" s="1"/>
  <c r="AC239" i="1"/>
  <c r="AD239" i="1" s="1"/>
  <c r="AH239" i="1" s="1"/>
  <c r="AC235" i="1"/>
  <c r="AD235" i="1" s="1"/>
  <c r="AC231" i="1"/>
  <c r="AD231" i="1" s="1"/>
  <c r="AC227" i="1"/>
  <c r="AG227" i="1" s="1"/>
  <c r="AJ227" i="1" s="1"/>
  <c r="G227" i="2" s="1"/>
  <c r="AC223" i="1"/>
  <c r="AD223" i="1" s="1"/>
  <c r="I223" i="1" s="1"/>
  <c r="G225" i="2" s="1"/>
  <c r="AC219" i="1"/>
  <c r="AD219" i="1" s="1"/>
  <c r="AC215" i="1"/>
  <c r="AD215" i="1" s="1"/>
  <c r="AC211" i="1"/>
  <c r="AD211" i="1" s="1"/>
  <c r="AC207" i="1"/>
  <c r="AD207" i="1" s="1"/>
  <c r="AC203" i="1"/>
  <c r="AD203" i="1" s="1"/>
  <c r="AC199" i="1"/>
  <c r="AD199" i="1" s="1"/>
  <c r="AC195" i="1"/>
  <c r="AD195" i="1" s="1"/>
  <c r="AC191" i="1"/>
  <c r="AD191" i="1" s="1"/>
  <c r="AC187" i="1"/>
  <c r="AD187" i="1" s="1"/>
  <c r="AC183" i="1"/>
  <c r="AD183" i="1" s="1"/>
  <c r="AC179" i="1"/>
  <c r="AD179" i="1" s="1"/>
  <c r="AC175" i="1"/>
  <c r="AD175" i="1" s="1"/>
  <c r="AC171" i="1"/>
  <c r="AD171" i="1" s="1"/>
  <c r="AC167" i="1"/>
  <c r="AD167" i="1" s="1"/>
  <c r="AC163" i="1"/>
  <c r="AD163" i="1" s="1"/>
  <c r="AC159" i="1"/>
  <c r="AD159" i="1" s="1"/>
  <c r="AC155" i="1"/>
  <c r="AD155" i="1" s="1"/>
  <c r="AC151" i="1"/>
  <c r="AD151" i="1" s="1"/>
  <c r="AC147" i="1"/>
  <c r="AD147" i="1" s="1"/>
  <c r="AC143" i="1"/>
  <c r="AD143" i="1" s="1"/>
  <c r="AC139" i="1"/>
  <c r="AD139" i="1" s="1"/>
  <c r="AC135" i="1"/>
  <c r="AD135" i="1" s="1"/>
  <c r="AC131" i="1"/>
  <c r="AD131" i="1" s="1"/>
  <c r="AC127" i="1"/>
  <c r="AD127" i="1" s="1"/>
  <c r="AC123" i="1"/>
  <c r="AD123" i="1" s="1"/>
  <c r="AC119" i="1"/>
  <c r="AD119" i="1" s="1"/>
  <c r="AC115" i="1"/>
  <c r="AD115" i="1" s="1"/>
  <c r="AC111" i="1"/>
  <c r="AD111" i="1" s="1"/>
  <c r="AC107" i="1"/>
  <c r="AD107" i="1" s="1"/>
  <c r="AC103" i="1"/>
  <c r="AD103" i="1" s="1"/>
  <c r="AC99" i="1"/>
  <c r="AD99" i="1" s="1"/>
  <c r="AC95" i="1"/>
  <c r="AD95" i="1" s="1"/>
  <c r="AC91" i="1"/>
  <c r="AD91" i="1" s="1"/>
  <c r="AC87" i="1"/>
  <c r="AD87" i="1" s="1"/>
  <c r="AC83" i="1"/>
  <c r="AD83" i="1" s="1"/>
  <c r="AC79" i="1"/>
  <c r="AD79" i="1" s="1"/>
  <c r="AC75" i="1"/>
  <c r="AD75" i="1" s="1"/>
  <c r="AC71" i="1"/>
  <c r="AD71" i="1" s="1"/>
  <c r="AC67" i="1"/>
  <c r="AD67" i="1" s="1"/>
  <c r="AC63" i="1"/>
  <c r="AD63" i="1" s="1"/>
  <c r="AC59" i="1"/>
  <c r="AD59" i="1" s="1"/>
  <c r="AC55" i="1"/>
  <c r="AD55" i="1" s="1"/>
  <c r="AC51" i="1"/>
  <c r="AD51" i="1" s="1"/>
  <c r="AC47" i="1"/>
  <c r="AD47" i="1" s="1"/>
  <c r="AC43" i="1"/>
  <c r="AD43" i="1" s="1"/>
  <c r="AC39" i="1"/>
  <c r="AD39" i="1" s="1"/>
  <c r="AC35" i="1"/>
  <c r="AD35" i="1" s="1"/>
  <c r="AC31" i="1"/>
  <c r="AD31" i="1" s="1"/>
  <c r="AC27" i="1"/>
  <c r="AD27" i="1" s="1"/>
  <c r="AC23" i="1"/>
  <c r="AD23" i="1" s="1"/>
  <c r="AC19" i="1"/>
  <c r="AD19" i="1" s="1"/>
  <c r="AC15" i="1"/>
  <c r="AD15" i="1" s="1"/>
  <c r="AC11" i="1"/>
  <c r="AD11" i="1" s="1"/>
  <c r="AC7" i="1"/>
  <c r="AD7" i="1" s="1"/>
  <c r="S219" i="1"/>
  <c r="E218" i="2" s="1"/>
  <c r="E219" i="2" s="1"/>
  <c r="E220" i="2" s="1"/>
  <c r="E221" i="2" s="1"/>
  <c r="Z219" i="1"/>
  <c r="AF219" i="1"/>
  <c r="AI219" i="1" s="1"/>
  <c r="G218" i="2" s="1"/>
  <c r="AN219" i="1"/>
  <c r="AO219" i="1"/>
  <c r="AP219" i="1"/>
  <c r="AR219" i="1"/>
  <c r="AU219" i="1" s="1"/>
  <c r="S223" i="1"/>
  <c r="E222" i="2" s="1"/>
  <c r="E223" i="2" s="1"/>
  <c r="E224" i="2" s="1"/>
  <c r="E225" i="2" s="1"/>
  <c r="Z223" i="1"/>
  <c r="AF223" i="1"/>
  <c r="AI223" i="1" s="1"/>
  <c r="G222" i="2" s="1"/>
  <c r="AN223" i="1"/>
  <c r="AO223" i="1"/>
  <c r="AP223" i="1"/>
  <c r="AR223" i="1"/>
  <c r="S227" i="1"/>
  <c r="E226" i="2" s="1"/>
  <c r="E227" i="2" s="1"/>
  <c r="E228" i="2" s="1"/>
  <c r="E229" i="2" s="1"/>
  <c r="Z227" i="1"/>
  <c r="AF227" i="1"/>
  <c r="AI227" i="1" s="1"/>
  <c r="AN227" i="1"/>
  <c r="AO227" i="1"/>
  <c r="AP227" i="1"/>
  <c r="AR227" i="1"/>
  <c r="AS227" i="1" s="1"/>
  <c r="S231" i="1"/>
  <c r="E230" i="2" s="1"/>
  <c r="E231" i="2" s="1"/>
  <c r="E232" i="2" s="1"/>
  <c r="E233" i="2" s="1"/>
  <c r="Z231" i="1"/>
  <c r="AF231" i="1"/>
  <c r="AI231" i="1" s="1"/>
  <c r="AN231" i="1"/>
  <c r="AO231" i="1"/>
  <c r="AP231" i="1"/>
  <c r="AR231" i="1"/>
  <c r="AS231" i="1" s="1"/>
  <c r="S235" i="1"/>
  <c r="E234" i="2" s="1"/>
  <c r="E235" i="2" s="1"/>
  <c r="E236" i="2" s="1"/>
  <c r="E237" i="2" s="1"/>
  <c r="Z235" i="1"/>
  <c r="AF235" i="1"/>
  <c r="AI235" i="1" s="1"/>
  <c r="G234" i="2" s="1"/>
  <c r="AN235" i="1"/>
  <c r="AO235" i="1"/>
  <c r="AP235" i="1"/>
  <c r="AR235" i="1"/>
  <c r="AS235" i="1" s="1"/>
  <c r="S239" i="1"/>
  <c r="E238" i="2" s="1"/>
  <c r="E239" i="2" s="1"/>
  <c r="E240" i="2" s="1"/>
  <c r="E241" i="2" s="1"/>
  <c r="Z239" i="1"/>
  <c r="AF239" i="1"/>
  <c r="AI239" i="1" s="1"/>
  <c r="G238" i="2" s="1"/>
  <c r="AN239" i="1"/>
  <c r="AO239" i="1"/>
  <c r="AP239" i="1"/>
  <c r="AR239" i="1"/>
  <c r="S243" i="1"/>
  <c r="E242" i="2" s="1"/>
  <c r="E243" i="2" s="1"/>
  <c r="E244" i="2" s="1"/>
  <c r="E245" i="2" s="1"/>
  <c r="Z243" i="1"/>
  <c r="AF243" i="1"/>
  <c r="AI243" i="1" s="1"/>
  <c r="G242" i="2" s="1"/>
  <c r="AN243" i="1"/>
  <c r="AO243" i="1"/>
  <c r="AP243" i="1"/>
  <c r="AR243" i="1"/>
  <c r="AU243" i="1" s="1"/>
  <c r="S247" i="1"/>
  <c r="E246" i="2" s="1"/>
  <c r="E247" i="2" s="1"/>
  <c r="E248" i="2" s="1"/>
  <c r="E249" i="2" s="1"/>
  <c r="Z247" i="1"/>
  <c r="AF247" i="1"/>
  <c r="AI247" i="1" s="1"/>
  <c r="G246" i="2" s="1"/>
  <c r="AN247" i="1"/>
  <c r="AO247" i="1"/>
  <c r="AP247" i="1"/>
  <c r="AR247" i="1"/>
  <c r="AS247" i="1" s="1"/>
  <c r="S251" i="1"/>
  <c r="E250" i="2" s="1"/>
  <c r="E251" i="2" s="1"/>
  <c r="E252" i="2" s="1"/>
  <c r="E253" i="2" s="1"/>
  <c r="Z251" i="1"/>
  <c r="AF251" i="1"/>
  <c r="AI251" i="1" s="1"/>
  <c r="G250" i="2" s="1"/>
  <c r="AN251" i="1"/>
  <c r="AO251" i="1"/>
  <c r="AP251" i="1"/>
  <c r="AR251" i="1"/>
  <c r="AU251" i="1" s="1"/>
  <c r="S255" i="1"/>
  <c r="E254" i="2" s="1"/>
  <c r="E255" i="2" s="1"/>
  <c r="E256" i="2" s="1"/>
  <c r="E257" i="2" s="1"/>
  <c r="Z255" i="1"/>
  <c r="AF255" i="1"/>
  <c r="AI255" i="1" s="1"/>
  <c r="G254" i="2" s="1"/>
  <c r="AN255" i="1"/>
  <c r="AO255" i="1"/>
  <c r="AP255" i="1"/>
  <c r="AR255" i="1"/>
  <c r="AS255" i="1" s="1"/>
  <c r="S259" i="1"/>
  <c r="E258" i="2" s="1"/>
  <c r="E259" i="2" s="1"/>
  <c r="E260" i="2" s="1"/>
  <c r="E261" i="2" s="1"/>
  <c r="Z259" i="1"/>
  <c r="AF259" i="1"/>
  <c r="AI259" i="1" s="1"/>
  <c r="AN259" i="1"/>
  <c r="AO259" i="1"/>
  <c r="AP259" i="1"/>
  <c r="AR259" i="1"/>
  <c r="AS259" i="1" s="1"/>
  <c r="S263" i="1"/>
  <c r="E262" i="2" s="1"/>
  <c r="E263" i="2" s="1"/>
  <c r="E264" i="2" s="1"/>
  <c r="E265" i="2" s="1"/>
  <c r="Z263" i="1"/>
  <c r="AF263" i="1"/>
  <c r="AI263" i="1" s="1"/>
  <c r="W263" i="1" s="1"/>
  <c r="AN263" i="1"/>
  <c r="AO263" i="1"/>
  <c r="AP263" i="1"/>
  <c r="AR263" i="1"/>
  <c r="AS263" i="1" s="1"/>
  <c r="S267" i="1"/>
  <c r="E266" i="2" s="1"/>
  <c r="E267" i="2" s="1"/>
  <c r="E268" i="2" s="1"/>
  <c r="E269" i="2" s="1"/>
  <c r="Z267" i="1"/>
  <c r="AF267" i="1"/>
  <c r="AI267" i="1" s="1"/>
  <c r="G266" i="2" s="1"/>
  <c r="AN267" i="1"/>
  <c r="AO267" i="1"/>
  <c r="AP267" i="1"/>
  <c r="AR267" i="1"/>
  <c r="AS267" i="1" s="1"/>
  <c r="S271" i="1"/>
  <c r="E270" i="2" s="1"/>
  <c r="E271" i="2" s="1"/>
  <c r="E272" i="2" s="1"/>
  <c r="E273" i="2" s="1"/>
  <c r="Z271" i="1"/>
  <c r="AF271" i="1"/>
  <c r="AI271" i="1" s="1"/>
  <c r="AN271" i="1"/>
  <c r="AO271" i="1"/>
  <c r="AP271" i="1"/>
  <c r="AR271" i="1"/>
  <c r="S275" i="1"/>
  <c r="E274" i="2" s="1"/>
  <c r="E275" i="2" s="1"/>
  <c r="E276" i="2" s="1"/>
  <c r="E277" i="2" s="1"/>
  <c r="Z275" i="1"/>
  <c r="AF275" i="1"/>
  <c r="AI275" i="1" s="1"/>
  <c r="W275" i="1" s="1"/>
  <c r="AN275" i="1"/>
  <c r="AO275" i="1"/>
  <c r="AP275" i="1"/>
  <c r="AR275" i="1"/>
  <c r="S279" i="1"/>
  <c r="E278" i="2" s="1"/>
  <c r="E279" i="2" s="1"/>
  <c r="E280" i="2" s="1"/>
  <c r="E281" i="2" s="1"/>
  <c r="Z279" i="1"/>
  <c r="AF279" i="1"/>
  <c r="AI279" i="1" s="1"/>
  <c r="AN279" i="1"/>
  <c r="AO279" i="1"/>
  <c r="AP279" i="1"/>
  <c r="AR279" i="1"/>
  <c r="AS279" i="1" s="1"/>
  <c r="S283" i="1"/>
  <c r="E282" i="2" s="1"/>
  <c r="E283" i="2" s="1"/>
  <c r="E284" i="2" s="1"/>
  <c r="E285" i="2" s="1"/>
  <c r="Z283" i="1"/>
  <c r="AF283" i="1"/>
  <c r="AI283" i="1" s="1"/>
  <c r="G282" i="2" s="1"/>
  <c r="AN283" i="1"/>
  <c r="AO283" i="1"/>
  <c r="AP283" i="1"/>
  <c r="AR283" i="1"/>
  <c r="AS283" i="1" s="1"/>
  <c r="S287" i="1"/>
  <c r="E286" i="2" s="1"/>
  <c r="E287" i="2" s="1"/>
  <c r="E288" i="2" s="1"/>
  <c r="E289" i="2" s="1"/>
  <c r="Z287" i="1"/>
  <c r="AF287" i="1"/>
  <c r="AI287" i="1" s="1"/>
  <c r="G286" i="2" s="1"/>
  <c r="AN287" i="1"/>
  <c r="AO287" i="1"/>
  <c r="AP287" i="1"/>
  <c r="AR287" i="1"/>
  <c r="AU287" i="1" s="1"/>
  <c r="S291" i="1"/>
  <c r="E290" i="2" s="1"/>
  <c r="E291" i="2" s="1"/>
  <c r="E292" i="2" s="1"/>
  <c r="E293" i="2" s="1"/>
  <c r="Z291" i="1"/>
  <c r="AF291" i="1"/>
  <c r="AI291" i="1" s="1"/>
  <c r="AN291" i="1"/>
  <c r="AO291" i="1"/>
  <c r="AP291" i="1"/>
  <c r="AR291" i="1"/>
  <c r="AS291" i="1" s="1"/>
  <c r="S295" i="1"/>
  <c r="E294" i="2" s="1"/>
  <c r="E295" i="2" s="1"/>
  <c r="E296" i="2" s="1"/>
  <c r="E297" i="2" s="1"/>
  <c r="Z295" i="1"/>
  <c r="AF295" i="1"/>
  <c r="AI295" i="1" s="1"/>
  <c r="AN295" i="1"/>
  <c r="AO295" i="1"/>
  <c r="AP295" i="1"/>
  <c r="AR295" i="1"/>
  <c r="AS295" i="1" s="1"/>
  <c r="S299" i="1"/>
  <c r="E298" i="2" s="1"/>
  <c r="E299" i="2" s="1"/>
  <c r="E300" i="2" s="1"/>
  <c r="E301" i="2" s="1"/>
  <c r="Z299" i="1"/>
  <c r="AF299" i="1"/>
  <c r="AI299" i="1" s="1"/>
  <c r="G298" i="2" s="1"/>
  <c r="AN299" i="1"/>
  <c r="AO299" i="1"/>
  <c r="AP299" i="1"/>
  <c r="AR299" i="1"/>
  <c r="AS299" i="1" s="1"/>
  <c r="S303" i="1"/>
  <c r="E302" i="2" s="1"/>
  <c r="E303" i="2" s="1"/>
  <c r="E304" i="2" s="1"/>
  <c r="E305" i="2" s="1"/>
  <c r="Z303" i="1"/>
  <c r="AF303" i="1"/>
  <c r="AI303" i="1" s="1"/>
  <c r="G302" i="2" s="1"/>
  <c r="AN303" i="1"/>
  <c r="AO303" i="1"/>
  <c r="AP303" i="1"/>
  <c r="AR303" i="1"/>
  <c r="AS303" i="1" s="1"/>
  <c r="S307" i="1"/>
  <c r="E306" i="2" s="1"/>
  <c r="E307" i="2" s="1"/>
  <c r="E308" i="2" s="1"/>
  <c r="E309" i="2" s="1"/>
  <c r="Z307" i="1"/>
  <c r="AF307" i="1"/>
  <c r="AI307" i="1" s="1"/>
  <c r="W307" i="1" s="1"/>
  <c r="AN307" i="1"/>
  <c r="AO307" i="1"/>
  <c r="AP307" i="1"/>
  <c r="AR307" i="1"/>
  <c r="AU307" i="1" s="1"/>
  <c r="S311" i="1"/>
  <c r="E310" i="2" s="1"/>
  <c r="E311" i="2" s="1"/>
  <c r="E312" i="2" s="1"/>
  <c r="E313" i="2" s="1"/>
  <c r="Z311" i="1"/>
  <c r="AF311" i="1"/>
  <c r="AI311" i="1" s="1"/>
  <c r="W311" i="1" s="1"/>
  <c r="AN311" i="1"/>
  <c r="AO311" i="1"/>
  <c r="AP311" i="1"/>
  <c r="AR311" i="1"/>
  <c r="AS311" i="1" s="1"/>
  <c r="S315" i="1"/>
  <c r="E314" i="2" s="1"/>
  <c r="E315" i="2" s="1"/>
  <c r="E316" i="2" s="1"/>
  <c r="E317" i="2" s="1"/>
  <c r="Z315" i="1"/>
  <c r="AF315" i="1"/>
  <c r="AI315" i="1" s="1"/>
  <c r="G314" i="2" s="1"/>
  <c r="AN315" i="1"/>
  <c r="AO315" i="1"/>
  <c r="AP315" i="1"/>
  <c r="AR315" i="1"/>
  <c r="AS315" i="1" s="1"/>
  <c r="S319" i="1"/>
  <c r="E318" i="2" s="1"/>
  <c r="E319" i="2" s="1"/>
  <c r="E320" i="2" s="1"/>
  <c r="E321" i="2" s="1"/>
  <c r="Z319" i="1"/>
  <c r="AF319" i="1"/>
  <c r="AI319" i="1" s="1"/>
  <c r="G318" i="2" s="1"/>
  <c r="AN319" i="1"/>
  <c r="AO319" i="1"/>
  <c r="AP319" i="1"/>
  <c r="AR319" i="1"/>
  <c r="AU319" i="1" s="1"/>
  <c r="S323" i="1"/>
  <c r="E322" i="2" s="1"/>
  <c r="E323" i="2" s="1"/>
  <c r="E324" i="2" s="1"/>
  <c r="E325" i="2" s="1"/>
  <c r="Z323" i="1"/>
  <c r="AF323" i="1"/>
  <c r="AI323" i="1" s="1"/>
  <c r="G322" i="2" s="1"/>
  <c r="AN323" i="1"/>
  <c r="AO323" i="1"/>
  <c r="AP323" i="1"/>
  <c r="AR323" i="1"/>
  <c r="S327" i="1"/>
  <c r="E326" i="2" s="1"/>
  <c r="E327" i="2" s="1"/>
  <c r="E328" i="2" s="1"/>
  <c r="E329" i="2" s="1"/>
  <c r="Z327" i="1"/>
  <c r="AF327" i="1"/>
  <c r="AI327" i="1" s="1"/>
  <c r="G326" i="2" s="1"/>
  <c r="AN327" i="1"/>
  <c r="AO327" i="1"/>
  <c r="AP327" i="1"/>
  <c r="AR327" i="1"/>
  <c r="AS327" i="1" s="1"/>
  <c r="S331" i="1"/>
  <c r="E330" i="2" s="1"/>
  <c r="E331" i="2" s="1"/>
  <c r="E332" i="2" s="1"/>
  <c r="E333" i="2" s="1"/>
  <c r="Z331" i="1"/>
  <c r="AF331" i="1"/>
  <c r="AI331" i="1" s="1"/>
  <c r="AN331" i="1"/>
  <c r="AO331" i="1"/>
  <c r="AP331" i="1"/>
  <c r="AR331" i="1"/>
  <c r="S335" i="1"/>
  <c r="E334" i="2" s="1"/>
  <c r="E335" i="2" s="1"/>
  <c r="E336" i="2" s="1"/>
  <c r="E337" i="2" s="1"/>
  <c r="Z335" i="1"/>
  <c r="AF335" i="1"/>
  <c r="AI335" i="1" s="1"/>
  <c r="G334" i="2" s="1"/>
  <c r="AN335" i="1"/>
  <c r="AO335" i="1"/>
  <c r="AP335" i="1"/>
  <c r="AR335" i="1"/>
  <c r="AU335" i="1" s="1"/>
  <c r="S339" i="1"/>
  <c r="E338" i="2" s="1"/>
  <c r="E339" i="2" s="1"/>
  <c r="E340" i="2" s="1"/>
  <c r="E341" i="2" s="1"/>
  <c r="Z339" i="1"/>
  <c r="AF339" i="1"/>
  <c r="AI339" i="1" s="1"/>
  <c r="W339" i="1" s="1"/>
  <c r="AN339" i="1"/>
  <c r="AO339" i="1"/>
  <c r="AP339" i="1"/>
  <c r="AR339" i="1"/>
  <c r="AS339" i="1" s="1"/>
  <c r="S343" i="1"/>
  <c r="E342" i="2" s="1"/>
  <c r="E343" i="2" s="1"/>
  <c r="E344" i="2" s="1"/>
  <c r="E345" i="2" s="1"/>
  <c r="Z343" i="1"/>
  <c r="AF343" i="1"/>
  <c r="AI343" i="1" s="1"/>
  <c r="G342" i="2" s="1"/>
  <c r="AN343" i="1"/>
  <c r="AO343" i="1"/>
  <c r="AP343" i="1"/>
  <c r="AR343" i="1"/>
  <c r="AT343" i="1" s="1"/>
  <c r="S347" i="1"/>
  <c r="E346" i="2" s="1"/>
  <c r="E347" i="2" s="1"/>
  <c r="E348" i="2" s="1"/>
  <c r="E349" i="2" s="1"/>
  <c r="Z347" i="1"/>
  <c r="AF347" i="1"/>
  <c r="AI347" i="1" s="1"/>
  <c r="W347" i="1" s="1"/>
  <c r="AN347" i="1"/>
  <c r="AO347" i="1"/>
  <c r="AP347" i="1"/>
  <c r="AR347" i="1"/>
  <c r="AT347" i="1" s="1"/>
  <c r="S351" i="1"/>
  <c r="E350" i="2" s="1"/>
  <c r="E351" i="2" s="1"/>
  <c r="E352" i="2" s="1"/>
  <c r="E353" i="2" s="1"/>
  <c r="Z351" i="1"/>
  <c r="AF351" i="1"/>
  <c r="AI351" i="1" s="1"/>
  <c r="G350" i="2" s="1"/>
  <c r="AN351" i="1"/>
  <c r="AO351" i="1"/>
  <c r="AP351" i="1"/>
  <c r="AR351" i="1"/>
  <c r="AU351" i="1" s="1"/>
  <c r="S355" i="1"/>
  <c r="E354" i="2" s="1"/>
  <c r="E355" i="2" s="1"/>
  <c r="E356" i="2" s="1"/>
  <c r="E357" i="2" s="1"/>
  <c r="Z355" i="1"/>
  <c r="AF355" i="1"/>
  <c r="AI355" i="1" s="1"/>
  <c r="G354" i="2" s="1"/>
  <c r="AN355" i="1"/>
  <c r="AO355" i="1"/>
  <c r="AP355" i="1"/>
  <c r="AR355" i="1"/>
  <c r="AS355" i="1" s="1"/>
  <c r="S359" i="1"/>
  <c r="E358" i="2" s="1"/>
  <c r="E359" i="2" s="1"/>
  <c r="E360" i="2" s="1"/>
  <c r="E361" i="2" s="1"/>
  <c r="Z359" i="1"/>
  <c r="AF359" i="1"/>
  <c r="AI359" i="1" s="1"/>
  <c r="W359" i="1" s="1"/>
  <c r="AN359" i="1"/>
  <c r="AO359" i="1"/>
  <c r="AP359" i="1"/>
  <c r="AR359" i="1"/>
  <c r="S363" i="1"/>
  <c r="E362" i="2" s="1"/>
  <c r="E363" i="2" s="1"/>
  <c r="E364" i="2" s="1"/>
  <c r="E365" i="2" s="1"/>
  <c r="Z363" i="1"/>
  <c r="AF363" i="1"/>
  <c r="AI363" i="1" s="1"/>
  <c r="G362" i="2" s="1"/>
  <c r="AN363" i="1"/>
  <c r="AO363" i="1"/>
  <c r="AP363" i="1"/>
  <c r="AR363" i="1"/>
  <c r="AS363" i="1" s="1"/>
  <c r="S367" i="1"/>
  <c r="E366" i="2" s="1"/>
  <c r="E367" i="2" s="1"/>
  <c r="E368" i="2" s="1"/>
  <c r="E369" i="2" s="1"/>
  <c r="Z367" i="1"/>
  <c r="AF367" i="1"/>
  <c r="AI367" i="1" s="1"/>
  <c r="AN367" i="1"/>
  <c r="AO367" i="1"/>
  <c r="AP367" i="1"/>
  <c r="AR367" i="1"/>
  <c r="S371" i="1"/>
  <c r="E370" i="2" s="1"/>
  <c r="E371" i="2" s="1"/>
  <c r="E372" i="2" s="1"/>
  <c r="E373" i="2" s="1"/>
  <c r="Z371" i="1"/>
  <c r="AF371" i="1"/>
  <c r="AI371" i="1" s="1"/>
  <c r="W371" i="1" s="1"/>
  <c r="AN371" i="1"/>
  <c r="AO371" i="1"/>
  <c r="AP371" i="1"/>
  <c r="AR371" i="1"/>
  <c r="AT371" i="1" s="1"/>
  <c r="S375" i="1"/>
  <c r="E374" i="2" s="1"/>
  <c r="E375" i="2" s="1"/>
  <c r="E376" i="2" s="1"/>
  <c r="E377" i="2" s="1"/>
  <c r="Z375" i="1"/>
  <c r="AF375" i="1"/>
  <c r="AI375" i="1" s="1"/>
  <c r="W375" i="1" s="1"/>
  <c r="AN375" i="1"/>
  <c r="AO375" i="1"/>
  <c r="AP375" i="1"/>
  <c r="AR375" i="1"/>
  <c r="AU375" i="1" s="1"/>
  <c r="S379" i="1"/>
  <c r="E378" i="2" s="1"/>
  <c r="E379" i="2" s="1"/>
  <c r="E380" i="2" s="1"/>
  <c r="E381" i="2" s="1"/>
  <c r="Z379" i="1"/>
  <c r="AF379" i="1"/>
  <c r="AI379" i="1" s="1"/>
  <c r="G378" i="2" s="1"/>
  <c r="AN379" i="1"/>
  <c r="AO379" i="1"/>
  <c r="AP379" i="1"/>
  <c r="AR379" i="1"/>
  <c r="AS379" i="1" s="1"/>
  <c r="S383" i="1"/>
  <c r="E382" i="2" s="1"/>
  <c r="E383" i="2" s="1"/>
  <c r="E384" i="2" s="1"/>
  <c r="E385" i="2" s="1"/>
  <c r="Z383" i="1"/>
  <c r="AF383" i="1"/>
  <c r="AI383" i="1" s="1"/>
  <c r="G382" i="2" s="1"/>
  <c r="AN383" i="1"/>
  <c r="AO383" i="1"/>
  <c r="AP383" i="1"/>
  <c r="AR383" i="1"/>
  <c r="AU383" i="1" s="1"/>
  <c r="S387" i="1"/>
  <c r="E386" i="2" s="1"/>
  <c r="E387" i="2" s="1"/>
  <c r="E388" i="2" s="1"/>
  <c r="E389" i="2" s="1"/>
  <c r="Z387" i="1"/>
  <c r="AF387" i="1"/>
  <c r="AI387" i="1" s="1"/>
  <c r="G386" i="2" s="1"/>
  <c r="AN387" i="1"/>
  <c r="AO387" i="1"/>
  <c r="AP387" i="1"/>
  <c r="AR387" i="1"/>
  <c r="S391" i="1"/>
  <c r="E390" i="2" s="1"/>
  <c r="E391" i="2" s="1"/>
  <c r="E392" i="2" s="1"/>
  <c r="E393" i="2" s="1"/>
  <c r="Z391" i="1"/>
  <c r="AF391" i="1"/>
  <c r="AI391" i="1" s="1"/>
  <c r="W391" i="1" s="1"/>
  <c r="AN391" i="1"/>
  <c r="AO391" i="1"/>
  <c r="AP391" i="1"/>
  <c r="AR391" i="1"/>
  <c r="AS391" i="1" s="1"/>
  <c r="S395" i="1"/>
  <c r="E394" i="2" s="1"/>
  <c r="E395" i="2" s="1"/>
  <c r="E396" i="2" s="1"/>
  <c r="E397" i="2" s="1"/>
  <c r="Z395" i="1"/>
  <c r="AF395" i="1"/>
  <c r="AI395" i="1" s="1"/>
  <c r="AN395" i="1"/>
  <c r="AO395" i="1"/>
  <c r="AP395" i="1"/>
  <c r="AR395" i="1"/>
  <c r="AS395" i="1" s="1"/>
  <c r="S399" i="1"/>
  <c r="E398" i="2" s="1"/>
  <c r="E399" i="2" s="1"/>
  <c r="E400" i="2" s="1"/>
  <c r="E401" i="2" s="1"/>
  <c r="Z399" i="1"/>
  <c r="AF399" i="1"/>
  <c r="AI399" i="1" s="1"/>
  <c r="G398" i="2" s="1"/>
  <c r="AN399" i="1"/>
  <c r="AO399" i="1"/>
  <c r="AP399" i="1"/>
  <c r="AR399" i="1"/>
  <c r="AS399" i="1" s="1"/>
  <c r="S403" i="1"/>
  <c r="E402" i="2" s="1"/>
  <c r="E403" i="2" s="1"/>
  <c r="E404" i="2" s="1"/>
  <c r="E405" i="2" s="1"/>
  <c r="Z403" i="1"/>
  <c r="AF403" i="1"/>
  <c r="AI403" i="1" s="1"/>
  <c r="G402" i="2" s="1"/>
  <c r="AN403" i="1"/>
  <c r="AO403" i="1"/>
  <c r="AP403" i="1"/>
  <c r="AR403" i="1"/>
  <c r="AT403" i="1" s="1"/>
  <c r="S407" i="1"/>
  <c r="E406" i="2" s="1"/>
  <c r="E407" i="2" s="1"/>
  <c r="E408" i="2" s="1"/>
  <c r="E409" i="2" s="1"/>
  <c r="Z407" i="1"/>
  <c r="AF407" i="1"/>
  <c r="AI407" i="1" s="1"/>
  <c r="G406" i="2" s="1"/>
  <c r="AN407" i="1"/>
  <c r="AO407" i="1"/>
  <c r="AP407" i="1"/>
  <c r="AR407" i="1"/>
  <c r="AS407" i="1" s="1"/>
  <c r="S411" i="1"/>
  <c r="E410" i="2" s="1"/>
  <c r="E411" i="2" s="1"/>
  <c r="E412" i="2" s="1"/>
  <c r="E413" i="2" s="1"/>
  <c r="Z411" i="1"/>
  <c r="AF411" i="1"/>
  <c r="AI411" i="1" s="1"/>
  <c r="G410" i="2" s="1"/>
  <c r="AN411" i="1"/>
  <c r="AO411" i="1"/>
  <c r="AP411" i="1"/>
  <c r="AR411" i="1"/>
  <c r="S415" i="1"/>
  <c r="E414" i="2" s="1"/>
  <c r="E415" i="2" s="1"/>
  <c r="E416" i="2" s="1"/>
  <c r="E417" i="2" s="1"/>
  <c r="Z415" i="1"/>
  <c r="AF415" i="1"/>
  <c r="AI415" i="1" s="1"/>
  <c r="G414" i="2" s="1"/>
  <c r="AN415" i="1"/>
  <c r="AO415" i="1"/>
  <c r="AP415" i="1"/>
  <c r="AR415" i="1"/>
  <c r="AU415" i="1" s="1"/>
  <c r="S419" i="1"/>
  <c r="E418" i="2" s="1"/>
  <c r="E419" i="2" s="1"/>
  <c r="E420" i="2" s="1"/>
  <c r="E421" i="2" s="1"/>
  <c r="Z419" i="1"/>
  <c r="AF419" i="1"/>
  <c r="AI419" i="1" s="1"/>
  <c r="G418" i="2" s="1"/>
  <c r="AN419" i="1"/>
  <c r="AO419" i="1"/>
  <c r="AP419" i="1"/>
  <c r="AR419" i="1"/>
  <c r="AU419" i="1" s="1"/>
  <c r="S423" i="1"/>
  <c r="E422" i="2" s="1"/>
  <c r="E423" i="2" s="1"/>
  <c r="E424" i="2" s="1"/>
  <c r="E425" i="2" s="1"/>
  <c r="Z423" i="1"/>
  <c r="AF423" i="1"/>
  <c r="AI423" i="1" s="1"/>
  <c r="W423" i="1" s="1"/>
  <c r="AN423" i="1"/>
  <c r="AO423" i="1"/>
  <c r="AP423" i="1"/>
  <c r="AR423" i="1"/>
  <c r="AS423" i="1" s="1"/>
  <c r="S427" i="1"/>
  <c r="E426" i="2" s="1"/>
  <c r="E427" i="2" s="1"/>
  <c r="E428" i="2" s="1"/>
  <c r="E429" i="2" s="1"/>
  <c r="Z427" i="1"/>
  <c r="AF427" i="1"/>
  <c r="AI427" i="1" s="1"/>
  <c r="G426" i="2" s="1"/>
  <c r="AN427" i="1"/>
  <c r="AO427" i="1"/>
  <c r="AP427" i="1"/>
  <c r="AR427" i="1"/>
  <c r="AS427" i="1" s="1"/>
  <c r="S431" i="1"/>
  <c r="E430" i="2" s="1"/>
  <c r="E431" i="2" s="1"/>
  <c r="E432" i="2" s="1"/>
  <c r="E433" i="2" s="1"/>
  <c r="Z431" i="1"/>
  <c r="AF431" i="1"/>
  <c r="AI431" i="1" s="1"/>
  <c r="G430" i="2" s="1"/>
  <c r="AN431" i="1"/>
  <c r="AO431" i="1"/>
  <c r="AP431" i="1"/>
  <c r="AR431" i="1"/>
  <c r="AU431" i="1" s="1"/>
  <c r="S435" i="1"/>
  <c r="E434" i="2" s="1"/>
  <c r="E435" i="2" s="1"/>
  <c r="E436" i="2" s="1"/>
  <c r="E437" i="2" s="1"/>
  <c r="Z435" i="1"/>
  <c r="AF435" i="1"/>
  <c r="AI435" i="1" s="1"/>
  <c r="G434" i="2" s="1"/>
  <c r="AN435" i="1"/>
  <c r="AO435" i="1"/>
  <c r="AP435" i="1"/>
  <c r="AR435" i="1"/>
  <c r="S439" i="1"/>
  <c r="E438" i="2" s="1"/>
  <c r="E439" i="2" s="1"/>
  <c r="E440" i="2" s="1"/>
  <c r="E441" i="2" s="1"/>
  <c r="Z439" i="1"/>
  <c r="AF439" i="1"/>
  <c r="AI439" i="1" s="1"/>
  <c r="G438" i="2" s="1"/>
  <c r="AN439" i="1"/>
  <c r="AO439" i="1"/>
  <c r="AP439" i="1"/>
  <c r="AR439" i="1"/>
  <c r="AS439" i="1" s="1"/>
  <c r="S443" i="1"/>
  <c r="E442" i="2" s="1"/>
  <c r="E443" i="2" s="1"/>
  <c r="E444" i="2" s="1"/>
  <c r="E445" i="2" s="1"/>
  <c r="Z443" i="1"/>
  <c r="AF443" i="1"/>
  <c r="AI443" i="1" s="1"/>
  <c r="AN443" i="1"/>
  <c r="AO443" i="1"/>
  <c r="AP443" i="1"/>
  <c r="AR443" i="1"/>
  <c r="S447" i="1"/>
  <c r="E446" i="2" s="1"/>
  <c r="E447" i="2" s="1"/>
  <c r="E448" i="2" s="1"/>
  <c r="E449" i="2" s="1"/>
  <c r="Z447" i="1"/>
  <c r="AF447" i="1"/>
  <c r="AI447" i="1" s="1"/>
  <c r="AN447" i="1"/>
  <c r="AO447" i="1"/>
  <c r="AP447" i="1"/>
  <c r="AR447" i="1"/>
  <c r="AS447" i="1" s="1"/>
  <c r="S451" i="1"/>
  <c r="E450" i="2" s="1"/>
  <c r="E451" i="2" s="1"/>
  <c r="E452" i="2" s="1"/>
  <c r="E453" i="2" s="1"/>
  <c r="Z451" i="1"/>
  <c r="AF451" i="1"/>
  <c r="AI451" i="1" s="1"/>
  <c r="G450" i="2" s="1"/>
  <c r="AN451" i="1"/>
  <c r="AO451" i="1"/>
  <c r="AP451" i="1"/>
  <c r="AR451" i="1"/>
  <c r="S455" i="1"/>
  <c r="E454" i="2" s="1"/>
  <c r="E455" i="2" s="1"/>
  <c r="E456" i="2" s="1"/>
  <c r="E457" i="2" s="1"/>
  <c r="Z455" i="1"/>
  <c r="AF455" i="1"/>
  <c r="AI455" i="1" s="1"/>
  <c r="G454" i="2" s="1"/>
  <c r="AN455" i="1"/>
  <c r="AO455" i="1"/>
  <c r="AP455" i="1"/>
  <c r="AR455" i="1"/>
  <c r="AS455" i="1" s="1"/>
  <c r="S459" i="1"/>
  <c r="E458" i="2" s="1"/>
  <c r="E459" i="2" s="1"/>
  <c r="E460" i="2" s="1"/>
  <c r="E461" i="2" s="1"/>
  <c r="Z459" i="1"/>
  <c r="AF459" i="1"/>
  <c r="AI459" i="1" s="1"/>
  <c r="AN459" i="1"/>
  <c r="AO459" i="1"/>
  <c r="AP459" i="1"/>
  <c r="AR459" i="1"/>
  <c r="AS459" i="1" s="1"/>
  <c r="S463" i="1"/>
  <c r="E462" i="2" s="1"/>
  <c r="E463" i="2" s="1"/>
  <c r="E464" i="2" s="1"/>
  <c r="E465" i="2" s="1"/>
  <c r="Z463" i="1"/>
  <c r="AF463" i="1"/>
  <c r="AI463" i="1" s="1"/>
  <c r="G462" i="2" s="1"/>
  <c r="AN463" i="1"/>
  <c r="AO463" i="1"/>
  <c r="AP463" i="1"/>
  <c r="AR463" i="1"/>
  <c r="AS463" i="1" s="1"/>
  <c r="S467" i="1"/>
  <c r="E466" i="2" s="1"/>
  <c r="E467" i="2" s="1"/>
  <c r="E468" i="2" s="1"/>
  <c r="E469" i="2" s="1"/>
  <c r="Z467" i="1"/>
  <c r="AF467" i="1"/>
  <c r="AI467" i="1" s="1"/>
  <c r="G466" i="2" s="1"/>
  <c r="AN467" i="1"/>
  <c r="AO467" i="1"/>
  <c r="AP467" i="1"/>
  <c r="AR467" i="1"/>
  <c r="S471" i="1"/>
  <c r="E470" i="2" s="1"/>
  <c r="E471" i="2" s="1"/>
  <c r="E472" i="2" s="1"/>
  <c r="E473" i="2" s="1"/>
  <c r="Z471" i="1"/>
  <c r="AF471" i="1"/>
  <c r="AI471" i="1" s="1"/>
  <c r="G470" i="2" s="1"/>
  <c r="AN471" i="1"/>
  <c r="AO471" i="1"/>
  <c r="AP471" i="1"/>
  <c r="AR471" i="1"/>
  <c r="AS471" i="1" s="1"/>
  <c r="S475" i="1"/>
  <c r="E474" i="2" s="1"/>
  <c r="E475" i="2" s="1"/>
  <c r="E476" i="2" s="1"/>
  <c r="E477" i="2" s="1"/>
  <c r="Z475" i="1"/>
  <c r="AF475" i="1"/>
  <c r="AI475" i="1" s="1"/>
  <c r="G474" i="2" s="1"/>
  <c r="AN475" i="1"/>
  <c r="AO475" i="1"/>
  <c r="AP475" i="1"/>
  <c r="AR475" i="1"/>
  <c r="S479" i="1"/>
  <c r="E478" i="2" s="1"/>
  <c r="E479" i="2" s="1"/>
  <c r="E480" i="2" s="1"/>
  <c r="E481" i="2" s="1"/>
  <c r="Z479" i="1"/>
  <c r="AF479" i="1"/>
  <c r="AI479" i="1" s="1"/>
  <c r="W479" i="1" s="1"/>
  <c r="AN479" i="1"/>
  <c r="AO479" i="1"/>
  <c r="AP479" i="1"/>
  <c r="AR479" i="1"/>
  <c r="AS479" i="1" s="1"/>
  <c r="S483" i="1"/>
  <c r="E482" i="2" s="1"/>
  <c r="E483" i="2" s="1"/>
  <c r="E484" i="2" s="1"/>
  <c r="E485" i="2" s="1"/>
  <c r="Z483" i="1"/>
  <c r="AF483" i="1"/>
  <c r="AI483" i="1" s="1"/>
  <c r="G482" i="2" s="1"/>
  <c r="AN483" i="1"/>
  <c r="AO483" i="1"/>
  <c r="AP483" i="1"/>
  <c r="AR483" i="1"/>
  <c r="AS483" i="1" s="1"/>
  <c r="S487" i="1"/>
  <c r="E486" i="2" s="1"/>
  <c r="E487" i="2" s="1"/>
  <c r="E488" i="2" s="1"/>
  <c r="E489" i="2" s="1"/>
  <c r="Z487" i="1"/>
  <c r="AF487" i="1"/>
  <c r="AI487" i="1" s="1"/>
  <c r="G486" i="2" s="1"/>
  <c r="AN487" i="1"/>
  <c r="AO487" i="1"/>
  <c r="AP487" i="1"/>
  <c r="AR487" i="1"/>
  <c r="S491" i="1"/>
  <c r="E490" i="2" s="1"/>
  <c r="E491" i="2" s="1"/>
  <c r="E492" i="2" s="1"/>
  <c r="E493" i="2" s="1"/>
  <c r="Z491" i="1"/>
  <c r="AF491" i="1"/>
  <c r="AI491" i="1" s="1"/>
  <c r="AN491" i="1"/>
  <c r="AO491" i="1"/>
  <c r="AP491" i="1"/>
  <c r="AR491" i="1"/>
  <c r="AU491" i="1" s="1"/>
  <c r="S495" i="1"/>
  <c r="E494" i="2" s="1"/>
  <c r="E495" i="2" s="1"/>
  <c r="E496" i="2" s="1"/>
  <c r="E497" i="2" s="1"/>
  <c r="Z495" i="1"/>
  <c r="AF495" i="1"/>
  <c r="AI495" i="1" s="1"/>
  <c r="G494" i="2" s="1"/>
  <c r="AN495" i="1"/>
  <c r="AO495" i="1"/>
  <c r="AP495" i="1"/>
  <c r="AR495" i="1"/>
  <c r="AT495" i="1" s="1"/>
  <c r="S499" i="1"/>
  <c r="E498" i="2" s="1"/>
  <c r="E499" i="2" s="1"/>
  <c r="E500" i="2" s="1"/>
  <c r="E501" i="2" s="1"/>
  <c r="Z499" i="1"/>
  <c r="AF499" i="1"/>
  <c r="AI499" i="1" s="1"/>
  <c r="G498" i="2" s="1"/>
  <c r="AN499" i="1"/>
  <c r="AO499" i="1"/>
  <c r="AP499" i="1"/>
  <c r="AR499" i="1"/>
  <c r="AS499" i="1" s="1"/>
  <c r="S503" i="1"/>
  <c r="E502" i="2" s="1"/>
  <c r="E503" i="2" s="1"/>
  <c r="E504" i="2" s="1"/>
  <c r="E505" i="2" s="1"/>
  <c r="Z503" i="1"/>
  <c r="AF503" i="1"/>
  <c r="AI503" i="1" s="1"/>
  <c r="W503" i="1" s="1"/>
  <c r="AN503" i="1"/>
  <c r="AO503" i="1"/>
  <c r="AP503" i="1"/>
  <c r="AR503" i="1"/>
  <c r="AU503" i="1" s="1"/>
  <c r="S507" i="1"/>
  <c r="E506" i="2" s="1"/>
  <c r="E507" i="2" s="1"/>
  <c r="E508" i="2" s="1"/>
  <c r="E509" i="2" s="1"/>
  <c r="Z507" i="1"/>
  <c r="AF507" i="1"/>
  <c r="AI507" i="1" s="1"/>
  <c r="G506" i="2" s="1"/>
  <c r="AN507" i="1"/>
  <c r="AO507" i="1"/>
  <c r="AP507" i="1"/>
  <c r="AR507" i="1"/>
  <c r="AU507" i="1" s="1"/>
  <c r="S511" i="1"/>
  <c r="E510" i="2" s="1"/>
  <c r="E511" i="2" s="1"/>
  <c r="E512" i="2" s="1"/>
  <c r="E513" i="2" s="1"/>
  <c r="Z511" i="1"/>
  <c r="AF511" i="1"/>
  <c r="AI511" i="1" s="1"/>
  <c r="W511" i="1" s="1"/>
  <c r="AN511" i="1"/>
  <c r="AO511" i="1"/>
  <c r="AP511" i="1"/>
  <c r="AR511" i="1"/>
  <c r="S515" i="1"/>
  <c r="E514" i="2" s="1"/>
  <c r="E515" i="2" s="1"/>
  <c r="E516" i="2" s="1"/>
  <c r="E517" i="2" s="1"/>
  <c r="Z515" i="1"/>
  <c r="AF515" i="1"/>
  <c r="AI515" i="1" s="1"/>
  <c r="G514" i="2" s="1"/>
  <c r="AN515" i="1"/>
  <c r="AO515" i="1"/>
  <c r="AP515" i="1"/>
  <c r="AR515" i="1"/>
  <c r="AT515" i="1" s="1"/>
  <c r="S519" i="1"/>
  <c r="E518" i="2" s="1"/>
  <c r="E519" i="2" s="1"/>
  <c r="E520" i="2" s="1"/>
  <c r="E521" i="2" s="1"/>
  <c r="Z519" i="1"/>
  <c r="AF519" i="1"/>
  <c r="AI519" i="1" s="1"/>
  <c r="G518" i="2" s="1"/>
  <c r="AN519" i="1"/>
  <c r="AO519" i="1"/>
  <c r="AP519" i="1"/>
  <c r="AR519" i="1"/>
  <c r="S523" i="1"/>
  <c r="E522" i="2" s="1"/>
  <c r="E523" i="2" s="1"/>
  <c r="E524" i="2" s="1"/>
  <c r="E525" i="2" s="1"/>
  <c r="Z523" i="1"/>
  <c r="AF523" i="1"/>
  <c r="AI523" i="1" s="1"/>
  <c r="G522" i="2" s="1"/>
  <c r="AN523" i="1"/>
  <c r="AO523" i="1"/>
  <c r="AP523" i="1"/>
  <c r="AR523" i="1"/>
  <c r="AS523" i="1" s="1"/>
  <c r="S527" i="1"/>
  <c r="E526" i="2" s="1"/>
  <c r="E527" i="2" s="1"/>
  <c r="E528" i="2" s="1"/>
  <c r="E529" i="2" s="1"/>
  <c r="Z527" i="1"/>
  <c r="AF527" i="1"/>
  <c r="AI527" i="1" s="1"/>
  <c r="W527" i="1" s="1"/>
  <c r="AN527" i="1"/>
  <c r="AO527" i="1"/>
  <c r="AP527" i="1"/>
  <c r="AR527" i="1"/>
  <c r="AS527" i="1" s="1"/>
  <c r="S531" i="1"/>
  <c r="E530" i="2" s="1"/>
  <c r="E531" i="2" s="1"/>
  <c r="E532" i="2" s="1"/>
  <c r="E533" i="2" s="1"/>
  <c r="Z531" i="1"/>
  <c r="AF531" i="1"/>
  <c r="AI531" i="1" s="1"/>
  <c r="G530" i="2" s="1"/>
  <c r="AN531" i="1"/>
  <c r="AO531" i="1"/>
  <c r="AP531" i="1"/>
  <c r="AR531" i="1"/>
  <c r="AS531" i="1" s="1"/>
  <c r="S535" i="1"/>
  <c r="E534" i="2" s="1"/>
  <c r="E535" i="2" s="1"/>
  <c r="E536" i="2" s="1"/>
  <c r="E537" i="2" s="1"/>
  <c r="Z535" i="1"/>
  <c r="AF535" i="1"/>
  <c r="AI535" i="1" s="1"/>
  <c r="G534" i="2" s="1"/>
  <c r="AN535" i="1"/>
  <c r="AO535" i="1"/>
  <c r="AP535" i="1"/>
  <c r="AR535" i="1"/>
  <c r="AS535" i="1" s="1"/>
  <c r="S539" i="1"/>
  <c r="E538" i="2" s="1"/>
  <c r="E539" i="2" s="1"/>
  <c r="E540" i="2" s="1"/>
  <c r="E541" i="2" s="1"/>
  <c r="Z539" i="1"/>
  <c r="AF539" i="1"/>
  <c r="AI539" i="1" s="1"/>
  <c r="G538" i="2" s="1"/>
  <c r="AN539" i="1"/>
  <c r="AO539" i="1"/>
  <c r="AP539" i="1"/>
  <c r="AR539" i="1"/>
  <c r="S543" i="1"/>
  <c r="E542" i="2" s="1"/>
  <c r="E543" i="2" s="1"/>
  <c r="E544" i="2" s="1"/>
  <c r="E545" i="2" s="1"/>
  <c r="Z543" i="1"/>
  <c r="AF543" i="1"/>
  <c r="AI543" i="1" s="1"/>
  <c r="W543" i="1" s="1"/>
  <c r="AN543" i="1"/>
  <c r="AO543" i="1"/>
  <c r="AP543" i="1"/>
  <c r="AR543" i="1"/>
  <c r="S547" i="1"/>
  <c r="E546" i="2" s="1"/>
  <c r="E547" i="2" s="1"/>
  <c r="E548" i="2" s="1"/>
  <c r="E549" i="2" s="1"/>
  <c r="Z547" i="1"/>
  <c r="AF547" i="1"/>
  <c r="AI547" i="1" s="1"/>
  <c r="W547" i="1" s="1"/>
  <c r="AN547" i="1"/>
  <c r="AO547" i="1"/>
  <c r="AP547" i="1"/>
  <c r="AR547" i="1"/>
  <c r="S551" i="1"/>
  <c r="E550" i="2" s="1"/>
  <c r="E551" i="2" s="1"/>
  <c r="E552" i="2" s="1"/>
  <c r="E553" i="2" s="1"/>
  <c r="Z551" i="1"/>
  <c r="AF551" i="1"/>
  <c r="AI551" i="1" s="1"/>
  <c r="G550" i="2" s="1"/>
  <c r="AN551" i="1"/>
  <c r="AO551" i="1"/>
  <c r="AP551" i="1"/>
  <c r="AR551" i="1"/>
  <c r="S555" i="1"/>
  <c r="E554" i="2" s="1"/>
  <c r="E555" i="2" s="1"/>
  <c r="E556" i="2" s="1"/>
  <c r="E557" i="2" s="1"/>
  <c r="Z555" i="1"/>
  <c r="AF555" i="1"/>
  <c r="AI555" i="1" s="1"/>
  <c r="W555" i="1" s="1"/>
  <c r="AN555" i="1"/>
  <c r="AO555" i="1"/>
  <c r="AP555" i="1"/>
  <c r="AR555" i="1"/>
  <c r="AS555" i="1" s="1"/>
  <c r="S559" i="1"/>
  <c r="E558" i="2" s="1"/>
  <c r="E559" i="2" s="1"/>
  <c r="E560" i="2" s="1"/>
  <c r="E561" i="2" s="1"/>
  <c r="Z559" i="1"/>
  <c r="AF559" i="1"/>
  <c r="AI559" i="1" s="1"/>
  <c r="W559" i="1" s="1"/>
  <c r="AN559" i="1"/>
  <c r="AO559" i="1"/>
  <c r="AP559" i="1"/>
  <c r="AR559" i="1"/>
  <c r="AS559" i="1" s="1"/>
  <c r="S563" i="1"/>
  <c r="E562" i="2" s="1"/>
  <c r="E563" i="2" s="1"/>
  <c r="E564" i="2" s="1"/>
  <c r="E565" i="2" s="1"/>
  <c r="Z563" i="1"/>
  <c r="AF563" i="1"/>
  <c r="AI563" i="1" s="1"/>
  <c r="G562" i="2" s="1"/>
  <c r="AN563" i="1"/>
  <c r="AO563" i="1"/>
  <c r="AP563" i="1"/>
  <c r="AR563" i="1"/>
  <c r="AS563" i="1" s="1"/>
  <c r="S567" i="1"/>
  <c r="E566" i="2" s="1"/>
  <c r="E567" i="2" s="1"/>
  <c r="E568" i="2" s="1"/>
  <c r="E569" i="2" s="1"/>
  <c r="Z567" i="1"/>
  <c r="AF567" i="1"/>
  <c r="AI567" i="1" s="1"/>
  <c r="G566" i="2" s="1"/>
  <c r="AN567" i="1"/>
  <c r="AO567" i="1"/>
  <c r="AP567" i="1"/>
  <c r="AR567" i="1"/>
  <c r="AU567" i="1" s="1"/>
  <c r="S571" i="1"/>
  <c r="E570" i="2" s="1"/>
  <c r="E571" i="2" s="1"/>
  <c r="E572" i="2" s="1"/>
  <c r="E573" i="2" s="1"/>
  <c r="Z571" i="1"/>
  <c r="AF571" i="1"/>
  <c r="AI571" i="1" s="1"/>
  <c r="G570" i="2" s="1"/>
  <c r="AN571" i="1"/>
  <c r="AO571" i="1"/>
  <c r="AP571" i="1"/>
  <c r="AR571" i="1"/>
  <c r="AU571" i="1" s="1"/>
  <c r="S575" i="1"/>
  <c r="E574" i="2" s="1"/>
  <c r="E575" i="2" s="1"/>
  <c r="E576" i="2" s="1"/>
  <c r="E577" i="2" s="1"/>
  <c r="Z575" i="1"/>
  <c r="AF575" i="1"/>
  <c r="AI575" i="1" s="1"/>
  <c r="W575" i="1" s="1"/>
  <c r="AN575" i="1"/>
  <c r="AO575" i="1"/>
  <c r="AP575" i="1"/>
  <c r="AR575" i="1"/>
  <c r="S579" i="1"/>
  <c r="E578" i="2" s="1"/>
  <c r="E579" i="2" s="1"/>
  <c r="E580" i="2" s="1"/>
  <c r="E581" i="2" s="1"/>
  <c r="Z579" i="1"/>
  <c r="AF579" i="1"/>
  <c r="AI579" i="1" s="1"/>
  <c r="W579" i="1" s="1"/>
  <c r="AN579" i="1"/>
  <c r="AO579" i="1"/>
  <c r="AP579" i="1"/>
  <c r="AR579" i="1"/>
  <c r="AS579" i="1" s="1"/>
  <c r="S583" i="1"/>
  <c r="E582" i="2" s="1"/>
  <c r="E583" i="2" s="1"/>
  <c r="E584" i="2" s="1"/>
  <c r="E585" i="2" s="1"/>
  <c r="Z583" i="1"/>
  <c r="AF583" i="1"/>
  <c r="AI583" i="1" s="1"/>
  <c r="G582" i="2" s="1"/>
  <c r="AN583" i="1"/>
  <c r="AO583" i="1"/>
  <c r="AP583" i="1"/>
  <c r="AR583" i="1"/>
  <c r="AT583" i="1" s="1"/>
  <c r="S587" i="1"/>
  <c r="E586" i="2" s="1"/>
  <c r="E587" i="2" s="1"/>
  <c r="E588" i="2" s="1"/>
  <c r="E589" i="2" s="1"/>
  <c r="Z587" i="1"/>
  <c r="AF587" i="1"/>
  <c r="AI587" i="1" s="1"/>
  <c r="G586" i="2" s="1"/>
  <c r="AN587" i="1"/>
  <c r="AO587" i="1"/>
  <c r="AP587" i="1"/>
  <c r="AR587" i="1"/>
  <c r="AS587" i="1" s="1"/>
  <c r="S591" i="1"/>
  <c r="E590" i="2" s="1"/>
  <c r="E591" i="2" s="1"/>
  <c r="E592" i="2" s="1"/>
  <c r="E593" i="2" s="1"/>
  <c r="Z591" i="1"/>
  <c r="AF591" i="1"/>
  <c r="AI591" i="1" s="1"/>
  <c r="W591" i="1" s="1"/>
  <c r="AN591" i="1"/>
  <c r="AO591" i="1"/>
  <c r="AP591" i="1"/>
  <c r="AR591" i="1"/>
  <c r="AS591" i="1" s="1"/>
  <c r="S595" i="1"/>
  <c r="E594" i="2" s="1"/>
  <c r="E595" i="2" s="1"/>
  <c r="E596" i="2" s="1"/>
  <c r="E597" i="2" s="1"/>
  <c r="Z595" i="1"/>
  <c r="AF595" i="1"/>
  <c r="AI595" i="1" s="1"/>
  <c r="G594" i="2" s="1"/>
  <c r="AN595" i="1"/>
  <c r="AO595" i="1"/>
  <c r="AP595" i="1"/>
  <c r="AR595" i="1"/>
  <c r="AS595" i="1" s="1"/>
  <c r="S599" i="1"/>
  <c r="E598" i="2" s="1"/>
  <c r="E599" i="2" s="1"/>
  <c r="E600" i="2" s="1"/>
  <c r="E601" i="2" s="1"/>
  <c r="Z599" i="1"/>
  <c r="AF599" i="1"/>
  <c r="AI599" i="1" s="1"/>
  <c r="W599" i="1" s="1"/>
  <c r="AN599" i="1"/>
  <c r="AO599" i="1"/>
  <c r="AP599" i="1"/>
  <c r="AR599" i="1"/>
  <c r="AU599" i="1" s="1"/>
  <c r="S603" i="1"/>
  <c r="E602" i="2" s="1"/>
  <c r="E603" i="2" s="1"/>
  <c r="E604" i="2" s="1"/>
  <c r="E605" i="2" s="1"/>
  <c r="Z603" i="1"/>
  <c r="AF603" i="1"/>
  <c r="AI603" i="1" s="1"/>
  <c r="G602" i="2" s="1"/>
  <c r="AN603" i="1"/>
  <c r="AO603" i="1"/>
  <c r="AP603" i="1"/>
  <c r="AR603" i="1"/>
  <c r="AS603" i="1" s="1"/>
  <c r="S607" i="1"/>
  <c r="E606" i="2" s="1"/>
  <c r="E607" i="2" s="1"/>
  <c r="E608" i="2" s="1"/>
  <c r="E609" i="2" s="1"/>
  <c r="Z607" i="1"/>
  <c r="AF607" i="1"/>
  <c r="AI607" i="1" s="1"/>
  <c r="G606" i="2" s="1"/>
  <c r="AN607" i="1"/>
  <c r="AO607" i="1"/>
  <c r="AP607" i="1"/>
  <c r="AR607" i="1"/>
  <c r="S611" i="1"/>
  <c r="E610" i="2" s="1"/>
  <c r="E611" i="2" s="1"/>
  <c r="E612" i="2" s="1"/>
  <c r="E613" i="2" s="1"/>
  <c r="Z611" i="1"/>
  <c r="AF611" i="1"/>
  <c r="AI611" i="1" s="1"/>
  <c r="W611" i="1" s="1"/>
  <c r="AN611" i="1"/>
  <c r="AO611" i="1"/>
  <c r="AP611" i="1"/>
  <c r="AR611" i="1"/>
  <c r="S615" i="1"/>
  <c r="E614" i="2" s="1"/>
  <c r="E615" i="2" s="1"/>
  <c r="E616" i="2" s="1"/>
  <c r="E617" i="2" s="1"/>
  <c r="Z615" i="1"/>
  <c r="AF615" i="1"/>
  <c r="AI615" i="1" s="1"/>
  <c r="G614" i="2" s="1"/>
  <c r="AN615" i="1"/>
  <c r="AO615" i="1"/>
  <c r="AP615" i="1"/>
  <c r="AR615" i="1"/>
  <c r="AS615" i="1" s="1"/>
  <c r="S619" i="1"/>
  <c r="E618" i="2" s="1"/>
  <c r="E619" i="2" s="1"/>
  <c r="E620" i="2" s="1"/>
  <c r="E621" i="2" s="1"/>
  <c r="Z619" i="1"/>
  <c r="AF619" i="1"/>
  <c r="AI619" i="1" s="1"/>
  <c r="W619" i="1" s="1"/>
  <c r="AN619" i="1"/>
  <c r="AO619" i="1"/>
  <c r="AP619" i="1"/>
  <c r="AR619" i="1"/>
  <c r="S623" i="1"/>
  <c r="E622" i="2" s="1"/>
  <c r="E623" i="2" s="1"/>
  <c r="E624" i="2" s="1"/>
  <c r="E625" i="2" s="1"/>
  <c r="Z623" i="1"/>
  <c r="AF623" i="1"/>
  <c r="AI623" i="1" s="1"/>
  <c r="W623" i="1" s="1"/>
  <c r="AN623" i="1"/>
  <c r="AO623" i="1"/>
  <c r="AP623" i="1"/>
  <c r="AR623" i="1"/>
  <c r="AT623" i="1" s="1"/>
  <c r="B7" i="2"/>
  <c r="B8" i="2"/>
  <c r="B9" i="2" s="1"/>
  <c r="B10" i="2"/>
  <c r="J10" i="2"/>
  <c r="J11" i="2" s="1"/>
  <c r="J12" i="2" s="1"/>
  <c r="J13" i="2" s="1"/>
  <c r="K10" i="2"/>
  <c r="K11" i="2" s="1"/>
  <c r="K12" i="2" s="1"/>
  <c r="K13" i="2" s="1"/>
  <c r="K14" i="2" s="1"/>
  <c r="K15" i="2" s="1"/>
  <c r="K16" i="2" s="1"/>
  <c r="K17" i="2" s="1"/>
  <c r="L10" i="2"/>
  <c r="L11" i="2" s="1"/>
  <c r="L12" i="2" s="1"/>
  <c r="L13" i="2" s="1"/>
  <c r="M10" i="2"/>
  <c r="M11" i="2" s="1"/>
  <c r="M12" i="2" s="1"/>
  <c r="M13" i="2" s="1"/>
  <c r="B11" i="2"/>
  <c r="B12" i="2"/>
  <c r="B13" i="2" s="1"/>
  <c r="B14" i="2"/>
  <c r="J14" i="2"/>
  <c r="J15" i="2" s="1"/>
  <c r="J16" i="2" s="1"/>
  <c r="J17" i="2" s="1"/>
  <c r="L14" i="2"/>
  <c r="L15" i="2" s="1"/>
  <c r="L16" i="2" s="1"/>
  <c r="L17" i="2" s="1"/>
  <c r="M14" i="2"/>
  <c r="M15" i="2" s="1"/>
  <c r="M16" i="2" s="1"/>
  <c r="M17" i="2" s="1"/>
  <c r="B15" i="2"/>
  <c r="B16" i="2"/>
  <c r="B17" i="2" s="1"/>
  <c r="B18" i="2"/>
  <c r="J18" i="2"/>
  <c r="J19" i="2" s="1"/>
  <c r="J20" i="2" s="1"/>
  <c r="J21" i="2" s="1"/>
  <c r="K18" i="2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L18" i="2"/>
  <c r="L19" i="2" s="1"/>
  <c r="L20" i="2" s="1"/>
  <c r="L21" i="2" s="1"/>
  <c r="M18" i="2"/>
  <c r="M19" i="2" s="1"/>
  <c r="M20" i="2" s="1"/>
  <c r="M21" i="2" s="1"/>
  <c r="B19" i="2"/>
  <c r="B20" i="2"/>
  <c r="B21" i="2" s="1"/>
  <c r="B22" i="2"/>
  <c r="J22" i="2"/>
  <c r="J23" i="2" s="1"/>
  <c r="J24" i="2" s="1"/>
  <c r="J25" i="2" s="1"/>
  <c r="L22" i="2"/>
  <c r="L23" i="2" s="1"/>
  <c r="L24" i="2" s="1"/>
  <c r="L25" i="2" s="1"/>
  <c r="M22" i="2"/>
  <c r="M23" i="2" s="1"/>
  <c r="M24" i="2" s="1"/>
  <c r="M25" i="2" s="1"/>
  <c r="B23" i="2"/>
  <c r="B24" i="2"/>
  <c r="B25" i="2" s="1"/>
  <c r="AG587" i="1" l="1"/>
  <c r="AJ587" i="1" s="1"/>
  <c r="L587" i="1" s="1"/>
  <c r="AG615" i="1"/>
  <c r="AJ615" i="1" s="1"/>
  <c r="X615" i="1" s="1"/>
  <c r="AG519" i="1"/>
  <c r="AJ519" i="1" s="1"/>
  <c r="G519" i="2" s="1"/>
  <c r="G590" i="2"/>
  <c r="G618" i="2"/>
  <c r="G515" i="2"/>
  <c r="G358" i="2"/>
  <c r="G370" i="2"/>
  <c r="G526" i="2"/>
  <c r="G274" i="2"/>
  <c r="AG623" i="1"/>
  <c r="AJ623" i="1" s="1"/>
  <c r="G623" i="2" s="1"/>
  <c r="G346" i="2"/>
  <c r="G338" i="2"/>
  <c r="G390" i="2"/>
  <c r="G554" i="2"/>
  <c r="W491" i="1"/>
  <c r="G490" i="2"/>
  <c r="W459" i="1"/>
  <c r="G458" i="2"/>
  <c r="W447" i="1"/>
  <c r="G446" i="2"/>
  <c r="W443" i="1"/>
  <c r="G442" i="2"/>
  <c r="W395" i="1"/>
  <c r="G394" i="2"/>
  <c r="W367" i="1"/>
  <c r="G366" i="2"/>
  <c r="W331" i="1"/>
  <c r="G330" i="2"/>
  <c r="W295" i="1"/>
  <c r="G294" i="2"/>
  <c r="W291" i="1"/>
  <c r="G290" i="2"/>
  <c r="W279" i="1"/>
  <c r="G278" i="2"/>
  <c r="W271" i="1"/>
  <c r="G270" i="2"/>
  <c r="W259" i="1"/>
  <c r="G258" i="2"/>
  <c r="W231" i="1"/>
  <c r="G230" i="2"/>
  <c r="W227" i="1"/>
  <c r="G226" i="2"/>
  <c r="G622" i="2"/>
  <c r="G542" i="2"/>
  <c r="G422" i="2"/>
  <c r="G558" i="2"/>
  <c r="G502" i="2"/>
  <c r="G310" i="2"/>
  <c r="G262" i="2"/>
  <c r="G574" i="2"/>
  <c r="G546" i="2"/>
  <c r="G578" i="2"/>
  <c r="G478" i="2"/>
  <c r="G374" i="2"/>
  <c r="G610" i="2"/>
  <c r="G598" i="2"/>
  <c r="G510" i="2"/>
  <c r="G306" i="2"/>
  <c r="AG247" i="1"/>
  <c r="AJ247" i="1" s="1"/>
  <c r="G247" i="2" s="1"/>
  <c r="AG415" i="1"/>
  <c r="AJ415" i="1" s="1"/>
  <c r="AG299" i="1"/>
  <c r="AJ299" i="1" s="1"/>
  <c r="AK299" i="1" s="1"/>
  <c r="AG535" i="1"/>
  <c r="AJ535" i="1" s="1"/>
  <c r="AG471" i="1"/>
  <c r="AJ471" i="1" s="1"/>
  <c r="AK471" i="1" s="1"/>
  <c r="AG431" i="1"/>
  <c r="AJ431" i="1" s="1"/>
  <c r="AG367" i="1"/>
  <c r="AJ367" i="1" s="1"/>
  <c r="AG467" i="1"/>
  <c r="AJ467" i="1" s="1"/>
  <c r="AG351" i="1"/>
  <c r="AJ351" i="1" s="1"/>
  <c r="AG223" i="1"/>
  <c r="AJ223" i="1" s="1"/>
  <c r="AG435" i="1"/>
  <c r="AJ435" i="1" s="1"/>
  <c r="AG339" i="1"/>
  <c r="AJ339" i="1" s="1"/>
  <c r="AG315" i="1"/>
  <c r="AJ315" i="1" s="1"/>
  <c r="AG563" i="1"/>
  <c r="AJ563" i="1" s="1"/>
  <c r="AG403" i="1"/>
  <c r="AJ403" i="1" s="1"/>
  <c r="AG383" i="1"/>
  <c r="AJ383" i="1" s="1"/>
  <c r="AU347" i="1"/>
  <c r="AG543" i="1"/>
  <c r="AJ543" i="1" s="1"/>
  <c r="AQ263" i="1"/>
  <c r="E263" i="1" s="1"/>
  <c r="AQ503" i="1"/>
  <c r="E503" i="1" s="1"/>
  <c r="AQ579" i="1"/>
  <c r="E579" i="1" s="1"/>
  <c r="AG259" i="1"/>
  <c r="AJ259" i="1" s="1"/>
  <c r="AU527" i="1"/>
  <c r="AG451" i="1"/>
  <c r="AJ451" i="1" s="1"/>
  <c r="AG575" i="1"/>
  <c r="AJ575" i="1" s="1"/>
  <c r="AQ327" i="1"/>
  <c r="E327" i="1" s="1"/>
  <c r="AG239" i="1"/>
  <c r="AJ239" i="1" s="1"/>
  <c r="AU403" i="1"/>
  <c r="AG323" i="1"/>
  <c r="AJ323" i="1" s="1"/>
  <c r="AQ291" i="1"/>
  <c r="E291" i="1" s="1"/>
  <c r="AU267" i="1"/>
  <c r="AQ559" i="1"/>
  <c r="E559" i="1" s="1"/>
  <c r="AS383" i="1"/>
  <c r="AQ515" i="1"/>
  <c r="E515" i="1" s="1"/>
  <c r="AQ511" i="1"/>
  <c r="E511" i="1" s="1"/>
  <c r="AU439" i="1"/>
  <c r="AG419" i="1"/>
  <c r="AJ419" i="1" s="1"/>
  <c r="AG355" i="1"/>
  <c r="AJ355" i="1" s="1"/>
  <c r="AQ343" i="1"/>
  <c r="E343" i="1" s="1"/>
  <c r="AG271" i="1"/>
  <c r="AJ271" i="1" s="1"/>
  <c r="AQ567" i="1"/>
  <c r="E567" i="1" s="1"/>
  <c r="AU579" i="1"/>
  <c r="AG491" i="1"/>
  <c r="AJ491" i="1" s="1"/>
  <c r="AQ467" i="1"/>
  <c r="E467" i="1" s="1"/>
  <c r="AQ359" i="1"/>
  <c r="E359" i="1" s="1"/>
  <c r="AQ311" i="1"/>
  <c r="E311" i="1" s="1"/>
  <c r="AD307" i="1"/>
  <c r="AH307" i="1" s="1"/>
  <c r="AQ591" i="1"/>
  <c r="E591" i="1" s="1"/>
  <c r="AQ407" i="1"/>
  <c r="E407" i="1" s="1"/>
  <c r="AQ351" i="1"/>
  <c r="E351" i="1" s="1"/>
  <c r="AQ303" i="1"/>
  <c r="E303" i="1" s="1"/>
  <c r="AQ235" i="1"/>
  <c r="E235" i="1" s="1"/>
  <c r="AQ231" i="1"/>
  <c r="E231" i="1" s="1"/>
  <c r="AQ227" i="1"/>
  <c r="E227" i="1" s="1"/>
  <c r="AG595" i="1"/>
  <c r="AJ595" i="1" s="1"/>
  <c r="AQ575" i="1"/>
  <c r="E575" i="1" s="1"/>
  <c r="AQ527" i="1"/>
  <c r="E527" i="1" s="1"/>
  <c r="AQ523" i="1"/>
  <c r="E523" i="1" s="1"/>
  <c r="AQ519" i="1"/>
  <c r="E519" i="1" s="1"/>
  <c r="AQ443" i="1"/>
  <c r="E443" i="1" s="1"/>
  <c r="AQ403" i="1"/>
  <c r="E403" i="1" s="1"/>
  <c r="AQ295" i="1"/>
  <c r="E295" i="1" s="1"/>
  <c r="AT267" i="1"/>
  <c r="AV267" i="1" s="1"/>
  <c r="G267" i="1" s="1"/>
  <c r="AD443" i="1"/>
  <c r="I443" i="1" s="1"/>
  <c r="G445" i="2" s="1"/>
  <c r="AG459" i="1"/>
  <c r="AJ459" i="1" s="1"/>
  <c r="AU371" i="1"/>
  <c r="AQ599" i="1"/>
  <c r="E599" i="1" s="1"/>
  <c r="AQ355" i="1"/>
  <c r="E355" i="1" s="1"/>
  <c r="AQ479" i="1"/>
  <c r="E479" i="1" s="1"/>
  <c r="AQ315" i="1"/>
  <c r="E315" i="1" s="1"/>
  <c r="AQ595" i="1"/>
  <c r="E595" i="1" s="1"/>
  <c r="AQ495" i="1"/>
  <c r="E495" i="1" s="1"/>
  <c r="AQ371" i="1"/>
  <c r="E371" i="1" s="1"/>
  <c r="AQ267" i="1"/>
  <c r="E267" i="1" s="1"/>
  <c r="AQ251" i="1"/>
  <c r="E251" i="1" s="1"/>
  <c r="AU623" i="1"/>
  <c r="AS623" i="1"/>
  <c r="AQ619" i="1"/>
  <c r="E619" i="1" s="1"/>
  <c r="AU615" i="1"/>
  <c r="AG607" i="1"/>
  <c r="AJ607" i="1" s="1"/>
  <c r="AU603" i="1"/>
  <c r="AT603" i="1"/>
  <c r="AT599" i="1"/>
  <c r="AS599" i="1"/>
  <c r="AU583" i="1"/>
  <c r="AS583" i="1"/>
  <c r="AT579" i="1"/>
  <c r="AT571" i="1"/>
  <c r="AS571" i="1"/>
  <c r="AG571" i="1"/>
  <c r="AJ571" i="1" s="1"/>
  <c r="AU563" i="1"/>
  <c r="AT563" i="1"/>
  <c r="AU559" i="1"/>
  <c r="AT559" i="1"/>
  <c r="AG559" i="1"/>
  <c r="AJ559" i="1" s="1"/>
  <c r="AQ555" i="1"/>
  <c r="E555" i="1" s="1"/>
  <c r="AQ547" i="1"/>
  <c r="E547" i="1" s="1"/>
  <c r="AQ543" i="1"/>
  <c r="E543" i="1" s="1"/>
  <c r="AG539" i="1"/>
  <c r="AJ539" i="1" s="1"/>
  <c r="AU531" i="1"/>
  <c r="AG527" i="1"/>
  <c r="AJ527" i="1" s="1"/>
  <c r="AD515" i="1"/>
  <c r="I515" i="1" s="1"/>
  <c r="G517" i="2" s="1"/>
  <c r="AG511" i="1"/>
  <c r="AJ511" i="1" s="1"/>
  <c r="AT507" i="1"/>
  <c r="AT503" i="1"/>
  <c r="AS503" i="1"/>
  <c r="AG503" i="1"/>
  <c r="AJ503" i="1" s="1"/>
  <c r="AQ483" i="1"/>
  <c r="E483" i="1" s="1"/>
  <c r="AU479" i="1"/>
  <c r="AU471" i="1"/>
  <c r="AT471" i="1"/>
  <c r="AU447" i="1"/>
  <c r="AT447" i="1"/>
  <c r="AG439" i="1"/>
  <c r="AJ439" i="1" s="1"/>
  <c r="AQ435" i="1"/>
  <c r="E435" i="1" s="1"/>
  <c r="AU427" i="1"/>
  <c r="AQ427" i="1"/>
  <c r="E427" i="1" s="1"/>
  <c r="AS403" i="1"/>
  <c r="AT391" i="1"/>
  <c r="AG387" i="1"/>
  <c r="AJ387" i="1" s="1"/>
  <c r="AT383" i="1"/>
  <c r="AQ379" i="1"/>
  <c r="E379" i="1" s="1"/>
  <c r="AU379" i="1"/>
  <c r="AT379" i="1"/>
  <c r="AG375" i="1"/>
  <c r="AJ375" i="1" s="1"/>
  <c r="AS351" i="1"/>
  <c r="AS347" i="1"/>
  <c r="AH347" i="1"/>
  <c r="I347" i="1"/>
  <c r="G349" i="2" s="1"/>
  <c r="AG343" i="1"/>
  <c r="AJ343" i="1" s="1"/>
  <c r="AU327" i="1"/>
  <c r="AT327" i="1"/>
  <c r="I323" i="1"/>
  <c r="G325" i="2" s="1"/>
  <c r="AH323" i="1"/>
  <c r="AG311" i="1"/>
  <c r="AJ311" i="1" s="1"/>
  <c r="AU295" i="1"/>
  <c r="AT295" i="1"/>
  <c r="AU247" i="1"/>
  <c r="AU235" i="1"/>
  <c r="AT235" i="1"/>
  <c r="AU231" i="1"/>
  <c r="AT231" i="1"/>
  <c r="AD227" i="1"/>
  <c r="AH227" i="1" s="1"/>
  <c r="AS219" i="1"/>
  <c r="AG219" i="1"/>
  <c r="AJ219" i="1" s="1"/>
  <c r="AH343" i="1"/>
  <c r="I343" i="1"/>
  <c r="G345" i="2" s="1"/>
  <c r="AH607" i="1"/>
  <c r="I607" i="1"/>
  <c r="G609" i="2" s="1"/>
  <c r="I231" i="1"/>
  <c r="G233" i="2" s="1"/>
  <c r="AH231" i="1"/>
  <c r="AH383" i="1"/>
  <c r="I383" i="1"/>
  <c r="G385" i="2" s="1"/>
  <c r="AT591" i="1"/>
  <c r="AU591" i="1"/>
  <c r="I563" i="1"/>
  <c r="G565" i="2" s="1"/>
  <c r="AH563" i="1"/>
  <c r="AS511" i="1"/>
  <c r="AT511" i="1"/>
  <c r="AU511" i="1"/>
  <c r="AH439" i="1"/>
  <c r="I439" i="1"/>
  <c r="G441" i="2" s="1"/>
  <c r="I379" i="1"/>
  <c r="G381" i="2" s="1"/>
  <c r="AG379" i="1"/>
  <c r="AJ379" i="1" s="1"/>
  <c r="AQ363" i="1"/>
  <c r="E363" i="1" s="1"/>
  <c r="AT283" i="1"/>
  <c r="AU283" i="1"/>
  <c r="AS547" i="1"/>
  <c r="AT547" i="1"/>
  <c r="AU547" i="1"/>
  <c r="AQ531" i="1"/>
  <c r="E531" i="1" s="1"/>
  <c r="AH399" i="1"/>
  <c r="AG399" i="1"/>
  <c r="AJ399" i="1" s="1"/>
  <c r="AG267" i="1"/>
  <c r="AJ267" i="1" s="1"/>
  <c r="AU619" i="1"/>
  <c r="AS619" i="1"/>
  <c r="AG523" i="1"/>
  <c r="AJ523" i="1" s="1"/>
  <c r="AG495" i="1"/>
  <c r="AJ495" i="1" s="1"/>
  <c r="AU255" i="1"/>
  <c r="AT255" i="1"/>
  <c r="I235" i="1"/>
  <c r="G237" i="2" s="1"/>
  <c r="AG235" i="1"/>
  <c r="AJ235" i="1" s="1"/>
  <c r="W567" i="1"/>
  <c r="AG463" i="1"/>
  <c r="AJ463" i="1" s="1"/>
  <c r="AS451" i="1"/>
  <c r="AT451" i="1"/>
  <c r="AS331" i="1"/>
  <c r="AT331" i="1"/>
  <c r="AU331" i="1"/>
  <c r="AG603" i="1"/>
  <c r="AJ603" i="1" s="1"/>
  <c r="AS539" i="1"/>
  <c r="AT539" i="1"/>
  <c r="AU539" i="1"/>
  <c r="AT519" i="1"/>
  <c r="AS519" i="1"/>
  <c r="AU519" i="1"/>
  <c r="AH583" i="1"/>
  <c r="AG583" i="1"/>
  <c r="AJ583" i="1" s="1"/>
  <c r="AS551" i="1"/>
  <c r="AU551" i="1"/>
  <c r="AT551" i="1"/>
  <c r="AH471" i="1"/>
  <c r="I471" i="1"/>
  <c r="G473" i="2" s="1"/>
  <c r="AG619" i="1"/>
  <c r="AJ619" i="1" s="1"/>
  <c r="AH587" i="1"/>
  <c r="AG483" i="1"/>
  <c r="AJ483" i="1" s="1"/>
  <c r="I567" i="1"/>
  <c r="G569" i="2" s="1"/>
  <c r="AG567" i="1"/>
  <c r="AJ567" i="1" s="1"/>
  <c r="AG555" i="1"/>
  <c r="AJ555" i="1" s="1"/>
  <c r="AQ551" i="1"/>
  <c r="E551" i="1" s="1"/>
  <c r="AQ475" i="1"/>
  <c r="E475" i="1" s="1"/>
  <c r="AT463" i="1"/>
  <c r="AU463" i="1"/>
  <c r="AT439" i="1"/>
  <c r="I435" i="1"/>
  <c r="G437" i="2" s="1"/>
  <c r="I431" i="1"/>
  <c r="G433" i="2" s="1"/>
  <c r="AS415" i="1"/>
  <c r="AQ391" i="1"/>
  <c r="E391" i="1" s="1"/>
  <c r="AQ387" i="1"/>
  <c r="E387" i="1" s="1"/>
  <c r="AG291" i="1"/>
  <c r="AJ291" i="1" s="1"/>
  <c r="AH259" i="1"/>
  <c r="I259" i="1"/>
  <c r="G261" i="2" s="1"/>
  <c r="AQ611" i="1"/>
  <c r="E611" i="1" s="1"/>
  <c r="I543" i="1"/>
  <c r="G545" i="2" s="1"/>
  <c r="AH543" i="1"/>
  <c r="I503" i="1"/>
  <c r="G505" i="2" s="1"/>
  <c r="AH503" i="1"/>
  <c r="AQ451" i="1"/>
  <c r="E451" i="1" s="1"/>
  <c r="AH403" i="1"/>
  <c r="AT339" i="1"/>
  <c r="AU339" i="1"/>
  <c r="AH287" i="1"/>
  <c r="I287" i="1"/>
  <c r="G289" i="2" s="1"/>
  <c r="AU223" i="1"/>
  <c r="AS223" i="1"/>
  <c r="AQ587" i="1"/>
  <c r="E587" i="1" s="1"/>
  <c r="AH551" i="1"/>
  <c r="AG551" i="1"/>
  <c r="AJ551" i="1" s="1"/>
  <c r="G551" i="2" s="1"/>
  <c r="AQ535" i="1"/>
  <c r="E535" i="1" s="1"/>
  <c r="AG507" i="1"/>
  <c r="AJ507" i="1" s="1"/>
  <c r="AG475" i="1"/>
  <c r="AJ475" i="1" s="1"/>
  <c r="AQ463" i="1"/>
  <c r="E463" i="1" s="1"/>
  <c r="AQ419" i="1"/>
  <c r="E419" i="1" s="1"/>
  <c r="AG407" i="1"/>
  <c r="AJ407" i="1" s="1"/>
  <c r="AH499" i="1"/>
  <c r="AG499" i="1"/>
  <c r="AJ499" i="1" s="1"/>
  <c r="AU435" i="1"/>
  <c r="AS435" i="1"/>
  <c r="AT435" i="1"/>
  <c r="AS411" i="1"/>
  <c r="AT411" i="1"/>
  <c r="AU411" i="1"/>
  <c r="W407" i="1"/>
  <c r="AH387" i="1"/>
  <c r="I387" i="1"/>
  <c r="G389" i="2" s="1"/>
  <c r="AH319" i="1"/>
  <c r="I319" i="1"/>
  <c r="G321" i="2" s="1"/>
  <c r="AG255" i="1"/>
  <c r="AJ255" i="1" s="1"/>
  <c r="AQ615" i="1"/>
  <c r="E615" i="1" s="1"/>
  <c r="AQ607" i="1"/>
  <c r="E607" i="1" s="1"/>
  <c r="I475" i="1"/>
  <c r="G477" i="2" s="1"/>
  <c r="AH475" i="1"/>
  <c r="AU467" i="1"/>
  <c r="AS467" i="1"/>
  <c r="AT467" i="1"/>
  <c r="AQ447" i="1"/>
  <c r="E447" i="1" s="1"/>
  <c r="AQ423" i="1"/>
  <c r="E423" i="1" s="1"/>
  <c r="I407" i="1"/>
  <c r="G409" i="2" s="1"/>
  <c r="AH407" i="1"/>
  <c r="AQ395" i="1"/>
  <c r="E395" i="1" s="1"/>
  <c r="AS375" i="1"/>
  <c r="AT375" i="1"/>
  <c r="I359" i="1"/>
  <c r="G361" i="2" s="1"/>
  <c r="AG359" i="1"/>
  <c r="AJ359" i="1" s="1"/>
  <c r="AQ347" i="1"/>
  <c r="E347" i="1" s="1"/>
  <c r="I283" i="1"/>
  <c r="G285" i="2" s="1"/>
  <c r="AG283" i="1"/>
  <c r="AJ283" i="1" s="1"/>
  <c r="AQ459" i="1"/>
  <c r="E459" i="1" s="1"/>
  <c r="AQ431" i="1"/>
  <c r="E431" i="1" s="1"/>
  <c r="AQ335" i="1"/>
  <c r="E335" i="1" s="1"/>
  <c r="AQ331" i="1"/>
  <c r="E331" i="1" s="1"/>
  <c r="AQ323" i="1"/>
  <c r="E323" i="1" s="1"/>
  <c r="AQ319" i="1"/>
  <c r="E319" i="1" s="1"/>
  <c r="AU311" i="1"/>
  <c r="AQ287" i="1"/>
  <c r="E287" i="1" s="1"/>
  <c r="AQ283" i="1"/>
  <c r="E283" i="1" s="1"/>
  <c r="AQ275" i="1"/>
  <c r="E275" i="1" s="1"/>
  <c r="AQ307" i="1"/>
  <c r="E307" i="1" s="1"/>
  <c r="AQ243" i="1"/>
  <c r="E243" i="1" s="1"/>
  <c r="AQ223" i="1"/>
  <c r="E223" i="1" s="1"/>
  <c r="AU395" i="1"/>
  <c r="AU363" i="1"/>
  <c r="AT351" i="1"/>
  <c r="AQ339" i="1"/>
  <c r="E339" i="1" s="1"/>
  <c r="AG335" i="1"/>
  <c r="AJ335" i="1" s="1"/>
  <c r="G335" i="2" s="1"/>
  <c r="AH331" i="1"/>
  <c r="AG319" i="1"/>
  <c r="AJ319" i="1" s="1"/>
  <c r="AU315" i="1"/>
  <c r="AG303" i="1"/>
  <c r="AJ303" i="1" s="1"/>
  <c r="AU299" i="1"/>
  <c r="AG287" i="1"/>
  <c r="AJ287" i="1" s="1"/>
  <c r="AU279" i="1"/>
  <c r="AQ255" i="1"/>
  <c r="E255" i="1" s="1"/>
  <c r="AG251" i="1"/>
  <c r="AJ251" i="1" s="1"/>
  <c r="AT247" i="1"/>
  <c r="AT219" i="1"/>
  <c r="AG531" i="1"/>
  <c r="AJ531" i="1" s="1"/>
  <c r="AT527" i="1"/>
  <c r="L515" i="1"/>
  <c r="AS507" i="1"/>
  <c r="AU495" i="1"/>
  <c r="AT479" i="1"/>
  <c r="AT427" i="1"/>
  <c r="AH423" i="1"/>
  <c r="AG411" i="1"/>
  <c r="AJ411" i="1" s="1"/>
  <c r="AU407" i="1"/>
  <c r="AT395" i="1"/>
  <c r="AG395" i="1"/>
  <c r="AJ395" i="1" s="1"/>
  <c r="G395" i="2" s="1"/>
  <c r="AQ383" i="1"/>
  <c r="E383" i="1" s="1"/>
  <c r="AT363" i="1"/>
  <c r="AT335" i="1"/>
  <c r="AT319" i="1"/>
  <c r="AT315" i="1"/>
  <c r="AT299" i="1"/>
  <c r="AT287" i="1"/>
  <c r="AQ271" i="1"/>
  <c r="E271" i="1" s="1"/>
  <c r="AU263" i="1"/>
  <c r="AQ259" i="1"/>
  <c r="E259" i="1" s="1"/>
  <c r="AT251" i="1"/>
  <c r="AQ623" i="1"/>
  <c r="E623" i="1" s="1"/>
  <c r="AS495" i="1"/>
  <c r="AQ487" i="1"/>
  <c r="E487" i="1" s="1"/>
  <c r="AT483" i="1"/>
  <c r="AU459" i="1"/>
  <c r="AQ455" i="1"/>
  <c r="E455" i="1" s="1"/>
  <c r="AQ439" i="1"/>
  <c r="E439" i="1" s="1"/>
  <c r="AT431" i="1"/>
  <c r="AT407" i="1"/>
  <c r="AU355" i="1"/>
  <c r="AS335" i="1"/>
  <c r="AS319" i="1"/>
  <c r="AS287" i="1"/>
  <c r="AQ279" i="1"/>
  <c r="E279" i="1" s="1"/>
  <c r="AT263" i="1"/>
  <c r="AS251" i="1"/>
  <c r="AQ247" i="1"/>
  <c r="E247" i="1" s="1"/>
  <c r="AQ563" i="1"/>
  <c r="E563" i="1" s="1"/>
  <c r="AQ219" i="1"/>
  <c r="E219" i="1" s="1"/>
  <c r="AG591" i="1"/>
  <c r="AJ591" i="1" s="1"/>
  <c r="G591" i="2" s="1"/>
  <c r="AG611" i="1"/>
  <c r="AJ611" i="1" s="1"/>
  <c r="G611" i="2" s="1"/>
  <c r="AS611" i="1"/>
  <c r="AT611" i="1"/>
  <c r="AU611" i="1"/>
  <c r="AQ603" i="1"/>
  <c r="E603" i="1" s="1"/>
  <c r="W351" i="1"/>
  <c r="W607" i="1"/>
  <c r="W535" i="1"/>
  <c r="AU535" i="1"/>
  <c r="AT535" i="1"/>
  <c r="AT587" i="1"/>
  <c r="AU587" i="1"/>
  <c r="W551" i="1"/>
  <c r="L519" i="1"/>
  <c r="I551" i="1"/>
  <c r="G553" i="2" s="1"/>
  <c r="I555" i="1"/>
  <c r="G557" i="2" s="1"/>
  <c r="AH555" i="1"/>
  <c r="AT619" i="1"/>
  <c r="AG579" i="1"/>
  <c r="AJ579" i="1" s="1"/>
  <c r="G579" i="2" s="1"/>
  <c r="AS575" i="1"/>
  <c r="AT575" i="1"/>
  <c r="AU575" i="1"/>
  <c r="AQ571" i="1"/>
  <c r="E571" i="1" s="1"/>
  <c r="W563" i="1"/>
  <c r="AH531" i="1"/>
  <c r="W519" i="1"/>
  <c r="AK519" i="1"/>
  <c r="AS515" i="1"/>
  <c r="AU515" i="1"/>
  <c r="W499" i="1"/>
  <c r="W495" i="1"/>
  <c r="AU487" i="1"/>
  <c r="AS487" i="1"/>
  <c r="AT487" i="1"/>
  <c r="W363" i="1"/>
  <c r="W615" i="1"/>
  <c r="AS607" i="1"/>
  <c r="AT607" i="1"/>
  <c r="AU607" i="1"/>
  <c r="W603" i="1"/>
  <c r="AQ583" i="1"/>
  <c r="E583" i="1" s="1"/>
  <c r="I535" i="1"/>
  <c r="G537" i="2" s="1"/>
  <c r="AH535" i="1"/>
  <c r="I583" i="1"/>
  <c r="G585" i="2" s="1"/>
  <c r="W571" i="1"/>
  <c r="AT567" i="1"/>
  <c r="W531" i="1"/>
  <c r="W523" i="1"/>
  <c r="X443" i="1"/>
  <c r="L443" i="1"/>
  <c r="W583" i="1"/>
  <c r="AS567" i="1"/>
  <c r="AG547" i="1"/>
  <c r="AJ547" i="1" s="1"/>
  <c r="G547" i="2" s="1"/>
  <c r="AS543" i="1"/>
  <c r="AT543" i="1"/>
  <c r="AU543" i="1"/>
  <c r="AQ539" i="1"/>
  <c r="E539" i="1" s="1"/>
  <c r="AQ507" i="1"/>
  <c r="E507" i="1" s="1"/>
  <c r="I599" i="1"/>
  <c r="G601" i="2" s="1"/>
  <c r="AH599" i="1"/>
  <c r="W595" i="1"/>
  <c r="X587" i="1"/>
  <c r="AT555" i="1"/>
  <c r="AU555" i="1"/>
  <c r="AT523" i="1"/>
  <c r="AU523" i="1"/>
  <c r="AT499" i="1"/>
  <c r="AU499" i="1"/>
  <c r="W487" i="1"/>
  <c r="W475" i="1"/>
  <c r="AK587" i="1"/>
  <c r="W587" i="1"/>
  <c r="W539" i="1"/>
  <c r="W515" i="1"/>
  <c r="AK515" i="1"/>
  <c r="AQ491" i="1"/>
  <c r="E491" i="1" s="1"/>
  <c r="I487" i="1"/>
  <c r="G489" i="2" s="1"/>
  <c r="AH487" i="1"/>
  <c r="W403" i="1"/>
  <c r="W483" i="1"/>
  <c r="AQ471" i="1"/>
  <c r="E471" i="1" s="1"/>
  <c r="W451" i="1"/>
  <c r="AS443" i="1"/>
  <c r="AT443" i="1"/>
  <c r="AU443" i="1"/>
  <c r="W439" i="1"/>
  <c r="AQ411" i="1"/>
  <c r="E411" i="1" s="1"/>
  <c r="AT399" i="1"/>
  <c r="AU399" i="1"/>
  <c r="AG363" i="1"/>
  <c r="AJ363" i="1" s="1"/>
  <c r="G363" i="2" s="1"/>
  <c r="I499" i="1"/>
  <c r="G501" i="2" s="1"/>
  <c r="AS475" i="1"/>
  <c r="AT475" i="1"/>
  <c r="AU475" i="1"/>
  <c r="W471" i="1"/>
  <c r="W431" i="1"/>
  <c r="W427" i="1"/>
  <c r="W387" i="1"/>
  <c r="AT615" i="1"/>
  <c r="AG599" i="1"/>
  <c r="AJ599" i="1" s="1"/>
  <c r="G599" i="2" s="1"/>
  <c r="AU595" i="1"/>
  <c r="W507" i="1"/>
  <c r="AQ499" i="1"/>
  <c r="E499" i="1" s="1"/>
  <c r="I455" i="1"/>
  <c r="G457" i="2" s="1"/>
  <c r="AH455" i="1"/>
  <c r="AG447" i="1"/>
  <c r="AJ447" i="1" s="1"/>
  <c r="G447" i="2" s="1"/>
  <c r="AG427" i="1"/>
  <c r="AJ427" i="1" s="1"/>
  <c r="AS367" i="1"/>
  <c r="AT367" i="1"/>
  <c r="AU367" i="1"/>
  <c r="W355" i="1"/>
  <c r="W243" i="1"/>
  <c r="AT595" i="1"/>
  <c r="AT531" i="1"/>
  <c r="AG479" i="1"/>
  <c r="AJ479" i="1" s="1"/>
  <c r="G479" i="2" s="1"/>
  <c r="AT455" i="1"/>
  <c r="AU455" i="1"/>
  <c r="W415" i="1"/>
  <c r="I299" i="1"/>
  <c r="G301" i="2" s="1"/>
  <c r="AH299" i="1"/>
  <c r="AS491" i="1"/>
  <c r="AT491" i="1"/>
  <c r="W463" i="1"/>
  <c r="W419" i="1"/>
  <c r="AH415" i="1"/>
  <c r="I415" i="1"/>
  <c r="G417" i="2" s="1"/>
  <c r="AG391" i="1"/>
  <c r="AJ391" i="1" s="1"/>
  <c r="W379" i="1"/>
  <c r="AS359" i="1"/>
  <c r="AU359" i="1"/>
  <c r="AT359" i="1"/>
  <c r="AH519" i="1"/>
  <c r="W455" i="1"/>
  <c r="AK443" i="1"/>
  <c r="I411" i="1"/>
  <c r="G413" i="2" s="1"/>
  <c r="AH411" i="1"/>
  <c r="W399" i="1"/>
  <c r="W467" i="1"/>
  <c r="AT459" i="1"/>
  <c r="I451" i="1"/>
  <c r="G453" i="2" s="1"/>
  <c r="W435" i="1"/>
  <c r="AU423" i="1"/>
  <c r="AS419" i="1"/>
  <c r="AT419" i="1"/>
  <c r="AQ415" i="1"/>
  <c r="E415" i="1" s="1"/>
  <c r="AS387" i="1"/>
  <c r="AT387" i="1"/>
  <c r="AU387" i="1"/>
  <c r="I375" i="1"/>
  <c r="G377" i="2" s="1"/>
  <c r="W283" i="1"/>
  <c r="AT275" i="1"/>
  <c r="AS275" i="1"/>
  <c r="AU275" i="1"/>
  <c r="AG487" i="1"/>
  <c r="AJ487" i="1" s="1"/>
  <c r="G487" i="2" s="1"/>
  <c r="AU483" i="1"/>
  <c r="AH467" i="1"/>
  <c r="AG455" i="1"/>
  <c r="AJ455" i="1" s="1"/>
  <c r="AU451" i="1"/>
  <c r="AT423" i="1"/>
  <c r="AQ367" i="1"/>
  <c r="E367" i="1" s="1"/>
  <c r="W343" i="1"/>
  <c r="W335" i="1"/>
  <c r="W323" i="1"/>
  <c r="W315" i="1"/>
  <c r="AQ399" i="1"/>
  <c r="E399" i="1" s="1"/>
  <c r="W383" i="1"/>
  <c r="AQ299" i="1"/>
  <c r="E299" i="1" s="1"/>
  <c r="AS431" i="1"/>
  <c r="AG423" i="1"/>
  <c r="AJ423" i="1" s="1"/>
  <c r="G423" i="2" s="1"/>
  <c r="AT415" i="1"/>
  <c r="AU391" i="1"/>
  <c r="AS371" i="1"/>
  <c r="AS343" i="1"/>
  <c r="AU343" i="1"/>
  <c r="W327" i="1"/>
  <c r="I395" i="1"/>
  <c r="G397" i="2" s="1"/>
  <c r="AH395" i="1"/>
  <c r="W303" i="1"/>
  <c r="AG295" i="1"/>
  <c r="AJ295" i="1" s="1"/>
  <c r="G295" i="2" s="1"/>
  <c r="AG279" i="1"/>
  <c r="AJ279" i="1" s="1"/>
  <c r="G279" i="2" s="1"/>
  <c r="W239" i="1"/>
  <c r="W411" i="1"/>
  <c r="AH379" i="1"/>
  <c r="AQ375" i="1"/>
  <c r="E375" i="1" s="1"/>
  <c r="AG371" i="1"/>
  <c r="AJ371" i="1" s="1"/>
  <c r="G371" i="2" s="1"/>
  <c r="AH359" i="1"/>
  <c r="AG327" i="1"/>
  <c r="AJ327" i="1" s="1"/>
  <c r="I399" i="1"/>
  <c r="G401" i="2" s="1"/>
  <c r="I367" i="1"/>
  <c r="G369" i="2" s="1"/>
  <c r="AS323" i="1"/>
  <c r="AT323" i="1"/>
  <c r="AU323" i="1"/>
  <c r="AT307" i="1"/>
  <c r="AS307" i="1"/>
  <c r="L307" i="1"/>
  <c r="X307" i="1"/>
  <c r="AS239" i="1"/>
  <c r="AT239" i="1"/>
  <c r="AU239" i="1"/>
  <c r="W235" i="1"/>
  <c r="W223" i="1"/>
  <c r="W219" i="1"/>
  <c r="AT355" i="1"/>
  <c r="I351" i="1"/>
  <c r="G353" i="2" s="1"/>
  <c r="AG347" i="1"/>
  <c r="AJ347" i="1" s="1"/>
  <c r="G347" i="2" s="1"/>
  <c r="I335" i="1"/>
  <c r="G337" i="2" s="1"/>
  <c r="AG331" i="1"/>
  <c r="AJ331" i="1" s="1"/>
  <c r="G331" i="2" s="1"/>
  <c r="W319" i="1"/>
  <c r="AT303" i="1"/>
  <c r="AU303" i="1"/>
  <c r="W255" i="1"/>
  <c r="AG243" i="1"/>
  <c r="AJ243" i="1" s="1"/>
  <c r="I219" i="1"/>
  <c r="G221" i="2" s="1"/>
  <c r="AH219" i="1"/>
  <c r="W251" i="1"/>
  <c r="W247" i="1"/>
  <c r="AK247" i="1"/>
  <c r="G248" i="2" s="1"/>
  <c r="AT243" i="1"/>
  <c r="AS243" i="1"/>
  <c r="W299" i="1"/>
  <c r="AH263" i="1"/>
  <c r="I251" i="1"/>
  <c r="G253" i="2" s="1"/>
  <c r="AH251" i="1"/>
  <c r="AH247" i="1"/>
  <c r="I247" i="1"/>
  <c r="G249" i="2" s="1"/>
  <c r="AQ239" i="1"/>
  <c r="E239" i="1" s="1"/>
  <c r="W287" i="1"/>
  <c r="AS271" i="1"/>
  <c r="AT271" i="1"/>
  <c r="AU271" i="1"/>
  <c r="W267" i="1"/>
  <c r="L227" i="1"/>
  <c r="X227" i="1"/>
  <c r="I315" i="1"/>
  <c r="G317" i="2" s="1"/>
  <c r="AH315" i="1"/>
  <c r="AH311" i="1"/>
  <c r="AK307" i="1"/>
  <c r="G308" i="2" s="1"/>
  <c r="AG275" i="1"/>
  <c r="AJ275" i="1" s="1"/>
  <c r="I267" i="1"/>
  <c r="G269" i="2" s="1"/>
  <c r="AH267" i="1"/>
  <c r="AT223" i="1"/>
  <c r="AT311" i="1"/>
  <c r="I303" i="1"/>
  <c r="G305" i="2" s="1"/>
  <c r="AU291" i="1"/>
  <c r="AT279" i="1"/>
  <c r="I271" i="1"/>
  <c r="G273" i="2" s="1"/>
  <c r="AG263" i="1"/>
  <c r="AJ263" i="1" s="1"/>
  <c r="G263" i="2" s="1"/>
  <c r="AU259" i="1"/>
  <c r="I239" i="1"/>
  <c r="G241" i="2" s="1"/>
  <c r="AG231" i="1"/>
  <c r="AJ231" i="1" s="1"/>
  <c r="G231" i="2" s="1"/>
  <c r="AU227" i="1"/>
  <c r="AT291" i="1"/>
  <c r="AT259" i="1"/>
  <c r="AT227" i="1"/>
  <c r="AK227" i="1"/>
  <c r="AH223" i="1"/>
  <c r="AK615" i="1" l="1"/>
  <c r="G616" i="2" s="1"/>
  <c r="X519" i="1"/>
  <c r="L615" i="1"/>
  <c r="G615" i="2"/>
  <c r="G587" i="2"/>
  <c r="L623" i="1"/>
  <c r="X623" i="1"/>
  <c r="AK623" i="1"/>
  <c r="H623" i="1" s="1"/>
  <c r="L567" i="1"/>
  <c r="G567" i="2"/>
  <c r="X343" i="1"/>
  <c r="G343" i="2"/>
  <c r="L571" i="1"/>
  <c r="G571" i="2"/>
  <c r="L543" i="1"/>
  <c r="G543" i="2"/>
  <c r="X223" i="1"/>
  <c r="G223" i="2"/>
  <c r="L415" i="1"/>
  <c r="G415" i="2"/>
  <c r="AK459" i="1"/>
  <c r="G460" i="2" s="1"/>
  <c r="G459" i="2"/>
  <c r="X575" i="1"/>
  <c r="G575" i="2"/>
  <c r="H227" i="1"/>
  <c r="G228" i="2"/>
  <c r="H515" i="1"/>
  <c r="G516" i="2"/>
  <c r="AK287" i="1"/>
  <c r="AL287" i="1" s="1"/>
  <c r="G287" i="2"/>
  <c r="AK499" i="1"/>
  <c r="AL499" i="1" s="1"/>
  <c r="G499" i="2"/>
  <c r="X483" i="1"/>
  <c r="G483" i="2"/>
  <c r="AK235" i="1"/>
  <c r="G235" i="2"/>
  <c r="AK387" i="1"/>
  <c r="G387" i="2"/>
  <c r="L383" i="1"/>
  <c r="G383" i="2"/>
  <c r="L403" i="1"/>
  <c r="G403" i="2"/>
  <c r="AK391" i="1"/>
  <c r="AL391" i="1" s="1"/>
  <c r="G391" i="2"/>
  <c r="AK411" i="1"/>
  <c r="AL411" i="1" s="1"/>
  <c r="G411" i="2"/>
  <c r="AK531" i="1"/>
  <c r="AL531" i="1" s="1"/>
  <c r="G531" i="2"/>
  <c r="AK303" i="1"/>
  <c r="AL303" i="1" s="1"/>
  <c r="G303" i="2"/>
  <c r="AK407" i="1"/>
  <c r="AL407" i="1" s="1"/>
  <c r="G407" i="2"/>
  <c r="X291" i="1"/>
  <c r="G291" i="2"/>
  <c r="L619" i="1"/>
  <c r="G619" i="2"/>
  <c r="AK355" i="1"/>
  <c r="AL355" i="1" s="1"/>
  <c r="G355" i="2"/>
  <c r="AK259" i="1"/>
  <c r="AL259" i="1" s="1"/>
  <c r="G259" i="2"/>
  <c r="X563" i="1"/>
  <c r="G563" i="2"/>
  <c r="L431" i="1"/>
  <c r="G431" i="2"/>
  <c r="AK219" i="1"/>
  <c r="AL219" i="1" s="1"/>
  <c r="G219" i="2"/>
  <c r="X351" i="1"/>
  <c r="G351" i="2"/>
  <c r="L283" i="1"/>
  <c r="G283" i="2"/>
  <c r="X583" i="1"/>
  <c r="G583" i="2"/>
  <c r="AK267" i="1"/>
  <c r="G268" i="2" s="1"/>
  <c r="G267" i="2"/>
  <c r="X607" i="1"/>
  <c r="G607" i="2"/>
  <c r="X271" i="1"/>
  <c r="G271" i="2"/>
  <c r="AK451" i="1"/>
  <c r="AL451" i="1" s="1"/>
  <c r="G451" i="2"/>
  <c r="L467" i="1"/>
  <c r="G467" i="2"/>
  <c r="AK275" i="1"/>
  <c r="AL275" i="1" s="1"/>
  <c r="G275" i="2"/>
  <c r="AK559" i="1"/>
  <c r="AL559" i="1" s="1"/>
  <c r="G559" i="2"/>
  <c r="X595" i="1"/>
  <c r="G595" i="2"/>
  <c r="L367" i="1"/>
  <c r="G367" i="2"/>
  <c r="AK243" i="1"/>
  <c r="G243" i="2"/>
  <c r="H443" i="1"/>
  <c r="G444" i="2"/>
  <c r="AK415" i="1"/>
  <c r="AL415" i="1" s="1"/>
  <c r="H471" i="1"/>
  <c r="G472" i="2"/>
  <c r="X359" i="1"/>
  <c r="G359" i="2"/>
  <c r="L375" i="1"/>
  <c r="G375" i="2"/>
  <c r="AK527" i="1"/>
  <c r="G527" i="2"/>
  <c r="AK419" i="1"/>
  <c r="AL419" i="1" s="1"/>
  <c r="G419" i="2"/>
  <c r="L323" i="1"/>
  <c r="G323" i="2"/>
  <c r="L315" i="1"/>
  <c r="G315" i="2"/>
  <c r="L471" i="1"/>
  <c r="G471" i="2"/>
  <c r="L507" i="1"/>
  <c r="G507" i="2"/>
  <c r="AK439" i="1"/>
  <c r="AL439" i="1" s="1"/>
  <c r="G439" i="2"/>
  <c r="AK427" i="1"/>
  <c r="G427" i="2"/>
  <c r="L603" i="1"/>
  <c r="G603" i="2"/>
  <c r="X415" i="1"/>
  <c r="H519" i="1"/>
  <c r="G520" i="2"/>
  <c r="L399" i="1"/>
  <c r="G399" i="2"/>
  <c r="AK311" i="1"/>
  <c r="AL311" i="1" s="1"/>
  <c r="G311" i="2"/>
  <c r="L511" i="1"/>
  <c r="G511" i="2"/>
  <c r="AK455" i="1"/>
  <c r="AL455" i="1" s="1"/>
  <c r="G455" i="2"/>
  <c r="H587" i="1"/>
  <c r="G588" i="2"/>
  <c r="L319" i="1"/>
  <c r="G319" i="2"/>
  <c r="L255" i="1"/>
  <c r="G255" i="2"/>
  <c r="AK495" i="1"/>
  <c r="AL495" i="1" s="1"/>
  <c r="G495" i="2"/>
  <c r="L247" i="1"/>
  <c r="AK379" i="1"/>
  <c r="G379" i="2"/>
  <c r="L339" i="1"/>
  <c r="G339" i="2"/>
  <c r="L535" i="1"/>
  <c r="G535" i="2"/>
  <c r="AK463" i="1"/>
  <c r="AL463" i="1" s="1"/>
  <c r="G463" i="2"/>
  <c r="H299" i="1"/>
  <c r="G300" i="2"/>
  <c r="AK327" i="1"/>
  <c r="G327" i="2"/>
  <c r="AK251" i="1"/>
  <c r="AL251" i="1" s="1"/>
  <c r="G251" i="2"/>
  <c r="X475" i="1"/>
  <c r="G475" i="2"/>
  <c r="L555" i="1"/>
  <c r="G555" i="2"/>
  <c r="L523" i="1"/>
  <c r="G523" i="2"/>
  <c r="X247" i="1"/>
  <c r="X503" i="1"/>
  <c r="G503" i="2"/>
  <c r="AK539" i="1"/>
  <c r="AL539" i="1" s="1"/>
  <c r="G539" i="2"/>
  <c r="AK491" i="1"/>
  <c r="G491" i="2"/>
  <c r="X239" i="1"/>
  <c r="G239" i="2"/>
  <c r="L435" i="1"/>
  <c r="G435" i="2"/>
  <c r="X299" i="1"/>
  <c r="G299" i="2"/>
  <c r="AK535" i="1"/>
  <c r="X559" i="1"/>
  <c r="X535" i="1"/>
  <c r="L299" i="1"/>
  <c r="X471" i="1"/>
  <c r="AK431" i="1"/>
  <c r="AL431" i="1" s="1"/>
  <c r="AV563" i="1"/>
  <c r="G563" i="1" s="1"/>
  <c r="X367" i="1"/>
  <c r="AK383" i="1"/>
  <c r="AV579" i="1"/>
  <c r="G579" i="1" s="1"/>
  <c r="AK367" i="1"/>
  <c r="AV599" i="1"/>
  <c r="G599" i="1" s="1"/>
  <c r="AV347" i="1"/>
  <c r="G347" i="1" s="1"/>
  <c r="X431" i="1"/>
  <c r="AV231" i="1"/>
  <c r="G231" i="1" s="1"/>
  <c r="L351" i="1"/>
  <c r="L267" i="1"/>
  <c r="L451" i="1"/>
  <c r="AV415" i="1"/>
  <c r="G415" i="1" s="1"/>
  <c r="AV379" i="1"/>
  <c r="G379" i="1" s="1"/>
  <c r="AK351" i="1"/>
  <c r="X451" i="1"/>
  <c r="X467" i="1"/>
  <c r="X511" i="1"/>
  <c r="AK467" i="1"/>
  <c r="X383" i="1"/>
  <c r="X435" i="1"/>
  <c r="L559" i="1"/>
  <c r="L439" i="1"/>
  <c r="AK543" i="1"/>
  <c r="X543" i="1"/>
  <c r="L595" i="1"/>
  <c r="AV295" i="1"/>
  <c r="G295" i="1" s="1"/>
  <c r="AK435" i="1"/>
  <c r="AV219" i="1"/>
  <c r="G219" i="1" s="1"/>
  <c r="AV483" i="1"/>
  <c r="G483" i="1" s="1"/>
  <c r="X491" i="1"/>
  <c r="X315" i="1"/>
  <c r="AK571" i="1"/>
  <c r="L491" i="1"/>
  <c r="X539" i="1"/>
  <c r="L343" i="1"/>
  <c r="L539" i="1"/>
  <c r="AV283" i="1"/>
  <c r="G283" i="1" s="1"/>
  <c r="AV603" i="1"/>
  <c r="G603" i="1" s="1"/>
  <c r="L239" i="1"/>
  <c r="AK239" i="1"/>
  <c r="AK339" i="1"/>
  <c r="X339" i="1"/>
  <c r="L503" i="1"/>
  <c r="AV371" i="1"/>
  <c r="G371" i="1" s="1"/>
  <c r="AK343" i="1"/>
  <c r="X439" i="1"/>
  <c r="X571" i="1"/>
  <c r="AK223" i="1"/>
  <c r="AV435" i="1"/>
  <c r="G435" i="1" s="1"/>
  <c r="AV447" i="1"/>
  <c r="G447" i="1" s="1"/>
  <c r="L223" i="1"/>
  <c r="AK603" i="1"/>
  <c r="AV591" i="1"/>
  <c r="G591" i="1" s="1"/>
  <c r="AV235" i="1"/>
  <c r="G235" i="1" s="1"/>
  <c r="AV559" i="1"/>
  <c r="G559" i="1" s="1"/>
  <c r="X419" i="1"/>
  <c r="AK315" i="1"/>
  <c r="AK503" i="1"/>
  <c r="AV399" i="1"/>
  <c r="G399" i="1" s="1"/>
  <c r="AK523" i="1"/>
  <c r="AK403" i="1"/>
  <c r="X259" i="1"/>
  <c r="L259" i="1"/>
  <c r="X219" i="1"/>
  <c r="X603" i="1"/>
  <c r="L419" i="1"/>
  <c r="L563" i="1"/>
  <c r="AV467" i="1"/>
  <c r="G467" i="1" s="1"/>
  <c r="X355" i="1"/>
  <c r="X403" i="1"/>
  <c r="AV531" i="1"/>
  <c r="G531" i="1" s="1"/>
  <c r="X527" i="1"/>
  <c r="X523" i="1"/>
  <c r="AK563" i="1"/>
  <c r="L355" i="1"/>
  <c r="X319" i="1"/>
  <c r="L527" i="1"/>
  <c r="AV383" i="1"/>
  <c r="G383" i="1" s="1"/>
  <c r="AK323" i="1"/>
  <c r="AK475" i="1"/>
  <c r="X567" i="1"/>
  <c r="AV479" i="1"/>
  <c r="G479" i="1" s="1"/>
  <c r="AV327" i="1"/>
  <c r="G327" i="1" s="1"/>
  <c r="X323" i="1"/>
  <c r="I227" i="1"/>
  <c r="G229" i="2" s="1"/>
  <c r="AV339" i="1"/>
  <c r="G339" i="1" s="1"/>
  <c r="AV331" i="1"/>
  <c r="G331" i="1" s="1"/>
  <c r="AV391" i="1"/>
  <c r="G391" i="1" s="1"/>
  <c r="AV471" i="1"/>
  <c r="G471" i="1" s="1"/>
  <c r="X375" i="1"/>
  <c r="X555" i="1"/>
  <c r="AV363" i="1"/>
  <c r="G363" i="1" s="1"/>
  <c r="AV427" i="1"/>
  <c r="G427" i="1" s="1"/>
  <c r="AV431" i="1"/>
  <c r="G431" i="1" s="1"/>
  <c r="L575" i="1"/>
  <c r="X387" i="1"/>
  <c r="AK575" i="1"/>
  <c r="AV319" i="1"/>
  <c r="G319" i="1" s="1"/>
  <c r="X267" i="1"/>
  <c r="AV299" i="1"/>
  <c r="G299" i="1" s="1"/>
  <c r="AV527" i="1"/>
  <c r="G527" i="1" s="1"/>
  <c r="H267" i="1"/>
  <c r="AV463" i="1"/>
  <c r="G463" i="1" s="1"/>
  <c r="AV227" i="1"/>
  <c r="G227" i="1" s="1"/>
  <c r="AV403" i="1"/>
  <c r="G403" i="1" s="1"/>
  <c r="L387" i="1"/>
  <c r="L271" i="1"/>
  <c r="AK255" i="1"/>
  <c r="AV307" i="1"/>
  <c r="G307" i="1" s="1"/>
  <c r="L291" i="1"/>
  <c r="AV615" i="1"/>
  <c r="G615" i="1" s="1"/>
  <c r="AK291" i="1"/>
  <c r="AV279" i="1"/>
  <c r="G279" i="1" s="1"/>
  <c r="AK271" i="1"/>
  <c r="AK595" i="1"/>
  <c r="AV607" i="1"/>
  <c r="G607" i="1" s="1"/>
  <c r="AV335" i="1"/>
  <c r="G335" i="1" s="1"/>
  <c r="AK511" i="1"/>
  <c r="AK483" i="1"/>
  <c r="X255" i="1"/>
  <c r="AV459" i="1"/>
  <c r="G459" i="1" s="1"/>
  <c r="AV395" i="1"/>
  <c r="G395" i="1" s="1"/>
  <c r="X507" i="1"/>
  <c r="AV439" i="1"/>
  <c r="G439" i="1" s="1"/>
  <c r="AV571" i="1"/>
  <c r="G571" i="1" s="1"/>
  <c r="L359" i="1"/>
  <c r="L483" i="1"/>
  <c r="X311" i="1"/>
  <c r="AV507" i="1"/>
  <c r="G507" i="1" s="1"/>
  <c r="L607" i="1"/>
  <c r="AV555" i="1"/>
  <c r="G555" i="1" s="1"/>
  <c r="X459" i="1"/>
  <c r="AV567" i="1"/>
  <c r="G567" i="1" s="1"/>
  <c r="AV411" i="1"/>
  <c r="G411" i="1" s="1"/>
  <c r="AV539" i="1"/>
  <c r="G539" i="1" s="1"/>
  <c r="AV511" i="1"/>
  <c r="G511" i="1" s="1"/>
  <c r="AV583" i="1"/>
  <c r="G583" i="1" s="1"/>
  <c r="L459" i="1"/>
  <c r="AV619" i="1"/>
  <c r="G619" i="1" s="1"/>
  <c r="AV623" i="1"/>
  <c r="G623" i="1" s="1"/>
  <c r="L475" i="1"/>
  <c r="AV495" i="1"/>
  <c r="G495" i="1" s="1"/>
  <c r="AV315" i="1"/>
  <c r="G315" i="1" s="1"/>
  <c r="AH443" i="1"/>
  <c r="AV223" i="1"/>
  <c r="G223" i="1" s="1"/>
  <c r="AK319" i="1"/>
  <c r="AV239" i="1"/>
  <c r="G239" i="1" s="1"/>
  <c r="AV451" i="1"/>
  <c r="G451" i="1" s="1"/>
  <c r="AK607" i="1"/>
  <c r="AV251" i="1"/>
  <c r="G251" i="1" s="1"/>
  <c r="AV407" i="1"/>
  <c r="G407" i="1" s="1"/>
  <c r="AV243" i="1"/>
  <c r="G243" i="1" s="1"/>
  <c r="AV263" i="1"/>
  <c r="G263" i="1" s="1"/>
  <c r="AV547" i="1"/>
  <c r="G547" i="1" s="1"/>
  <c r="AH515" i="1"/>
  <c r="AV503" i="1"/>
  <c r="G503" i="1" s="1"/>
  <c r="AK375" i="1"/>
  <c r="AK359" i="1"/>
  <c r="AV351" i="1"/>
  <c r="G351" i="1" s="1"/>
  <c r="L311" i="1"/>
  <c r="AV287" i="1"/>
  <c r="G287" i="1" s="1"/>
  <c r="AV247" i="1"/>
  <c r="G247" i="1" s="1"/>
  <c r="AL227" i="1"/>
  <c r="L219" i="1"/>
  <c r="AK399" i="1"/>
  <c r="AL235" i="1"/>
  <c r="X235" i="1"/>
  <c r="X379" i="1"/>
  <c r="AK619" i="1"/>
  <c r="G620" i="2" s="1"/>
  <c r="L235" i="1"/>
  <c r="L379" i="1"/>
  <c r="L583" i="1"/>
  <c r="X619" i="1"/>
  <c r="AK583" i="1"/>
  <c r="I355" i="1"/>
  <c r="G357" i="2" s="1"/>
  <c r="AH355" i="1"/>
  <c r="L303" i="1"/>
  <c r="X303" i="1"/>
  <c r="AV355" i="1"/>
  <c r="G355" i="1" s="1"/>
  <c r="X251" i="1"/>
  <c r="L251" i="1"/>
  <c r="AH291" i="1"/>
  <c r="I291" i="1"/>
  <c r="G293" i="2" s="1"/>
  <c r="AV255" i="1"/>
  <c r="G255" i="1" s="1"/>
  <c r="AK283" i="1"/>
  <c r="I307" i="1"/>
  <c r="G309" i="2" s="1"/>
  <c r="AV515" i="1"/>
  <c r="G515" i="1" s="1"/>
  <c r="AH567" i="1"/>
  <c r="L411" i="1"/>
  <c r="X411" i="1"/>
  <c r="X495" i="1"/>
  <c r="L495" i="1"/>
  <c r="AV523" i="1"/>
  <c r="G523" i="1" s="1"/>
  <c r="AV551" i="1"/>
  <c r="G551" i="1" s="1"/>
  <c r="AV291" i="1"/>
  <c r="G291" i="1" s="1"/>
  <c r="AV323" i="1"/>
  <c r="G323" i="1" s="1"/>
  <c r="L335" i="1"/>
  <c r="X335" i="1"/>
  <c r="AK335" i="1"/>
  <c r="G336" i="2" s="1"/>
  <c r="AH255" i="1"/>
  <c r="I255" i="1"/>
  <c r="G257" i="2" s="1"/>
  <c r="X499" i="1"/>
  <c r="L499" i="1"/>
  <c r="I483" i="1"/>
  <c r="G485" i="2" s="1"/>
  <c r="AH483" i="1"/>
  <c r="X463" i="1"/>
  <c r="L463" i="1"/>
  <c r="I495" i="1"/>
  <c r="G497" i="2" s="1"/>
  <c r="AH495" i="1"/>
  <c r="AV587" i="1"/>
  <c r="G587" i="1" s="1"/>
  <c r="AV519" i="1"/>
  <c r="G519" i="1" s="1"/>
  <c r="AK555" i="1"/>
  <c r="X531" i="1"/>
  <c r="L531" i="1"/>
  <c r="L287" i="1"/>
  <c r="X287" i="1"/>
  <c r="I463" i="1"/>
  <c r="G465" i="2" s="1"/>
  <c r="AH463" i="1"/>
  <c r="AH491" i="1"/>
  <c r="I491" i="1"/>
  <c r="G493" i="2" s="1"/>
  <c r="AV303" i="1"/>
  <c r="G303" i="1" s="1"/>
  <c r="AV487" i="1"/>
  <c r="G487" i="1" s="1"/>
  <c r="X551" i="1"/>
  <c r="L551" i="1"/>
  <c r="I615" i="1"/>
  <c r="G617" i="2" s="1"/>
  <c r="AH615" i="1"/>
  <c r="AV423" i="1"/>
  <c r="G423" i="1" s="1"/>
  <c r="AH235" i="1"/>
  <c r="X283" i="1"/>
  <c r="AH283" i="1"/>
  <c r="AL443" i="1"/>
  <c r="X399" i="1"/>
  <c r="AV455" i="1"/>
  <c r="G455" i="1" s="1"/>
  <c r="AK551" i="1"/>
  <c r="AH459" i="1"/>
  <c r="I459" i="1"/>
  <c r="G461" i="2" s="1"/>
  <c r="AV375" i="1"/>
  <c r="G375" i="1" s="1"/>
  <c r="X407" i="1"/>
  <c r="L407" i="1"/>
  <c r="AH507" i="1"/>
  <c r="I507" i="1"/>
  <c r="G509" i="2" s="1"/>
  <c r="I575" i="1"/>
  <c r="G577" i="2" s="1"/>
  <c r="AH575" i="1"/>
  <c r="AH603" i="1"/>
  <c r="I603" i="1"/>
  <c r="G605" i="2" s="1"/>
  <c r="I523" i="1"/>
  <c r="G525" i="2" s="1"/>
  <c r="AH523" i="1"/>
  <c r="X395" i="1"/>
  <c r="AK395" i="1"/>
  <c r="L395" i="1"/>
  <c r="AV259" i="1"/>
  <c r="G259" i="1" s="1"/>
  <c r="AV311" i="1"/>
  <c r="G311" i="1" s="1"/>
  <c r="AH435" i="1"/>
  <c r="AV595" i="1"/>
  <c r="G595" i="1" s="1"/>
  <c r="AV499" i="1"/>
  <c r="G499" i="1" s="1"/>
  <c r="AV535" i="1"/>
  <c r="G535" i="1" s="1"/>
  <c r="AK507" i="1"/>
  <c r="G508" i="2" s="1"/>
  <c r="I595" i="1"/>
  <c r="G597" i="2" s="1"/>
  <c r="AH595" i="1"/>
  <c r="I619" i="1"/>
  <c r="G621" i="2" s="1"/>
  <c r="AH619" i="1"/>
  <c r="AK567" i="1"/>
  <c r="G568" i="2" s="1"/>
  <c r="L447" i="1"/>
  <c r="X447" i="1"/>
  <c r="AK447" i="1"/>
  <c r="I327" i="1"/>
  <c r="G329" i="2" s="1"/>
  <c r="AH327" i="1"/>
  <c r="AV419" i="1"/>
  <c r="G419" i="1" s="1"/>
  <c r="AV491" i="1"/>
  <c r="G491" i="1" s="1"/>
  <c r="L591" i="1"/>
  <c r="X591" i="1"/>
  <c r="AK591" i="1"/>
  <c r="H247" i="1"/>
  <c r="AL247" i="1"/>
  <c r="AV275" i="1"/>
  <c r="G275" i="1" s="1"/>
  <c r="I479" i="1"/>
  <c r="G481" i="2" s="1"/>
  <c r="AH479" i="1"/>
  <c r="AV367" i="1"/>
  <c r="G367" i="1" s="1"/>
  <c r="L599" i="1"/>
  <c r="X599" i="1"/>
  <c r="AV443" i="1"/>
  <c r="G443" i="1" s="1"/>
  <c r="AK487" i="1"/>
  <c r="AH571" i="1"/>
  <c r="I571" i="1"/>
  <c r="G573" i="2" s="1"/>
  <c r="I295" i="1"/>
  <c r="G297" i="2" s="1"/>
  <c r="AH295" i="1"/>
  <c r="I363" i="1"/>
  <c r="G365" i="2" s="1"/>
  <c r="AH363" i="1"/>
  <c r="X231" i="1"/>
  <c r="AK231" i="1"/>
  <c r="L231" i="1"/>
  <c r="L371" i="1"/>
  <c r="X371" i="1"/>
  <c r="AK371" i="1"/>
  <c r="L455" i="1"/>
  <c r="X455" i="1"/>
  <c r="AV359" i="1"/>
  <c r="G359" i="1" s="1"/>
  <c r="I511" i="1"/>
  <c r="G513" i="2" s="1"/>
  <c r="AH511" i="1"/>
  <c r="I391" i="1"/>
  <c r="G393" i="2" s="1"/>
  <c r="AH391" i="1"/>
  <c r="X423" i="1"/>
  <c r="L423" i="1"/>
  <c r="AK423" i="1"/>
  <c r="L479" i="1"/>
  <c r="X479" i="1"/>
  <c r="AK479" i="1"/>
  <c r="AL299" i="1"/>
  <c r="I371" i="1"/>
  <c r="G373" i="2" s="1"/>
  <c r="AH371" i="1"/>
  <c r="L427" i="1"/>
  <c r="X427" i="1"/>
  <c r="AV475" i="1"/>
  <c r="G475" i="1" s="1"/>
  <c r="AV543" i="1"/>
  <c r="G543" i="1" s="1"/>
  <c r="AH539" i="1"/>
  <c r="I539" i="1"/>
  <c r="G541" i="2" s="1"/>
  <c r="I611" i="1"/>
  <c r="G613" i="2" s="1"/>
  <c r="AH611" i="1"/>
  <c r="I447" i="1"/>
  <c r="G449" i="2" s="1"/>
  <c r="AH447" i="1"/>
  <c r="H615" i="1"/>
  <c r="L275" i="1"/>
  <c r="X275" i="1"/>
  <c r="L243" i="1"/>
  <c r="X243" i="1"/>
  <c r="X331" i="1"/>
  <c r="AK331" i="1"/>
  <c r="L331" i="1"/>
  <c r="X279" i="1"/>
  <c r="AK279" i="1"/>
  <c r="L279" i="1"/>
  <c r="I427" i="1"/>
  <c r="G429" i="2" s="1"/>
  <c r="AH427" i="1"/>
  <c r="L547" i="1"/>
  <c r="X547" i="1"/>
  <c r="AK547" i="1"/>
  <c r="AV611" i="1"/>
  <c r="G611" i="1" s="1"/>
  <c r="I579" i="1"/>
  <c r="G581" i="2" s="1"/>
  <c r="AH579" i="1"/>
  <c r="AH591" i="1"/>
  <c r="I591" i="1"/>
  <c r="G593" i="2" s="1"/>
  <c r="AV343" i="1"/>
  <c r="G343" i="1" s="1"/>
  <c r="I275" i="1"/>
  <c r="G277" i="2" s="1"/>
  <c r="AH275" i="1"/>
  <c r="AV271" i="1"/>
  <c r="G271" i="1" s="1"/>
  <c r="I243" i="1"/>
  <c r="G245" i="2" s="1"/>
  <c r="AH243" i="1"/>
  <c r="AH279" i="1"/>
  <c r="I279" i="1"/>
  <c r="G281" i="2" s="1"/>
  <c r="AH419" i="1"/>
  <c r="I419" i="1"/>
  <c r="G421" i="2" s="1"/>
  <c r="L487" i="1"/>
  <c r="X487" i="1"/>
  <c r="AV387" i="1"/>
  <c r="G387" i="1" s="1"/>
  <c r="AL243" i="1"/>
  <c r="AL515" i="1"/>
  <c r="I547" i="1"/>
  <c r="G549" i="2" s="1"/>
  <c r="AH547" i="1"/>
  <c r="AV575" i="1"/>
  <c r="G575" i="1" s="1"/>
  <c r="AH623" i="1"/>
  <c r="I623" i="1"/>
  <c r="G625" i="2" s="1"/>
  <c r="AK599" i="1"/>
  <c r="G600" i="2" s="1"/>
  <c r="X327" i="1"/>
  <c r="L327" i="1"/>
  <c r="X263" i="1"/>
  <c r="L263" i="1"/>
  <c r="AK263" i="1"/>
  <c r="H307" i="1"/>
  <c r="AL307" i="1"/>
  <c r="I339" i="1"/>
  <c r="G341" i="2" s="1"/>
  <c r="AH339" i="1"/>
  <c r="X347" i="1"/>
  <c r="AK347" i="1"/>
  <c r="L347" i="1"/>
  <c r="X295" i="1"/>
  <c r="L295" i="1"/>
  <c r="AK295" i="1"/>
  <c r="X391" i="1"/>
  <c r="L391" i="1"/>
  <c r="AL471" i="1"/>
  <c r="L363" i="1"/>
  <c r="X363" i="1"/>
  <c r="AL587" i="1"/>
  <c r="AH527" i="1"/>
  <c r="I527" i="1"/>
  <c r="G529" i="2" s="1"/>
  <c r="AH559" i="1"/>
  <c r="I559" i="1"/>
  <c r="G561" i="2" s="1"/>
  <c r="AK363" i="1"/>
  <c r="AL519" i="1"/>
  <c r="L579" i="1"/>
  <c r="AK579" i="1"/>
  <c r="X579" i="1"/>
  <c r="L611" i="1"/>
  <c r="AK611" i="1"/>
  <c r="X611" i="1"/>
  <c r="AL623" i="1" l="1"/>
  <c r="AL615" i="1"/>
  <c r="AL267" i="1"/>
  <c r="G624" i="2"/>
  <c r="H279" i="1"/>
  <c r="G280" i="2"/>
  <c r="H563" i="1"/>
  <c r="G564" i="2"/>
  <c r="H435" i="1"/>
  <c r="G436" i="2"/>
  <c r="H375" i="1"/>
  <c r="G376" i="2"/>
  <c r="H467" i="1"/>
  <c r="G468" i="2"/>
  <c r="H383" i="1"/>
  <c r="G384" i="2"/>
  <c r="H535" i="1"/>
  <c r="G536" i="2"/>
  <c r="H491" i="1"/>
  <c r="G492" i="2"/>
  <c r="H311" i="1"/>
  <c r="G312" i="2"/>
  <c r="H559" i="1"/>
  <c r="G560" i="2"/>
  <c r="H411" i="1"/>
  <c r="G412" i="2"/>
  <c r="H387" i="1"/>
  <c r="G388" i="2"/>
  <c r="H287" i="1"/>
  <c r="G288" i="2"/>
  <c r="H291" i="1"/>
  <c r="G292" i="2"/>
  <c r="H483" i="1"/>
  <c r="G484" i="2"/>
  <c r="H503" i="1"/>
  <c r="G504" i="2"/>
  <c r="H607" i="1"/>
  <c r="G608" i="2"/>
  <c r="H379" i="1"/>
  <c r="G380" i="2"/>
  <c r="H447" i="1"/>
  <c r="G448" i="2"/>
  <c r="H323" i="1"/>
  <c r="G324" i="2"/>
  <c r="H243" i="1"/>
  <c r="G244" i="2"/>
  <c r="H391" i="1"/>
  <c r="G392" i="2"/>
  <c r="AL459" i="1"/>
  <c r="H479" i="1"/>
  <c r="G480" i="2"/>
  <c r="AL535" i="1"/>
  <c r="H591" i="1"/>
  <c r="G592" i="2"/>
  <c r="H551" i="1"/>
  <c r="G552" i="2"/>
  <c r="AL491" i="1"/>
  <c r="H543" i="1"/>
  <c r="G544" i="2"/>
  <c r="H431" i="1"/>
  <c r="G432" i="2"/>
  <c r="H463" i="1"/>
  <c r="G464" i="2"/>
  <c r="H439" i="1"/>
  <c r="G440" i="2"/>
  <c r="H359" i="1"/>
  <c r="G360" i="2"/>
  <c r="H527" i="1"/>
  <c r="G528" i="2"/>
  <c r="H399" i="1"/>
  <c r="G400" i="2"/>
  <c r="H555" i="1"/>
  <c r="G556" i="2"/>
  <c r="H583" i="1"/>
  <c r="G584" i="2"/>
  <c r="H511" i="1"/>
  <c r="G512" i="2"/>
  <c r="H475" i="1"/>
  <c r="G476" i="2"/>
  <c r="H315" i="1"/>
  <c r="G316" i="2"/>
  <c r="H539" i="1"/>
  <c r="G540" i="2"/>
  <c r="H275" i="1"/>
  <c r="G276" i="2"/>
  <c r="H259" i="1"/>
  <c r="G260" i="2"/>
  <c r="H235" i="1"/>
  <c r="G236" i="2"/>
  <c r="H263" i="1"/>
  <c r="G264" i="2"/>
  <c r="H363" i="1"/>
  <c r="G364" i="2"/>
  <c r="H459" i="1"/>
  <c r="H395" i="1"/>
  <c r="G396" i="2"/>
  <c r="AL387" i="1"/>
  <c r="H319" i="1"/>
  <c r="G320" i="2"/>
  <c r="H595" i="1"/>
  <c r="G596" i="2"/>
  <c r="H255" i="1"/>
  <c r="G256" i="2"/>
  <c r="H403" i="1"/>
  <c r="G404" i="2"/>
  <c r="H351" i="1"/>
  <c r="G352" i="2"/>
  <c r="H495" i="1"/>
  <c r="G496" i="2"/>
  <c r="H455" i="1"/>
  <c r="G456" i="2"/>
  <c r="H219" i="1"/>
  <c r="G220" i="2"/>
  <c r="H355" i="1"/>
  <c r="G356" i="2"/>
  <c r="H303" i="1"/>
  <c r="G304" i="2"/>
  <c r="H327" i="1"/>
  <c r="G328" i="2"/>
  <c r="H575" i="1"/>
  <c r="G576" i="2"/>
  <c r="H579" i="1"/>
  <c r="G580" i="2"/>
  <c r="H295" i="1"/>
  <c r="G296" i="2"/>
  <c r="H371" i="1"/>
  <c r="G372" i="2"/>
  <c r="H339" i="1"/>
  <c r="G340" i="2"/>
  <c r="H427" i="1"/>
  <c r="G428" i="2"/>
  <c r="H331" i="1"/>
  <c r="G332" i="2"/>
  <c r="H223" i="1"/>
  <c r="G224" i="2"/>
  <c r="H239" i="1"/>
  <c r="G240" i="2"/>
  <c r="H571" i="1"/>
  <c r="G572" i="2"/>
  <c r="H407" i="1"/>
  <c r="G408" i="2"/>
  <c r="H611" i="1"/>
  <c r="G612" i="2"/>
  <c r="AL427" i="1"/>
  <c r="H347" i="1"/>
  <c r="G348" i="2"/>
  <c r="AL327" i="1"/>
  <c r="H231" i="1"/>
  <c r="G232" i="2"/>
  <c r="H283" i="1"/>
  <c r="G284" i="2"/>
  <c r="AL379" i="1"/>
  <c r="H271" i="1"/>
  <c r="G272" i="2"/>
  <c r="AL527" i="1"/>
  <c r="H343" i="1"/>
  <c r="G344" i="2"/>
  <c r="H251" i="1"/>
  <c r="G252" i="2"/>
  <c r="H419" i="1"/>
  <c r="G420" i="2"/>
  <c r="H547" i="1"/>
  <c r="G548" i="2"/>
  <c r="H423" i="1"/>
  <c r="G424" i="2"/>
  <c r="H487" i="1"/>
  <c r="G488" i="2"/>
  <c r="H523" i="1"/>
  <c r="G524" i="2"/>
  <c r="H603" i="1"/>
  <c r="G604" i="2"/>
  <c r="H367" i="1"/>
  <c r="G368" i="2"/>
  <c r="H415" i="1"/>
  <c r="G416" i="2"/>
  <c r="H451" i="1"/>
  <c r="G452" i="2"/>
  <c r="H531" i="1"/>
  <c r="G532" i="2"/>
  <c r="H499" i="1"/>
  <c r="G500" i="2"/>
  <c r="AL367" i="1"/>
  <c r="AL383" i="1"/>
  <c r="AL351" i="1"/>
  <c r="AL543" i="1"/>
  <c r="AL291" i="1"/>
  <c r="AL467" i="1"/>
  <c r="AL603" i="1"/>
  <c r="AL563" i="1"/>
  <c r="AL503" i="1"/>
  <c r="AL435" i="1"/>
  <c r="AL339" i="1"/>
  <c r="AL315" i="1"/>
  <c r="AL511" i="1"/>
  <c r="AL571" i="1"/>
  <c r="AL343" i="1"/>
  <c r="AL607" i="1"/>
  <c r="AL523" i="1"/>
  <c r="AL239" i="1"/>
  <c r="AL223" i="1"/>
  <c r="AL403" i="1"/>
  <c r="AL475" i="1"/>
  <c r="AL575" i="1"/>
  <c r="AL323" i="1"/>
  <c r="AL483" i="1"/>
  <c r="AL359" i="1"/>
  <c r="AL479" i="1"/>
  <c r="AL595" i="1"/>
  <c r="AL319" i="1"/>
  <c r="AL255" i="1"/>
  <c r="AL271" i="1"/>
  <c r="AL583" i="1"/>
  <c r="AL579" i="1"/>
  <c r="AL399" i="1"/>
  <c r="AL395" i="1"/>
  <c r="AL375" i="1"/>
  <c r="AL283" i="1"/>
  <c r="AL551" i="1"/>
  <c r="H619" i="1"/>
  <c r="AL619" i="1"/>
  <c r="AL347" i="1"/>
  <c r="H567" i="1"/>
  <c r="AL567" i="1"/>
  <c r="AL555" i="1"/>
  <c r="H335" i="1"/>
  <c r="AL335" i="1"/>
  <c r="AL279" i="1"/>
  <c r="AL231" i="1"/>
  <c r="H507" i="1"/>
  <c r="AL507" i="1"/>
  <c r="AL263" i="1"/>
  <c r="H599" i="1"/>
  <c r="AL599" i="1"/>
  <c r="AL371" i="1"/>
  <c r="AL295" i="1"/>
  <c r="AL423" i="1"/>
  <c r="AL447" i="1"/>
  <c r="AL331" i="1"/>
  <c r="AL487" i="1"/>
  <c r="AL611" i="1"/>
  <c r="AL547" i="1"/>
  <c r="AL591" i="1"/>
  <c r="AL363" i="1"/>
  <c r="B3" i="2" l="1"/>
  <c r="B6" i="2"/>
  <c r="B2" i="2"/>
  <c r="L6" i="2"/>
  <c r="L7" i="2" s="1"/>
  <c r="L8" i="2" s="1"/>
  <c r="L9" i="2" s="1"/>
  <c r="J6" i="2"/>
  <c r="J7" i="2" s="1"/>
  <c r="J8" i="2" s="1"/>
  <c r="J9" i="2" s="1"/>
  <c r="J2" i="2"/>
  <c r="J3" i="2" s="1"/>
  <c r="J4" i="2" s="1"/>
  <c r="J5" i="2" s="1"/>
  <c r="L2" i="2"/>
  <c r="L3" i="2" s="1"/>
  <c r="L4" i="2" s="1"/>
  <c r="L5" i="2" s="1"/>
  <c r="AG215" i="1"/>
  <c r="AJ215" i="1" s="1"/>
  <c r="G215" i="2" s="1"/>
  <c r="I211" i="1"/>
  <c r="G213" i="2" s="1"/>
  <c r="I207" i="1"/>
  <c r="G209" i="2" s="1"/>
  <c r="I203" i="1"/>
  <c r="G205" i="2" s="1"/>
  <c r="I199" i="1"/>
  <c r="G201" i="2" s="1"/>
  <c r="I195" i="1"/>
  <c r="G197" i="2" s="1"/>
  <c r="I191" i="1"/>
  <c r="G193" i="2" s="1"/>
  <c r="AG187" i="1"/>
  <c r="AJ187" i="1" s="1"/>
  <c r="G187" i="2" s="1"/>
  <c r="I183" i="1"/>
  <c r="G185" i="2" s="1"/>
  <c r="I179" i="1"/>
  <c r="G181" i="2" s="1"/>
  <c r="I175" i="1"/>
  <c r="G177" i="2" s="1"/>
  <c r="I171" i="1"/>
  <c r="G173" i="2" s="1"/>
  <c r="I167" i="1"/>
  <c r="G169" i="2" s="1"/>
  <c r="I163" i="1"/>
  <c r="G165" i="2" s="1"/>
  <c r="I159" i="1"/>
  <c r="G161" i="2" s="1"/>
  <c r="I155" i="1"/>
  <c r="G157" i="2" s="1"/>
  <c r="I151" i="1"/>
  <c r="G153" i="2" s="1"/>
  <c r="I147" i="1"/>
  <c r="G149" i="2" s="1"/>
  <c r="I143" i="1"/>
  <c r="G145" i="2" s="1"/>
  <c r="I139" i="1"/>
  <c r="G141" i="2" s="1"/>
  <c r="I135" i="1"/>
  <c r="G137" i="2" s="1"/>
  <c r="I131" i="1"/>
  <c r="G133" i="2" s="1"/>
  <c r="I127" i="1"/>
  <c r="G129" i="2" s="1"/>
  <c r="I123" i="1"/>
  <c r="G125" i="2" s="1"/>
  <c r="I119" i="1"/>
  <c r="G121" i="2" s="1"/>
  <c r="I115" i="1"/>
  <c r="G117" i="2" s="1"/>
  <c r="I111" i="1"/>
  <c r="G113" i="2" s="1"/>
  <c r="I107" i="1"/>
  <c r="G109" i="2" s="1"/>
  <c r="I103" i="1"/>
  <c r="G105" i="2" s="1"/>
  <c r="I99" i="1"/>
  <c r="G101" i="2" s="1"/>
  <c r="I95" i="1"/>
  <c r="G97" i="2" s="1"/>
  <c r="I91" i="1"/>
  <c r="G93" i="2" s="1"/>
  <c r="I87" i="1"/>
  <c r="G89" i="2" s="1"/>
  <c r="I83" i="1"/>
  <c r="G85" i="2" s="1"/>
  <c r="I79" i="1"/>
  <c r="G81" i="2" s="1"/>
  <c r="I75" i="1"/>
  <c r="G77" i="2" s="1"/>
  <c r="I71" i="1"/>
  <c r="G73" i="2" s="1"/>
  <c r="I67" i="1"/>
  <c r="G69" i="2" s="1"/>
  <c r="I63" i="1"/>
  <c r="G65" i="2" s="1"/>
  <c r="I59" i="1"/>
  <c r="G61" i="2" s="1"/>
  <c r="I55" i="1"/>
  <c r="G57" i="2" s="1"/>
  <c r="I51" i="1"/>
  <c r="G53" i="2" s="1"/>
  <c r="I47" i="1"/>
  <c r="G49" i="2" s="1"/>
  <c r="I43" i="1"/>
  <c r="G45" i="2" s="1"/>
  <c r="I39" i="1"/>
  <c r="G41" i="2" s="1"/>
  <c r="I31" i="1"/>
  <c r="G33" i="2" s="1"/>
  <c r="I27" i="1"/>
  <c r="G29" i="2" s="1"/>
  <c r="I23" i="1"/>
  <c r="G25" i="2" s="1"/>
  <c r="I19" i="1"/>
  <c r="G21" i="2" s="1"/>
  <c r="I15" i="1"/>
  <c r="G17" i="2" s="1"/>
  <c r="I11" i="1"/>
  <c r="G13" i="2" s="1"/>
  <c r="I7" i="1"/>
  <c r="G9" i="2" s="1"/>
  <c r="S171" i="1"/>
  <c r="E170" i="2" s="1"/>
  <c r="E171" i="2" s="1"/>
  <c r="E172" i="2" s="1"/>
  <c r="E173" i="2" s="1"/>
  <c r="Z171" i="1"/>
  <c r="AF171" i="1"/>
  <c r="AI171" i="1" s="1"/>
  <c r="G170" i="2" s="1"/>
  <c r="AN171" i="1"/>
  <c r="AO171" i="1"/>
  <c r="AP171" i="1"/>
  <c r="AR171" i="1"/>
  <c r="AT171" i="1" s="1"/>
  <c r="S175" i="1"/>
  <c r="E174" i="2" s="1"/>
  <c r="E175" i="2" s="1"/>
  <c r="E176" i="2" s="1"/>
  <c r="E177" i="2" s="1"/>
  <c r="Z175" i="1"/>
  <c r="AF175" i="1"/>
  <c r="AI175" i="1" s="1"/>
  <c r="G174" i="2" s="1"/>
  <c r="AN175" i="1"/>
  <c r="AO175" i="1"/>
  <c r="AP175" i="1"/>
  <c r="AR175" i="1"/>
  <c r="AS175" i="1" s="1"/>
  <c r="S179" i="1"/>
  <c r="E178" i="2" s="1"/>
  <c r="E179" i="2" s="1"/>
  <c r="E180" i="2" s="1"/>
  <c r="E181" i="2" s="1"/>
  <c r="Z179" i="1"/>
  <c r="AF179" i="1"/>
  <c r="AI179" i="1" s="1"/>
  <c r="G178" i="2" s="1"/>
  <c r="AN179" i="1"/>
  <c r="AO179" i="1"/>
  <c r="AP179" i="1"/>
  <c r="AR179" i="1"/>
  <c r="S183" i="1"/>
  <c r="E182" i="2" s="1"/>
  <c r="E183" i="2" s="1"/>
  <c r="E184" i="2" s="1"/>
  <c r="E185" i="2" s="1"/>
  <c r="Z183" i="1"/>
  <c r="AF183" i="1"/>
  <c r="AI183" i="1" s="1"/>
  <c r="G182" i="2" s="1"/>
  <c r="AN183" i="1"/>
  <c r="AO183" i="1"/>
  <c r="AP183" i="1"/>
  <c r="AR183" i="1"/>
  <c r="S187" i="1"/>
  <c r="E186" i="2" s="1"/>
  <c r="E187" i="2" s="1"/>
  <c r="E188" i="2" s="1"/>
  <c r="E189" i="2" s="1"/>
  <c r="Z187" i="1"/>
  <c r="AF187" i="1"/>
  <c r="AI187" i="1" s="1"/>
  <c r="G186" i="2" s="1"/>
  <c r="AN187" i="1"/>
  <c r="AO187" i="1"/>
  <c r="AP187" i="1"/>
  <c r="AR187" i="1"/>
  <c r="AU187" i="1" s="1"/>
  <c r="S191" i="1"/>
  <c r="E190" i="2" s="1"/>
  <c r="E191" i="2" s="1"/>
  <c r="E192" i="2" s="1"/>
  <c r="E193" i="2" s="1"/>
  <c r="Z191" i="1"/>
  <c r="AF191" i="1"/>
  <c r="AI191" i="1" s="1"/>
  <c r="G190" i="2" s="1"/>
  <c r="AN191" i="1"/>
  <c r="AO191" i="1"/>
  <c r="AP191" i="1"/>
  <c r="AR191" i="1"/>
  <c r="AU191" i="1" s="1"/>
  <c r="S195" i="1"/>
  <c r="E194" i="2" s="1"/>
  <c r="E195" i="2" s="1"/>
  <c r="E196" i="2" s="1"/>
  <c r="E197" i="2" s="1"/>
  <c r="Z195" i="1"/>
  <c r="AF195" i="1"/>
  <c r="AI195" i="1" s="1"/>
  <c r="G194" i="2" s="1"/>
  <c r="AN195" i="1"/>
  <c r="AO195" i="1"/>
  <c r="AP195" i="1"/>
  <c r="AR195" i="1"/>
  <c r="AT195" i="1" s="1"/>
  <c r="S199" i="1"/>
  <c r="E198" i="2" s="1"/>
  <c r="E199" i="2" s="1"/>
  <c r="E200" i="2" s="1"/>
  <c r="E201" i="2" s="1"/>
  <c r="Z199" i="1"/>
  <c r="AF199" i="1"/>
  <c r="AI199" i="1" s="1"/>
  <c r="G198" i="2" s="1"/>
  <c r="AN199" i="1"/>
  <c r="AO199" i="1"/>
  <c r="AP199" i="1"/>
  <c r="AR199" i="1"/>
  <c r="AS199" i="1" s="1"/>
  <c r="S203" i="1"/>
  <c r="E202" i="2" s="1"/>
  <c r="E203" i="2" s="1"/>
  <c r="E204" i="2" s="1"/>
  <c r="E205" i="2" s="1"/>
  <c r="Z203" i="1"/>
  <c r="AF203" i="1"/>
  <c r="AI203" i="1" s="1"/>
  <c r="G202" i="2" s="1"/>
  <c r="AN203" i="1"/>
  <c r="AO203" i="1"/>
  <c r="AP203" i="1"/>
  <c r="AR203" i="1"/>
  <c r="AS203" i="1" s="1"/>
  <c r="S207" i="1"/>
  <c r="E206" i="2" s="1"/>
  <c r="E207" i="2" s="1"/>
  <c r="E208" i="2" s="1"/>
  <c r="E209" i="2" s="1"/>
  <c r="Z207" i="1"/>
  <c r="AF207" i="1"/>
  <c r="AI207" i="1" s="1"/>
  <c r="G206" i="2" s="1"/>
  <c r="AN207" i="1"/>
  <c r="AO207" i="1"/>
  <c r="AP207" i="1"/>
  <c r="AR207" i="1"/>
  <c r="AT207" i="1" s="1"/>
  <c r="S211" i="1"/>
  <c r="E210" i="2" s="1"/>
  <c r="E211" i="2" s="1"/>
  <c r="E212" i="2" s="1"/>
  <c r="E213" i="2" s="1"/>
  <c r="Z211" i="1"/>
  <c r="AF211" i="1"/>
  <c r="AI211" i="1" s="1"/>
  <c r="G210" i="2" s="1"/>
  <c r="AN211" i="1"/>
  <c r="AO211" i="1"/>
  <c r="AP211" i="1"/>
  <c r="AR211" i="1"/>
  <c r="AT211" i="1" s="1"/>
  <c r="S215" i="1"/>
  <c r="E214" i="2" s="1"/>
  <c r="E215" i="2" s="1"/>
  <c r="E216" i="2" s="1"/>
  <c r="E217" i="2" s="1"/>
  <c r="Z215" i="1"/>
  <c r="AF215" i="1"/>
  <c r="AI215" i="1" s="1"/>
  <c r="G214" i="2" s="1"/>
  <c r="AN215" i="1"/>
  <c r="AO215" i="1"/>
  <c r="AP215" i="1"/>
  <c r="AR215" i="1"/>
  <c r="AS215" i="1" s="1"/>
  <c r="S167" i="1"/>
  <c r="E166" i="2" s="1"/>
  <c r="E167" i="2" s="1"/>
  <c r="E168" i="2" s="1"/>
  <c r="E169" i="2" s="1"/>
  <c r="S163" i="1"/>
  <c r="E162" i="2" s="1"/>
  <c r="E163" i="2" s="1"/>
  <c r="E164" i="2" s="1"/>
  <c r="E165" i="2" s="1"/>
  <c r="S159" i="1"/>
  <c r="E158" i="2" s="1"/>
  <c r="E159" i="2" s="1"/>
  <c r="E160" i="2" s="1"/>
  <c r="E161" i="2" s="1"/>
  <c r="S155" i="1"/>
  <c r="E154" i="2" s="1"/>
  <c r="E155" i="2" s="1"/>
  <c r="E156" i="2" s="1"/>
  <c r="E157" i="2" s="1"/>
  <c r="S151" i="1"/>
  <c r="E150" i="2" s="1"/>
  <c r="E151" i="2" s="1"/>
  <c r="E152" i="2" s="1"/>
  <c r="E153" i="2" s="1"/>
  <c r="S147" i="1"/>
  <c r="E146" i="2" s="1"/>
  <c r="E147" i="2" s="1"/>
  <c r="E148" i="2" s="1"/>
  <c r="E149" i="2" s="1"/>
  <c r="S143" i="1"/>
  <c r="E142" i="2" s="1"/>
  <c r="E143" i="2" s="1"/>
  <c r="E144" i="2" s="1"/>
  <c r="E145" i="2" s="1"/>
  <c r="S139" i="1"/>
  <c r="E138" i="2" s="1"/>
  <c r="E139" i="2" s="1"/>
  <c r="E140" i="2" s="1"/>
  <c r="E141" i="2" s="1"/>
  <c r="S135" i="1"/>
  <c r="E134" i="2" s="1"/>
  <c r="E135" i="2" s="1"/>
  <c r="E136" i="2" s="1"/>
  <c r="E137" i="2" s="1"/>
  <c r="S131" i="1"/>
  <c r="E130" i="2" s="1"/>
  <c r="E131" i="2" s="1"/>
  <c r="E132" i="2" s="1"/>
  <c r="E133" i="2" s="1"/>
  <c r="S127" i="1"/>
  <c r="E126" i="2" s="1"/>
  <c r="E127" i="2" s="1"/>
  <c r="E128" i="2" s="1"/>
  <c r="E129" i="2" s="1"/>
  <c r="S123" i="1"/>
  <c r="E122" i="2" s="1"/>
  <c r="E123" i="2" s="1"/>
  <c r="E124" i="2" s="1"/>
  <c r="E125" i="2" s="1"/>
  <c r="S119" i="1"/>
  <c r="E118" i="2" s="1"/>
  <c r="E119" i="2" s="1"/>
  <c r="E120" i="2" s="1"/>
  <c r="E121" i="2" s="1"/>
  <c r="S115" i="1"/>
  <c r="E114" i="2" s="1"/>
  <c r="E115" i="2" s="1"/>
  <c r="E116" i="2" s="1"/>
  <c r="E117" i="2" s="1"/>
  <c r="S111" i="1"/>
  <c r="E110" i="2" s="1"/>
  <c r="E111" i="2" s="1"/>
  <c r="E112" i="2" s="1"/>
  <c r="E113" i="2" s="1"/>
  <c r="S107" i="1"/>
  <c r="E106" i="2" s="1"/>
  <c r="E107" i="2" s="1"/>
  <c r="E108" i="2" s="1"/>
  <c r="E109" i="2" s="1"/>
  <c r="S103" i="1"/>
  <c r="E102" i="2" s="1"/>
  <c r="E103" i="2" s="1"/>
  <c r="E104" i="2" s="1"/>
  <c r="E105" i="2" s="1"/>
  <c r="S99" i="1"/>
  <c r="E98" i="2" s="1"/>
  <c r="E99" i="2" s="1"/>
  <c r="E100" i="2" s="1"/>
  <c r="E101" i="2" s="1"/>
  <c r="S95" i="1"/>
  <c r="E94" i="2" s="1"/>
  <c r="E95" i="2" s="1"/>
  <c r="E96" i="2" s="1"/>
  <c r="E97" i="2" s="1"/>
  <c r="S91" i="1"/>
  <c r="E90" i="2" s="1"/>
  <c r="E91" i="2" s="1"/>
  <c r="E92" i="2" s="1"/>
  <c r="E93" i="2" s="1"/>
  <c r="S87" i="1"/>
  <c r="E86" i="2" s="1"/>
  <c r="E87" i="2" s="1"/>
  <c r="E88" i="2" s="1"/>
  <c r="E89" i="2" s="1"/>
  <c r="S83" i="1"/>
  <c r="E82" i="2" s="1"/>
  <c r="E83" i="2" s="1"/>
  <c r="E84" i="2" s="1"/>
  <c r="E85" i="2" s="1"/>
  <c r="S79" i="1"/>
  <c r="E78" i="2" s="1"/>
  <c r="E79" i="2" s="1"/>
  <c r="E80" i="2" s="1"/>
  <c r="E81" i="2" s="1"/>
  <c r="S75" i="1"/>
  <c r="E74" i="2" s="1"/>
  <c r="E75" i="2" s="1"/>
  <c r="E76" i="2" s="1"/>
  <c r="E77" i="2" s="1"/>
  <c r="S71" i="1"/>
  <c r="E70" i="2" s="1"/>
  <c r="E71" i="2" s="1"/>
  <c r="E72" i="2" s="1"/>
  <c r="E73" i="2" s="1"/>
  <c r="S67" i="1"/>
  <c r="E66" i="2" s="1"/>
  <c r="E67" i="2" s="1"/>
  <c r="E68" i="2" s="1"/>
  <c r="E69" i="2" s="1"/>
  <c r="S63" i="1"/>
  <c r="E62" i="2" s="1"/>
  <c r="E63" i="2" s="1"/>
  <c r="E64" i="2" s="1"/>
  <c r="E65" i="2" s="1"/>
  <c r="S59" i="1"/>
  <c r="E58" i="2" s="1"/>
  <c r="E59" i="2" s="1"/>
  <c r="E60" i="2" s="1"/>
  <c r="E61" i="2" s="1"/>
  <c r="S55" i="1"/>
  <c r="E54" i="2" s="1"/>
  <c r="E55" i="2" s="1"/>
  <c r="E56" i="2" s="1"/>
  <c r="E57" i="2" s="1"/>
  <c r="S51" i="1"/>
  <c r="E50" i="2" s="1"/>
  <c r="E51" i="2" s="1"/>
  <c r="E52" i="2" s="1"/>
  <c r="E53" i="2" s="1"/>
  <c r="S47" i="1"/>
  <c r="E46" i="2" s="1"/>
  <c r="E47" i="2" s="1"/>
  <c r="E48" i="2" s="1"/>
  <c r="E49" i="2" s="1"/>
  <c r="S43" i="1"/>
  <c r="E42" i="2" s="1"/>
  <c r="E43" i="2" s="1"/>
  <c r="E44" i="2" s="1"/>
  <c r="E45" i="2" s="1"/>
  <c r="S39" i="1"/>
  <c r="E38" i="2" s="1"/>
  <c r="E39" i="2" s="1"/>
  <c r="E40" i="2" s="1"/>
  <c r="E41" i="2" s="1"/>
  <c r="S35" i="1"/>
  <c r="E34" i="2" s="1"/>
  <c r="E35" i="2" s="1"/>
  <c r="E36" i="2" s="1"/>
  <c r="E37" i="2" s="1"/>
  <c r="S31" i="1"/>
  <c r="E30" i="2" s="1"/>
  <c r="E31" i="2" s="1"/>
  <c r="E32" i="2" s="1"/>
  <c r="E33" i="2" s="1"/>
  <c r="S27" i="1"/>
  <c r="E26" i="2" s="1"/>
  <c r="E27" i="2" s="1"/>
  <c r="E28" i="2" s="1"/>
  <c r="E29" i="2" s="1"/>
  <c r="S23" i="1"/>
  <c r="E22" i="2" s="1"/>
  <c r="E23" i="2" s="1"/>
  <c r="E24" i="2" s="1"/>
  <c r="E25" i="2" s="1"/>
  <c r="S19" i="1"/>
  <c r="E18" i="2" s="1"/>
  <c r="E19" i="2" s="1"/>
  <c r="E20" i="2" s="1"/>
  <c r="E21" i="2" s="1"/>
  <c r="S15" i="1"/>
  <c r="E14" i="2" s="1"/>
  <c r="E15" i="2" s="1"/>
  <c r="E16" i="2" s="1"/>
  <c r="E17" i="2" s="1"/>
  <c r="S11" i="1"/>
  <c r="E10" i="2" s="1"/>
  <c r="E11" i="2" s="1"/>
  <c r="E12" i="2" s="1"/>
  <c r="E13" i="2" s="1"/>
  <c r="S7" i="1"/>
  <c r="E6" i="2" s="1"/>
  <c r="E7" i="2" s="1"/>
  <c r="E8" i="2" s="1"/>
  <c r="E9" i="2" s="1"/>
  <c r="S3" i="1"/>
  <c r="E2" i="2" s="1"/>
  <c r="W175" i="1" l="1"/>
  <c r="AG203" i="1"/>
  <c r="AJ203" i="1" s="1"/>
  <c r="G203" i="2" s="1"/>
  <c r="W171" i="1"/>
  <c r="L187" i="1"/>
  <c r="AQ195" i="1"/>
  <c r="E195" i="1" s="1"/>
  <c r="AU215" i="1"/>
  <c r="AU199" i="1"/>
  <c r="AT199" i="1"/>
  <c r="AQ191" i="1"/>
  <c r="E191" i="1" s="1"/>
  <c r="AS171" i="1"/>
  <c r="AT215" i="1"/>
  <c r="AU207" i="1"/>
  <c r="W207" i="1"/>
  <c r="W211" i="1"/>
  <c r="AG179" i="1"/>
  <c r="AJ179" i="1" s="1"/>
  <c r="G179" i="2" s="1"/>
  <c r="AG175" i="1"/>
  <c r="AJ175" i="1" s="1"/>
  <c r="G175" i="2" s="1"/>
  <c r="AS179" i="1"/>
  <c r="AT179" i="1"/>
  <c r="AU179" i="1"/>
  <c r="AG207" i="1"/>
  <c r="AJ207" i="1" s="1"/>
  <c r="G207" i="2" s="1"/>
  <c r="AG171" i="1"/>
  <c r="AJ171" i="1" s="1"/>
  <c r="G171" i="2" s="1"/>
  <c r="AH195" i="1"/>
  <c r="X187" i="1"/>
  <c r="AS211" i="1"/>
  <c r="AU211" i="1"/>
  <c r="L215" i="1"/>
  <c r="X215" i="1"/>
  <c r="AQ179" i="1"/>
  <c r="E179" i="1" s="1"/>
  <c r="AS195" i="1"/>
  <c r="AU195" i="1"/>
  <c r="AH183" i="1"/>
  <c r="AG183" i="1"/>
  <c r="AJ183" i="1" s="1"/>
  <c r="G183" i="2" s="1"/>
  <c r="W179" i="1"/>
  <c r="AQ175" i="1"/>
  <c r="E175" i="1" s="1"/>
  <c r="AG191" i="1"/>
  <c r="AJ191" i="1" s="1"/>
  <c r="G191" i="2" s="1"/>
  <c r="AQ187" i="1"/>
  <c r="E187" i="1" s="1"/>
  <c r="AQ207" i="1"/>
  <c r="E207" i="1" s="1"/>
  <c r="AS183" i="1"/>
  <c r="AT183" i="1"/>
  <c r="AU183" i="1"/>
  <c r="AQ211" i="1"/>
  <c r="E211" i="1" s="1"/>
  <c r="AT175" i="1"/>
  <c r="AU175" i="1"/>
  <c r="AH171" i="1"/>
  <c r="AG199" i="1"/>
  <c r="AJ199" i="1" s="1"/>
  <c r="G199" i="2" s="1"/>
  <c r="AQ215" i="1"/>
  <c r="E215" i="1" s="1"/>
  <c r="AH203" i="1"/>
  <c r="W191" i="1"/>
  <c r="AQ183" i="1"/>
  <c r="E183" i="1" s="1"/>
  <c r="W215" i="1"/>
  <c r="AK215" i="1"/>
  <c r="G216" i="2" s="1"/>
  <c r="AT203" i="1"/>
  <c r="AU203" i="1"/>
  <c r="W187" i="1"/>
  <c r="AK187" i="1"/>
  <c r="G188" i="2" s="1"/>
  <c r="W195" i="1"/>
  <c r="AS191" i="1"/>
  <c r="AT191" i="1"/>
  <c r="AS207" i="1"/>
  <c r="AQ199" i="1"/>
  <c r="E199" i="1" s="1"/>
  <c r="AG211" i="1"/>
  <c r="AJ211" i="1" s="1"/>
  <c r="G211" i="2" s="1"/>
  <c r="W203" i="1"/>
  <c r="W199" i="1"/>
  <c r="AQ171" i="1"/>
  <c r="E171" i="1" s="1"/>
  <c r="AQ203" i="1"/>
  <c r="E203" i="1" s="1"/>
  <c r="AG195" i="1"/>
  <c r="AJ195" i="1" s="1"/>
  <c r="G195" i="2" s="1"/>
  <c r="AT187" i="1"/>
  <c r="AS187" i="1"/>
  <c r="W183" i="1"/>
  <c r="AU171" i="1"/>
  <c r="B4" i="2"/>
  <c r="B5" i="2" s="1"/>
  <c r="A6" i="2"/>
  <c r="M6" i="2"/>
  <c r="M7" i="2" s="1"/>
  <c r="M8" i="2" s="1"/>
  <c r="M9" i="2" s="1"/>
  <c r="A7" i="2"/>
  <c r="A8" i="2"/>
  <c r="A9" i="2"/>
  <c r="A10" i="2" s="1"/>
  <c r="A14" i="2" s="1"/>
  <c r="AF167" i="1"/>
  <c r="AI167" i="1" s="1"/>
  <c r="G166" i="2" s="1"/>
  <c r="AF163" i="1"/>
  <c r="AI163" i="1" s="1"/>
  <c r="G162" i="2" s="1"/>
  <c r="AF159" i="1"/>
  <c r="AI159" i="1" s="1"/>
  <c r="G158" i="2" s="1"/>
  <c r="AF155" i="1"/>
  <c r="AI155" i="1" s="1"/>
  <c r="G154" i="2" s="1"/>
  <c r="AF151" i="1"/>
  <c r="AI151" i="1" s="1"/>
  <c r="G150" i="2" s="1"/>
  <c r="AF147" i="1"/>
  <c r="AI147" i="1" s="1"/>
  <c r="G146" i="2" s="1"/>
  <c r="AF143" i="1"/>
  <c r="AI143" i="1" s="1"/>
  <c r="G142" i="2" s="1"/>
  <c r="AF139" i="1"/>
  <c r="AI139" i="1" s="1"/>
  <c r="G138" i="2" s="1"/>
  <c r="AF135" i="1"/>
  <c r="AI135" i="1" s="1"/>
  <c r="G134" i="2" s="1"/>
  <c r="AF131" i="1"/>
  <c r="AI131" i="1" s="1"/>
  <c r="G130" i="2" s="1"/>
  <c r="AF127" i="1"/>
  <c r="AI127" i="1" s="1"/>
  <c r="G126" i="2" s="1"/>
  <c r="AF123" i="1"/>
  <c r="AI123" i="1" s="1"/>
  <c r="G122" i="2" s="1"/>
  <c r="AF119" i="1"/>
  <c r="AI119" i="1" s="1"/>
  <c r="G118" i="2" s="1"/>
  <c r="AF115" i="1"/>
  <c r="AI115" i="1" s="1"/>
  <c r="G114" i="2" s="1"/>
  <c r="AF111" i="1"/>
  <c r="AI111" i="1" s="1"/>
  <c r="G110" i="2" s="1"/>
  <c r="AF107" i="1"/>
  <c r="AI107" i="1" s="1"/>
  <c r="G106" i="2" s="1"/>
  <c r="AF103" i="1"/>
  <c r="AI103" i="1" s="1"/>
  <c r="G102" i="2" s="1"/>
  <c r="AF99" i="1"/>
  <c r="AI99" i="1" s="1"/>
  <c r="G98" i="2" s="1"/>
  <c r="AF95" i="1"/>
  <c r="AI95" i="1" s="1"/>
  <c r="G94" i="2" s="1"/>
  <c r="AF91" i="1"/>
  <c r="AI91" i="1" s="1"/>
  <c r="G90" i="2" s="1"/>
  <c r="AF87" i="1"/>
  <c r="AI87" i="1" s="1"/>
  <c r="G86" i="2" s="1"/>
  <c r="AF83" i="1"/>
  <c r="AI83" i="1" s="1"/>
  <c r="G82" i="2" s="1"/>
  <c r="AF79" i="1"/>
  <c r="AI79" i="1" s="1"/>
  <c r="G78" i="2" s="1"/>
  <c r="AF75" i="1"/>
  <c r="AI75" i="1" s="1"/>
  <c r="G74" i="2" s="1"/>
  <c r="AF71" i="1"/>
  <c r="AI71" i="1" s="1"/>
  <c r="G70" i="2" s="1"/>
  <c r="AF67" i="1"/>
  <c r="AI67" i="1" s="1"/>
  <c r="G66" i="2" s="1"/>
  <c r="AF63" i="1"/>
  <c r="AI63" i="1" s="1"/>
  <c r="G62" i="2" s="1"/>
  <c r="AF59" i="1"/>
  <c r="AI59" i="1" s="1"/>
  <c r="G58" i="2" s="1"/>
  <c r="AF55" i="1"/>
  <c r="AI55" i="1" s="1"/>
  <c r="G54" i="2" s="1"/>
  <c r="AF51" i="1"/>
  <c r="AI51" i="1" s="1"/>
  <c r="G50" i="2" s="1"/>
  <c r="AF47" i="1"/>
  <c r="AI47" i="1" s="1"/>
  <c r="G46" i="2" s="1"/>
  <c r="AF43" i="1"/>
  <c r="AI43" i="1" s="1"/>
  <c r="G42" i="2" s="1"/>
  <c r="AF39" i="1"/>
  <c r="AI39" i="1" s="1"/>
  <c r="G38" i="2" s="1"/>
  <c r="AF35" i="1"/>
  <c r="AI35" i="1" s="1"/>
  <c r="G34" i="2" s="1"/>
  <c r="AF31" i="1"/>
  <c r="AI31" i="1" s="1"/>
  <c r="G30" i="2" s="1"/>
  <c r="AF27" i="1"/>
  <c r="AI27" i="1" s="1"/>
  <c r="G26" i="2" s="1"/>
  <c r="AF23" i="1"/>
  <c r="AI23" i="1" s="1"/>
  <c r="G22" i="2" s="1"/>
  <c r="AF19" i="1"/>
  <c r="AI19" i="1" s="1"/>
  <c r="G18" i="2" s="1"/>
  <c r="AF15" i="1"/>
  <c r="AI15" i="1" s="1"/>
  <c r="G14" i="2" s="1"/>
  <c r="AF11" i="1"/>
  <c r="AI11" i="1" s="1"/>
  <c r="G10" i="2" s="1"/>
  <c r="AF7" i="1"/>
  <c r="AI7" i="1" s="1"/>
  <c r="G6" i="2" s="1"/>
  <c r="AH187" i="1" l="1"/>
  <c r="I187" i="1"/>
  <c r="G189" i="2" s="1"/>
  <c r="AH215" i="1"/>
  <c r="I215" i="1"/>
  <c r="G217" i="2" s="1"/>
  <c r="AK203" i="1"/>
  <c r="G204" i="2" s="1"/>
  <c r="X203" i="1"/>
  <c r="L203" i="1"/>
  <c r="AV171" i="1"/>
  <c r="G171" i="1" s="1"/>
  <c r="AK179" i="1"/>
  <c r="G180" i="2" s="1"/>
  <c r="AL215" i="1"/>
  <c r="L171" i="1"/>
  <c r="AV199" i="1"/>
  <c r="G199" i="1" s="1"/>
  <c r="X175" i="1"/>
  <c r="L175" i="1"/>
  <c r="AK175" i="1"/>
  <c r="G176" i="2" s="1"/>
  <c r="AK171" i="1"/>
  <c r="G172" i="2" s="1"/>
  <c r="AV215" i="1"/>
  <c r="G215" i="1" s="1"/>
  <c r="AK191" i="1"/>
  <c r="G192" i="2" s="1"/>
  <c r="AV207" i="1"/>
  <c r="G207" i="1" s="1"/>
  <c r="AV195" i="1"/>
  <c r="G195" i="1" s="1"/>
  <c r="L191" i="1"/>
  <c r="X171" i="1"/>
  <c r="AV183" i="1"/>
  <c r="G183" i="1" s="1"/>
  <c r="AV203" i="1"/>
  <c r="G203" i="1" s="1"/>
  <c r="AV211" i="1"/>
  <c r="G211" i="1" s="1"/>
  <c r="X191" i="1"/>
  <c r="X207" i="1"/>
  <c r="AH207" i="1"/>
  <c r="AV179" i="1"/>
  <c r="G179" i="1" s="1"/>
  <c r="L207" i="1"/>
  <c r="AV175" i="1"/>
  <c r="G175" i="1" s="1"/>
  <c r="AH191" i="1"/>
  <c r="AH175" i="1"/>
  <c r="AK207" i="1"/>
  <c r="G208" i="2" s="1"/>
  <c r="AH179" i="1"/>
  <c r="L183" i="1"/>
  <c r="X183" i="1"/>
  <c r="AK183" i="1"/>
  <c r="G184" i="2" s="1"/>
  <c r="X179" i="1"/>
  <c r="L179" i="1"/>
  <c r="AH211" i="1"/>
  <c r="X195" i="1"/>
  <c r="L195" i="1"/>
  <c r="AH199" i="1"/>
  <c r="H187" i="1"/>
  <c r="AL187" i="1"/>
  <c r="L199" i="1"/>
  <c r="X199" i="1"/>
  <c r="AV187" i="1"/>
  <c r="G187" i="1" s="1"/>
  <c r="AK199" i="1"/>
  <c r="G200" i="2" s="1"/>
  <c r="AV191" i="1"/>
  <c r="G191" i="1" s="1"/>
  <c r="H215" i="1"/>
  <c r="AK195" i="1"/>
  <c r="G196" i="2" s="1"/>
  <c r="X211" i="1"/>
  <c r="AK211" i="1"/>
  <c r="G212" i="2" s="1"/>
  <c r="L211" i="1"/>
  <c r="A11" i="2"/>
  <c r="AC3" i="1"/>
  <c r="AR167" i="1"/>
  <c r="AP167" i="1"/>
  <c r="AO167" i="1"/>
  <c r="AN167" i="1"/>
  <c r="AR163" i="1"/>
  <c r="AT163" i="1" s="1"/>
  <c r="AP163" i="1"/>
  <c r="AO163" i="1"/>
  <c r="AN163" i="1"/>
  <c r="AR159" i="1"/>
  <c r="AU159" i="1" s="1"/>
  <c r="AP159" i="1"/>
  <c r="AO159" i="1"/>
  <c r="AN159" i="1"/>
  <c r="AR155" i="1"/>
  <c r="AS155" i="1" s="1"/>
  <c r="AP155" i="1"/>
  <c r="AO155" i="1"/>
  <c r="AN155" i="1"/>
  <c r="AR151" i="1"/>
  <c r="AT151" i="1" s="1"/>
  <c r="AP151" i="1"/>
  <c r="AO151" i="1"/>
  <c r="AN151" i="1"/>
  <c r="AR147" i="1"/>
  <c r="AU147" i="1" s="1"/>
  <c r="AP147" i="1"/>
  <c r="AO147" i="1"/>
  <c r="AN147" i="1"/>
  <c r="AR143" i="1"/>
  <c r="AT143" i="1" s="1"/>
  <c r="AP143" i="1"/>
  <c r="AO143" i="1"/>
  <c r="AN143" i="1"/>
  <c r="AR139" i="1"/>
  <c r="AU139" i="1" s="1"/>
  <c r="AP139" i="1"/>
  <c r="AO139" i="1"/>
  <c r="AN139" i="1"/>
  <c r="AR135" i="1"/>
  <c r="AT135" i="1" s="1"/>
  <c r="AP135" i="1"/>
  <c r="AO135" i="1"/>
  <c r="AN135" i="1"/>
  <c r="AR131" i="1"/>
  <c r="AT131" i="1" s="1"/>
  <c r="AP131" i="1"/>
  <c r="AO131" i="1"/>
  <c r="AN131" i="1"/>
  <c r="AR127" i="1"/>
  <c r="AU127" i="1" s="1"/>
  <c r="AP127" i="1"/>
  <c r="AO127" i="1"/>
  <c r="AN127" i="1"/>
  <c r="AR123" i="1"/>
  <c r="AT123" i="1" s="1"/>
  <c r="AP123" i="1"/>
  <c r="AO123" i="1"/>
  <c r="AN123" i="1"/>
  <c r="AR119" i="1"/>
  <c r="AU119" i="1" s="1"/>
  <c r="AP119" i="1"/>
  <c r="AO119" i="1"/>
  <c r="AN119" i="1"/>
  <c r="AR115" i="1"/>
  <c r="AT115" i="1" s="1"/>
  <c r="AP115" i="1"/>
  <c r="AO115" i="1"/>
  <c r="AN115" i="1"/>
  <c r="AR111" i="1"/>
  <c r="AT111" i="1" s="1"/>
  <c r="AP111" i="1"/>
  <c r="AO111" i="1"/>
  <c r="AN111" i="1"/>
  <c r="AR107" i="1"/>
  <c r="AS107" i="1" s="1"/>
  <c r="AP107" i="1"/>
  <c r="AO107" i="1"/>
  <c r="AN107" i="1"/>
  <c r="AR103" i="1"/>
  <c r="AT103" i="1" s="1"/>
  <c r="AP103" i="1"/>
  <c r="AO103" i="1"/>
  <c r="AN103" i="1"/>
  <c r="AR99" i="1"/>
  <c r="AT99" i="1" s="1"/>
  <c r="AP99" i="1"/>
  <c r="AO99" i="1"/>
  <c r="AN99" i="1"/>
  <c r="AR95" i="1"/>
  <c r="AU95" i="1" s="1"/>
  <c r="AP95" i="1"/>
  <c r="AO95" i="1"/>
  <c r="AN95" i="1"/>
  <c r="AR91" i="1"/>
  <c r="AT91" i="1" s="1"/>
  <c r="AP91" i="1"/>
  <c r="AO91" i="1"/>
  <c r="AN91" i="1"/>
  <c r="AR87" i="1"/>
  <c r="AU87" i="1" s="1"/>
  <c r="AP87" i="1"/>
  <c r="AO87" i="1"/>
  <c r="AN87" i="1"/>
  <c r="AR83" i="1"/>
  <c r="AT83" i="1" s="1"/>
  <c r="AP83" i="1"/>
  <c r="AO83" i="1"/>
  <c r="AN83" i="1"/>
  <c r="AR79" i="1"/>
  <c r="AU79" i="1" s="1"/>
  <c r="AP79" i="1"/>
  <c r="AO79" i="1"/>
  <c r="AN79" i="1"/>
  <c r="AR75" i="1"/>
  <c r="AT75" i="1" s="1"/>
  <c r="AP75" i="1"/>
  <c r="AO75" i="1"/>
  <c r="AN75" i="1"/>
  <c r="AR71" i="1"/>
  <c r="AT71" i="1" s="1"/>
  <c r="AP71" i="1"/>
  <c r="AO71" i="1"/>
  <c r="AN71" i="1"/>
  <c r="AR67" i="1"/>
  <c r="AT67" i="1" s="1"/>
  <c r="AP67" i="1"/>
  <c r="AO67" i="1"/>
  <c r="AN67" i="1"/>
  <c r="AR63" i="1"/>
  <c r="AU63" i="1" s="1"/>
  <c r="AP63" i="1"/>
  <c r="AO63" i="1"/>
  <c r="AN63" i="1"/>
  <c r="AR59" i="1"/>
  <c r="AT59" i="1" s="1"/>
  <c r="AP59" i="1"/>
  <c r="AO59" i="1"/>
  <c r="AN59" i="1"/>
  <c r="AR55" i="1"/>
  <c r="AU55" i="1" s="1"/>
  <c r="AP55" i="1"/>
  <c r="AO55" i="1"/>
  <c r="AN55" i="1"/>
  <c r="AR51" i="1"/>
  <c r="AU51" i="1" s="1"/>
  <c r="AP51" i="1"/>
  <c r="AO51" i="1"/>
  <c r="AN51" i="1"/>
  <c r="AR47" i="1"/>
  <c r="AU47" i="1" s="1"/>
  <c r="AP47" i="1"/>
  <c r="AO47" i="1"/>
  <c r="AN47" i="1"/>
  <c r="AR43" i="1"/>
  <c r="AU43" i="1" s="1"/>
  <c r="AP43" i="1"/>
  <c r="AO43" i="1"/>
  <c r="AN43" i="1"/>
  <c r="AR39" i="1"/>
  <c r="AT39" i="1" s="1"/>
  <c r="AP39" i="1"/>
  <c r="AO39" i="1"/>
  <c r="AN39" i="1"/>
  <c r="AR35" i="1"/>
  <c r="AT35" i="1" s="1"/>
  <c r="AP35" i="1"/>
  <c r="AO35" i="1"/>
  <c r="AN35" i="1"/>
  <c r="AR31" i="1"/>
  <c r="AU31" i="1" s="1"/>
  <c r="AP31" i="1"/>
  <c r="AO31" i="1"/>
  <c r="AN31" i="1"/>
  <c r="AR27" i="1"/>
  <c r="AT27" i="1" s="1"/>
  <c r="AP27" i="1"/>
  <c r="AO27" i="1"/>
  <c r="AN27" i="1"/>
  <c r="AR23" i="1"/>
  <c r="AU23" i="1" s="1"/>
  <c r="AP23" i="1"/>
  <c r="AO23" i="1"/>
  <c r="AN23" i="1"/>
  <c r="AR19" i="1"/>
  <c r="AT19" i="1" s="1"/>
  <c r="AP19" i="1"/>
  <c r="AO19" i="1"/>
  <c r="AN19" i="1"/>
  <c r="AR15" i="1"/>
  <c r="AU15" i="1" s="1"/>
  <c r="AP15" i="1"/>
  <c r="AO15" i="1"/>
  <c r="AN15" i="1"/>
  <c r="AR11" i="1"/>
  <c r="AT11" i="1" s="1"/>
  <c r="AP11" i="1"/>
  <c r="AO11" i="1"/>
  <c r="AN11" i="1"/>
  <c r="AR7" i="1"/>
  <c r="AT7" i="1" s="1"/>
  <c r="AP7" i="1"/>
  <c r="AO7" i="1"/>
  <c r="AN7" i="1"/>
  <c r="AR3" i="1"/>
  <c r="AU3" i="1" s="1"/>
  <c r="AP3" i="1"/>
  <c r="AO3" i="1"/>
  <c r="AN3" i="1"/>
  <c r="H203" i="1" l="1"/>
  <c r="AL203" i="1"/>
  <c r="H191" i="1"/>
  <c r="H179" i="1"/>
  <c r="AL211" i="1"/>
  <c r="H171" i="1"/>
  <c r="AL175" i="1"/>
  <c r="AL195" i="1"/>
  <c r="AL207" i="1"/>
  <c r="AL191" i="1"/>
  <c r="AL179" i="1"/>
  <c r="AL171" i="1"/>
  <c r="H175" i="1"/>
  <c r="H183" i="1"/>
  <c r="AL183" i="1"/>
  <c r="H207" i="1"/>
  <c r="H199" i="1"/>
  <c r="H211" i="1"/>
  <c r="AL199" i="1"/>
  <c r="H195" i="1"/>
  <c r="A12" i="2"/>
  <c r="A15" i="2"/>
  <c r="AT15" i="1"/>
  <c r="AT63" i="1"/>
  <c r="AQ99" i="1"/>
  <c r="E99" i="1" s="1"/>
  <c r="AQ107" i="1"/>
  <c r="E107" i="1" s="1"/>
  <c r="AU11" i="1"/>
  <c r="AQ43" i="1"/>
  <c r="E43" i="1" s="1"/>
  <c r="AQ75" i="1"/>
  <c r="E75" i="1" s="1"/>
  <c r="AU27" i="1"/>
  <c r="AQ7" i="1"/>
  <c r="E7" i="1" s="1"/>
  <c r="AS11" i="1"/>
  <c r="AQ151" i="1"/>
  <c r="E151" i="1" s="1"/>
  <c r="AQ159" i="1"/>
  <c r="E159" i="1" s="1"/>
  <c r="AQ167" i="1"/>
  <c r="E167" i="1" s="1"/>
  <c r="AQ131" i="1"/>
  <c r="E131" i="1" s="1"/>
  <c r="AQ139" i="1"/>
  <c r="E139" i="1" s="1"/>
  <c r="AU143" i="1"/>
  <c r="AQ19" i="1"/>
  <c r="E19" i="1" s="1"/>
  <c r="AQ63" i="1"/>
  <c r="E63" i="1" s="1"/>
  <c r="AQ15" i="1"/>
  <c r="E15" i="1" s="1"/>
  <c r="AU67" i="1"/>
  <c r="AU111" i="1"/>
  <c r="AQ11" i="1"/>
  <c r="E11" i="1" s="1"/>
  <c r="AU91" i="1"/>
  <c r="AT127" i="1"/>
  <c r="AS35" i="1"/>
  <c r="AQ67" i="1"/>
  <c r="E67" i="1" s="1"/>
  <c r="AQ163" i="1"/>
  <c r="E163" i="1" s="1"/>
  <c r="AS15" i="1"/>
  <c r="AU35" i="1"/>
  <c r="AQ59" i="1"/>
  <c r="E59" i="1" s="1"/>
  <c r="AT95" i="1"/>
  <c r="AQ135" i="1"/>
  <c r="E135" i="1" s="1"/>
  <c r="AS163" i="1"/>
  <c r="AS159" i="1"/>
  <c r="AT159" i="1"/>
  <c r="AT155" i="1"/>
  <c r="AU155" i="1"/>
  <c r="AS151" i="1"/>
  <c r="AU151" i="1"/>
  <c r="AQ147" i="1"/>
  <c r="E147" i="1" s="1"/>
  <c r="AQ143" i="1"/>
  <c r="E143" i="1" s="1"/>
  <c r="AS143" i="1"/>
  <c r="AS139" i="1"/>
  <c r="AT139" i="1"/>
  <c r="AS131" i="1"/>
  <c r="AU131" i="1"/>
  <c r="AQ127" i="1"/>
  <c r="E127" i="1" s="1"/>
  <c r="AU123" i="1"/>
  <c r="AQ123" i="1"/>
  <c r="E123" i="1" s="1"/>
  <c r="AS119" i="1"/>
  <c r="AQ119" i="1"/>
  <c r="E119" i="1" s="1"/>
  <c r="AQ115" i="1"/>
  <c r="E115" i="1" s="1"/>
  <c r="AS111" i="1"/>
  <c r="AQ111" i="1"/>
  <c r="E111" i="1" s="1"/>
  <c r="AT107" i="1"/>
  <c r="AU107" i="1"/>
  <c r="AQ103" i="1"/>
  <c r="E103" i="1" s="1"/>
  <c r="AQ95" i="1"/>
  <c r="E95" i="1" s="1"/>
  <c r="AQ91" i="1"/>
  <c r="E91" i="1" s="1"/>
  <c r="AQ87" i="1"/>
  <c r="E87" i="1" s="1"/>
  <c r="AS87" i="1"/>
  <c r="AQ83" i="1"/>
  <c r="E83" i="1" s="1"/>
  <c r="AS79" i="1"/>
  <c r="AT79" i="1"/>
  <c r="AQ79" i="1"/>
  <c r="E79" i="1" s="1"/>
  <c r="AS75" i="1"/>
  <c r="AU75" i="1"/>
  <c r="AQ71" i="1"/>
  <c r="E71" i="1" s="1"/>
  <c r="AS99" i="1"/>
  <c r="AU99" i="1"/>
  <c r="AS67" i="1"/>
  <c r="AU59" i="1"/>
  <c r="AS55" i="1"/>
  <c r="AQ55" i="1"/>
  <c r="E55" i="1" s="1"/>
  <c r="AQ51" i="1"/>
  <c r="E51" i="1" s="1"/>
  <c r="AS47" i="1"/>
  <c r="AT47" i="1"/>
  <c r="AQ47" i="1"/>
  <c r="E47" i="1" s="1"/>
  <c r="AS43" i="1"/>
  <c r="AT43" i="1"/>
  <c r="AQ39" i="1"/>
  <c r="E39" i="1" s="1"/>
  <c r="AQ31" i="1"/>
  <c r="E31" i="1" s="1"/>
  <c r="AT31" i="1"/>
  <c r="AQ35" i="1"/>
  <c r="E35" i="1" s="1"/>
  <c r="AQ27" i="1"/>
  <c r="E27" i="1" s="1"/>
  <c r="AQ23" i="1"/>
  <c r="E23" i="1" s="1"/>
  <c r="AS23" i="1"/>
  <c r="AU103" i="1"/>
  <c r="AS19" i="1"/>
  <c r="AS51" i="1"/>
  <c r="AS83" i="1"/>
  <c r="AS115" i="1"/>
  <c r="AS147" i="1"/>
  <c r="AU7" i="1"/>
  <c r="AU71" i="1"/>
  <c r="AU135" i="1"/>
  <c r="AT51" i="1"/>
  <c r="AU39" i="1"/>
  <c r="AT147" i="1"/>
  <c r="AQ3" i="1"/>
  <c r="E3" i="1" s="1"/>
  <c r="AU19" i="1"/>
  <c r="AT23" i="1"/>
  <c r="AS27" i="1"/>
  <c r="AT55" i="1"/>
  <c r="AS59" i="1"/>
  <c r="AU83" i="1"/>
  <c r="AT87" i="1"/>
  <c r="AS91" i="1"/>
  <c r="AU115" i="1"/>
  <c r="AT119" i="1"/>
  <c r="AS123" i="1"/>
  <c r="AU167" i="1"/>
  <c r="AS167" i="1"/>
  <c r="AS31" i="1"/>
  <c r="AS63" i="1"/>
  <c r="AS95" i="1"/>
  <c r="AS127" i="1"/>
  <c r="AQ155" i="1"/>
  <c r="E155" i="1" s="1"/>
  <c r="AT167" i="1"/>
  <c r="AS7" i="1"/>
  <c r="AS39" i="1"/>
  <c r="AS71" i="1"/>
  <c r="AS103" i="1"/>
  <c r="AS135" i="1"/>
  <c r="AU163" i="1"/>
  <c r="AS3" i="1"/>
  <c r="AT3" i="1"/>
  <c r="AV67" i="1" l="1"/>
  <c r="G67" i="1" s="1"/>
  <c r="A13" i="2"/>
  <c r="A17" i="2" s="1"/>
  <c r="A18" i="2" s="1"/>
  <c r="A16" i="2"/>
  <c r="AV15" i="1"/>
  <c r="G15" i="1" s="1"/>
  <c r="AV63" i="1"/>
  <c r="G63" i="1" s="1"/>
  <c r="AV111" i="1"/>
  <c r="G111" i="1" s="1"/>
  <c r="AV11" i="1"/>
  <c r="G11" i="1" s="1"/>
  <c r="AV123" i="1"/>
  <c r="G123" i="1" s="1"/>
  <c r="AV27" i="1"/>
  <c r="G27" i="1" s="1"/>
  <c r="AV55" i="1"/>
  <c r="G55" i="1" s="1"/>
  <c r="AV75" i="1"/>
  <c r="G75" i="1" s="1"/>
  <c r="AV143" i="1"/>
  <c r="G143" i="1" s="1"/>
  <c r="AV127" i="1"/>
  <c r="G127" i="1" s="1"/>
  <c r="AV99" i="1"/>
  <c r="G99" i="1" s="1"/>
  <c r="AV131" i="1"/>
  <c r="G131" i="1" s="1"/>
  <c r="AV155" i="1"/>
  <c r="G155" i="1" s="1"/>
  <c r="AV95" i="1"/>
  <c r="G95" i="1" s="1"/>
  <c r="AV35" i="1"/>
  <c r="G35" i="1" s="1"/>
  <c r="AV91" i="1"/>
  <c r="G91" i="1" s="1"/>
  <c r="AV151" i="1"/>
  <c r="G151" i="1" s="1"/>
  <c r="AV47" i="1"/>
  <c r="G47" i="1" s="1"/>
  <c r="AV71" i="1"/>
  <c r="G71" i="1" s="1"/>
  <c r="AV103" i="1"/>
  <c r="G103" i="1" s="1"/>
  <c r="AV87" i="1"/>
  <c r="G87" i="1" s="1"/>
  <c r="AV31" i="1"/>
  <c r="G31" i="1" s="1"/>
  <c r="AV59" i="1"/>
  <c r="G59" i="1" s="1"/>
  <c r="AV79" i="1"/>
  <c r="G79" i="1" s="1"/>
  <c r="AV107" i="1"/>
  <c r="G107" i="1" s="1"/>
  <c r="AV7" i="1"/>
  <c r="G7" i="1" s="1"/>
  <c r="AV51" i="1"/>
  <c r="G51" i="1" s="1"/>
  <c r="AV135" i="1"/>
  <c r="G135" i="1" s="1"/>
  <c r="AV159" i="1"/>
  <c r="G159" i="1" s="1"/>
  <c r="AV163" i="1"/>
  <c r="G163" i="1" s="1"/>
  <c r="AV139" i="1"/>
  <c r="G139" i="1" s="1"/>
  <c r="AV119" i="1"/>
  <c r="G119" i="1" s="1"/>
  <c r="AV43" i="1"/>
  <c r="G43" i="1" s="1"/>
  <c r="AV23" i="1"/>
  <c r="G23" i="1" s="1"/>
  <c r="AV19" i="1"/>
  <c r="G19" i="1" s="1"/>
  <c r="AV39" i="1"/>
  <c r="G39" i="1" s="1"/>
  <c r="AV147" i="1"/>
  <c r="G147" i="1" s="1"/>
  <c r="AV115" i="1"/>
  <c r="G115" i="1" s="1"/>
  <c r="AV167" i="1"/>
  <c r="G167" i="1" s="1"/>
  <c r="AV83" i="1"/>
  <c r="G83" i="1" s="1"/>
  <c r="AV3" i="1"/>
  <c r="G3" i="1" s="1"/>
  <c r="A19" i="2" l="1"/>
  <c r="A22" i="2"/>
  <c r="A26" i="2" s="1"/>
  <c r="K2" i="2"/>
  <c r="K3" i="2" s="1"/>
  <c r="Z7" i="1"/>
  <c r="AG127" i="1"/>
  <c r="AJ127" i="1" s="1"/>
  <c r="G127" i="2" s="1"/>
  <c r="W103" i="1"/>
  <c r="W99" i="1"/>
  <c r="AG99" i="1"/>
  <c r="AJ99" i="1" s="1"/>
  <c r="G99" i="2" s="1"/>
  <c r="AG95" i="1"/>
  <c r="AJ95" i="1" s="1"/>
  <c r="G95" i="2" s="1"/>
  <c r="AG71" i="1"/>
  <c r="AJ71" i="1" s="1"/>
  <c r="G71" i="2" s="1"/>
  <c r="AG55" i="1"/>
  <c r="AJ55" i="1" s="1"/>
  <c r="G55" i="2" s="1"/>
  <c r="AG47" i="1"/>
  <c r="AJ47" i="1" s="1"/>
  <c r="G47" i="2" s="1"/>
  <c r="AG39" i="1"/>
  <c r="AJ39" i="1" s="1"/>
  <c r="G39" i="2" s="1"/>
  <c r="AG15" i="1"/>
  <c r="AJ15" i="1" s="1"/>
  <c r="G15" i="2" s="1"/>
  <c r="W11" i="1"/>
  <c r="W7" i="1"/>
  <c r="AG7" i="1"/>
  <c r="AJ7" i="1" s="1"/>
  <c r="G7" i="2" s="1"/>
  <c r="Z3" i="1"/>
  <c r="A20" i="2" l="1"/>
  <c r="A23" i="2"/>
  <c r="A27" i="2" s="1"/>
  <c r="AK15" i="1"/>
  <c r="G16" i="2" s="1"/>
  <c r="AK7" i="1"/>
  <c r="G8" i="2" s="1"/>
  <c r="AK99" i="1"/>
  <c r="G100" i="2" s="1"/>
  <c r="AK127" i="1"/>
  <c r="G128" i="2" s="1"/>
  <c r="AK47" i="1"/>
  <c r="G48" i="2" s="1"/>
  <c r="AK39" i="1"/>
  <c r="G40" i="2" s="1"/>
  <c r="K4" i="2"/>
  <c r="K5" i="2" s="1"/>
  <c r="K6" i="2" s="1"/>
  <c r="K7" i="2" s="1"/>
  <c r="K8" i="2" s="1"/>
  <c r="K9" i="2" s="1"/>
  <c r="AK95" i="1"/>
  <c r="G96" i="2" s="1"/>
  <c r="AK55" i="1"/>
  <c r="G56" i="2" s="1"/>
  <c r="AK71" i="1"/>
  <c r="G72" i="2" s="1"/>
  <c r="AG111" i="1"/>
  <c r="AJ111" i="1" s="1"/>
  <c r="G111" i="2" s="1"/>
  <c r="AG43" i="1"/>
  <c r="AJ43" i="1" s="1"/>
  <c r="G43" i="2" s="1"/>
  <c r="AH163" i="1"/>
  <c r="AG163" i="1"/>
  <c r="AJ163" i="1" s="1"/>
  <c r="G163" i="2" s="1"/>
  <c r="AG67" i="1"/>
  <c r="AJ67" i="1" s="1"/>
  <c r="G67" i="2" s="1"/>
  <c r="AG79" i="1"/>
  <c r="AG155" i="1"/>
  <c r="AJ155" i="1" s="1"/>
  <c r="G155" i="2" s="1"/>
  <c r="AG131" i="1"/>
  <c r="AG63" i="1"/>
  <c r="AJ63" i="1" s="1"/>
  <c r="G63" i="2" s="1"/>
  <c r="AG107" i="1"/>
  <c r="AJ107" i="1" s="1"/>
  <c r="G107" i="2" s="1"/>
  <c r="AG115" i="1"/>
  <c r="AJ115" i="1" s="1"/>
  <c r="G115" i="2" s="1"/>
  <c r="AG135" i="1"/>
  <c r="AJ135" i="1" s="1"/>
  <c r="G135" i="2" s="1"/>
  <c r="AG167" i="1"/>
  <c r="AJ167" i="1" s="1"/>
  <c r="G167" i="2" s="1"/>
  <c r="AG59" i="1"/>
  <c r="AJ59" i="1" s="1"/>
  <c r="G59" i="2" s="1"/>
  <c r="AG151" i="1"/>
  <c r="AG103" i="1"/>
  <c r="AJ103" i="1" s="1"/>
  <c r="G103" i="2" s="1"/>
  <c r="AG87" i="1"/>
  <c r="AJ87" i="1" s="1"/>
  <c r="G87" i="2" s="1"/>
  <c r="AG159" i="1"/>
  <c r="AJ159" i="1" s="1"/>
  <c r="G159" i="2" s="1"/>
  <c r="AG83" i="1"/>
  <c r="AG139" i="1"/>
  <c r="AJ139" i="1" s="1"/>
  <c r="G139" i="2" s="1"/>
  <c r="AG27" i="1"/>
  <c r="AJ27" i="1" s="1"/>
  <c r="G27" i="2" s="1"/>
  <c r="AG75" i="1"/>
  <c r="AJ75" i="1" s="1"/>
  <c r="G75" i="2" s="1"/>
  <c r="AG143" i="1"/>
  <c r="AJ143" i="1" s="1"/>
  <c r="G143" i="2" s="1"/>
  <c r="AG31" i="1"/>
  <c r="AJ31" i="1" s="1"/>
  <c r="G31" i="2" s="1"/>
  <c r="AG51" i="1"/>
  <c r="AJ51" i="1" s="1"/>
  <c r="G51" i="2" s="1"/>
  <c r="AG23" i="1"/>
  <c r="AJ23" i="1" s="1"/>
  <c r="G23" i="2" s="1"/>
  <c r="AG123" i="1"/>
  <c r="AH35" i="1"/>
  <c r="AG35" i="1"/>
  <c r="AJ35" i="1" s="1"/>
  <c r="G35" i="2" s="1"/>
  <c r="AG91" i="1"/>
  <c r="AG11" i="1"/>
  <c r="AJ11" i="1" s="1"/>
  <c r="G11" i="2" s="1"/>
  <c r="AG19" i="1"/>
  <c r="AJ19" i="1" s="1"/>
  <c r="G19" i="2" s="1"/>
  <c r="AG119" i="1"/>
  <c r="AG147" i="1"/>
  <c r="AJ147" i="1" s="1"/>
  <c r="G147" i="2" s="1"/>
  <c r="W47" i="1"/>
  <c r="W71" i="1"/>
  <c r="W43" i="1"/>
  <c r="W39" i="1"/>
  <c r="W19" i="1"/>
  <c r="W35" i="1"/>
  <c r="W67" i="1"/>
  <c r="X55" i="1"/>
  <c r="L99" i="1"/>
  <c r="W139" i="1"/>
  <c r="W27" i="1"/>
  <c r="W51" i="1"/>
  <c r="W75" i="1"/>
  <c r="W91" i="1"/>
  <c r="W115" i="1"/>
  <c r="W123" i="1"/>
  <c r="AH143" i="1"/>
  <c r="AH159" i="1"/>
  <c r="W167" i="1"/>
  <c r="W155" i="1"/>
  <c r="W151" i="1"/>
  <c r="AH91" i="1"/>
  <c r="W143" i="1"/>
  <c r="W147" i="1"/>
  <c r="W163" i="1"/>
  <c r="W159" i="1"/>
  <c r="W15" i="1"/>
  <c r="AH55" i="1"/>
  <c r="AH11" i="1"/>
  <c r="AH83" i="1"/>
  <c r="AH75" i="1"/>
  <c r="AH67" i="1"/>
  <c r="AH63" i="1"/>
  <c r="AH27" i="1"/>
  <c r="W127" i="1"/>
  <c r="W23" i="1"/>
  <c r="W95" i="1"/>
  <c r="W55" i="1"/>
  <c r="W63" i="1"/>
  <c r="W87" i="1"/>
  <c r="W119" i="1"/>
  <c r="W79" i="1"/>
  <c r="W107" i="1"/>
  <c r="W135" i="1"/>
  <c r="W59" i="1"/>
  <c r="L55" i="1"/>
  <c r="W83" i="1"/>
  <c r="W31" i="1"/>
  <c r="W111" i="1"/>
  <c r="W131" i="1"/>
  <c r="X99" i="1"/>
  <c r="L87" i="1" l="1"/>
  <c r="X43" i="1"/>
  <c r="X11" i="1"/>
  <c r="X75" i="1"/>
  <c r="X59" i="1"/>
  <c r="L27" i="1"/>
  <c r="L67" i="1"/>
  <c r="A21" i="2"/>
  <c r="A25" i="2" s="1"/>
  <c r="A29" i="2" s="1"/>
  <c r="A30" i="2" s="1"/>
  <c r="A24" i="2"/>
  <c r="A28" i="2" s="1"/>
  <c r="X87" i="1"/>
  <c r="L75" i="1"/>
  <c r="X67" i="1"/>
  <c r="X27" i="1"/>
  <c r="L59" i="1"/>
  <c r="AL99" i="1"/>
  <c r="AK139" i="1"/>
  <c r="G140" i="2" s="1"/>
  <c r="AK155" i="1"/>
  <c r="G156" i="2" s="1"/>
  <c r="AK111" i="1"/>
  <c r="G112" i="2" s="1"/>
  <c r="AK103" i="1"/>
  <c r="G104" i="2" s="1"/>
  <c r="AK19" i="1"/>
  <c r="G20" i="2" s="1"/>
  <c r="AL71" i="1"/>
  <c r="AL47" i="1"/>
  <c r="AL7" i="1"/>
  <c r="AK43" i="1"/>
  <c r="G44" i="2" s="1"/>
  <c r="AK159" i="1"/>
  <c r="G160" i="2" s="1"/>
  <c r="X107" i="1"/>
  <c r="L43" i="1"/>
  <c r="AL95" i="1"/>
  <c r="L107" i="1"/>
  <c r="AK11" i="1"/>
  <c r="G12" i="2" s="1"/>
  <c r="AK143" i="1"/>
  <c r="G144" i="2" s="1"/>
  <c r="AK59" i="1"/>
  <c r="G60" i="2" s="1"/>
  <c r="AL39" i="1"/>
  <c r="AK51" i="1"/>
  <c r="G52" i="2" s="1"/>
  <c r="AK75" i="1"/>
  <c r="G76" i="2" s="1"/>
  <c r="AK87" i="1"/>
  <c r="G88" i="2" s="1"/>
  <c r="AK115" i="1"/>
  <c r="G116" i="2" s="1"/>
  <c r="AK147" i="1"/>
  <c r="G148" i="2" s="1"/>
  <c r="AK31" i="1"/>
  <c r="G32" i="2" s="1"/>
  <c r="AK23" i="1"/>
  <c r="G24" i="2" s="1"/>
  <c r="L63" i="1"/>
  <c r="AK27" i="1"/>
  <c r="G28" i="2" s="1"/>
  <c r="AK67" i="1"/>
  <c r="G68" i="2" s="1"/>
  <c r="AL55" i="1"/>
  <c r="AL127" i="1"/>
  <c r="AL15" i="1"/>
  <c r="X111" i="1"/>
  <c r="X159" i="1"/>
  <c r="L159" i="1"/>
  <c r="L111" i="1"/>
  <c r="L23" i="1"/>
  <c r="X23" i="1"/>
  <c r="X31" i="1"/>
  <c r="L31" i="1"/>
  <c r="AJ151" i="1"/>
  <c r="G151" i="2" s="1"/>
  <c r="AK135" i="1"/>
  <c r="G136" i="2" s="1"/>
  <c r="AJ79" i="1"/>
  <c r="G79" i="2" s="1"/>
  <c r="AK63" i="1"/>
  <c r="G64" i="2" s="1"/>
  <c r="AJ83" i="1"/>
  <c r="G83" i="2" s="1"/>
  <c r="AJ91" i="1"/>
  <c r="G91" i="2" s="1"/>
  <c r="AK163" i="1"/>
  <c r="G164" i="2" s="1"/>
  <c r="AJ131" i="1"/>
  <c r="G131" i="2" s="1"/>
  <c r="AK167" i="1"/>
  <c r="G168" i="2" s="1"/>
  <c r="AJ123" i="1"/>
  <c r="G123" i="2" s="1"/>
  <c r="AK35" i="1"/>
  <c r="G36" i="2" s="1"/>
  <c r="X63" i="1"/>
  <c r="AJ119" i="1"/>
  <c r="G119" i="2" s="1"/>
  <c r="AK107" i="1"/>
  <c r="G108" i="2" s="1"/>
  <c r="AH135" i="1"/>
  <c r="AH111" i="1"/>
  <c r="AH103" i="1"/>
  <c r="AH39" i="1"/>
  <c r="AH31" i="1"/>
  <c r="X143" i="1"/>
  <c r="AH139" i="1"/>
  <c r="AH151" i="1"/>
  <c r="AH131" i="1"/>
  <c r="AH115" i="1"/>
  <c r="AH87" i="1"/>
  <c r="I35" i="1"/>
  <c r="G37" i="2" s="1"/>
  <c r="L11" i="1"/>
  <c r="AH19" i="1"/>
  <c r="AH107" i="1"/>
  <c r="AH47" i="1"/>
  <c r="AH43" i="1"/>
  <c r="AH95" i="1"/>
  <c r="AH7" i="1"/>
  <c r="AH15" i="1"/>
  <c r="AH119" i="1"/>
  <c r="AH51" i="1"/>
  <c r="L143" i="1"/>
  <c r="AH23" i="1"/>
  <c r="AH147" i="1"/>
  <c r="AH167" i="1"/>
  <c r="AH155" i="1"/>
  <c r="AH79" i="1"/>
  <c r="AH123" i="1"/>
  <c r="AH59" i="1"/>
  <c r="AH127" i="1"/>
  <c r="AH71" i="1"/>
  <c r="AH99" i="1"/>
  <c r="X139" i="1"/>
  <c r="L163" i="1"/>
  <c r="X155" i="1"/>
  <c r="L35" i="1"/>
  <c r="X135" i="1"/>
  <c r="X147" i="1"/>
  <c r="L167" i="1"/>
  <c r="X163" i="1"/>
  <c r="L135" i="1"/>
  <c r="L139" i="1"/>
  <c r="X167" i="1"/>
  <c r="L147" i="1"/>
  <c r="L155" i="1"/>
  <c r="Z11" i="1"/>
  <c r="X103" i="1"/>
  <c r="L103" i="1"/>
  <c r="X35" i="1"/>
  <c r="X19" i="1"/>
  <c r="X51" i="1"/>
  <c r="X115" i="1"/>
  <c r="L115" i="1"/>
  <c r="L51" i="1"/>
  <c r="L19" i="1"/>
  <c r="L7" i="1"/>
  <c r="X7" i="1"/>
  <c r="L15" i="1"/>
  <c r="X15" i="1"/>
  <c r="X39" i="1"/>
  <c r="L39" i="1"/>
  <c r="X71" i="1"/>
  <c r="L71" i="1"/>
  <c r="X127" i="1"/>
  <c r="L127" i="1"/>
  <c r="L95" i="1"/>
  <c r="X95" i="1"/>
  <c r="L47" i="1"/>
  <c r="X47" i="1"/>
  <c r="A31" i="2" l="1"/>
  <c r="A34" i="2"/>
  <c r="A38" i="2" s="1"/>
  <c r="H135" i="1"/>
  <c r="H155" i="1"/>
  <c r="X131" i="1"/>
  <c r="H75" i="1"/>
  <c r="H43" i="1"/>
  <c r="H147" i="1"/>
  <c r="H31" i="1"/>
  <c r="L131" i="1"/>
  <c r="AL87" i="1"/>
  <c r="AL59" i="1"/>
  <c r="AL19" i="1"/>
  <c r="AL139" i="1"/>
  <c r="AL35" i="1"/>
  <c r="AL167" i="1"/>
  <c r="AL107" i="1"/>
  <c r="AL31" i="1"/>
  <c r="AL115" i="1"/>
  <c r="AL11" i="1"/>
  <c r="AL63" i="1"/>
  <c r="AL159" i="1"/>
  <c r="AL67" i="1"/>
  <c r="AK131" i="1"/>
  <c r="G132" i="2" s="1"/>
  <c r="H63" i="1"/>
  <c r="AL147" i="1"/>
  <c r="AL75" i="1"/>
  <c r="AL163" i="1"/>
  <c r="AL27" i="1"/>
  <c r="AL43" i="1"/>
  <c r="AK83" i="1"/>
  <c r="G84" i="2" s="1"/>
  <c r="AL135" i="1"/>
  <c r="AK151" i="1"/>
  <c r="G152" i="2" s="1"/>
  <c r="AL23" i="1"/>
  <c r="AL51" i="1"/>
  <c r="AL143" i="1"/>
  <c r="AL103" i="1"/>
  <c r="AL111" i="1"/>
  <c r="AL155" i="1"/>
  <c r="H167" i="1"/>
  <c r="H163" i="1"/>
  <c r="AK79" i="1"/>
  <c r="G80" i="2" s="1"/>
  <c r="X79" i="1"/>
  <c r="L79" i="1"/>
  <c r="L83" i="1"/>
  <c r="AK123" i="1"/>
  <c r="G124" i="2" s="1"/>
  <c r="X123" i="1"/>
  <c r="L151" i="1"/>
  <c r="X83" i="1"/>
  <c r="AK91" i="1"/>
  <c r="G92" i="2" s="1"/>
  <c r="X91" i="1"/>
  <c r="L91" i="1"/>
  <c r="L123" i="1"/>
  <c r="X151" i="1"/>
  <c r="AK119" i="1"/>
  <c r="G120" i="2" s="1"/>
  <c r="L119" i="1"/>
  <c r="X119" i="1"/>
  <c r="H47" i="1"/>
  <c r="H71" i="1"/>
  <c r="H35" i="1"/>
  <c r="H51" i="1"/>
  <c r="H159" i="1"/>
  <c r="H139" i="1"/>
  <c r="H115" i="1"/>
  <c r="H103" i="1"/>
  <c r="H19" i="1"/>
  <c r="Z15" i="1"/>
  <c r="H7" i="1"/>
  <c r="H15" i="1"/>
  <c r="A32" i="2" l="1"/>
  <c r="A35" i="2"/>
  <c r="A39" i="2" s="1"/>
  <c r="H131" i="1"/>
  <c r="H151" i="1"/>
  <c r="H83" i="1"/>
  <c r="AL79" i="1"/>
  <c r="AL123" i="1"/>
  <c r="AL119" i="1"/>
  <c r="AL131" i="1"/>
  <c r="AL83" i="1"/>
  <c r="AL151" i="1"/>
  <c r="H79" i="1"/>
  <c r="AL91" i="1"/>
  <c r="H91" i="1"/>
  <c r="H123" i="1"/>
  <c r="H107" i="1"/>
  <c r="H11" i="1"/>
  <c r="H99" i="1"/>
  <c r="H111" i="1"/>
  <c r="H143" i="1"/>
  <c r="H119" i="1"/>
  <c r="H55" i="1"/>
  <c r="H127" i="1"/>
  <c r="H95" i="1"/>
  <c r="H87" i="1"/>
  <c r="H67" i="1"/>
  <c r="H59" i="1"/>
  <c r="H39" i="1"/>
  <c r="H27" i="1"/>
  <c r="H23" i="1"/>
  <c r="Z19" i="1"/>
  <c r="AF3" i="1"/>
  <c r="AI3" i="1" s="1"/>
  <c r="E3" i="2"/>
  <c r="E4" i="2" s="1"/>
  <c r="E5" i="2" s="1"/>
  <c r="M2" i="2"/>
  <c r="M3" i="2" s="1"/>
  <c r="M4" i="2" s="1"/>
  <c r="M5" i="2" s="1"/>
  <c r="A7" i="1"/>
  <c r="A11" i="1" s="1"/>
  <c r="A15" i="1" s="1"/>
  <c r="A19" i="1" s="1"/>
  <c r="A23" i="1" s="1"/>
  <c r="A27" i="1" s="1"/>
  <c r="A31" i="1" s="1"/>
  <c r="A35" i="1" s="1"/>
  <c r="A39" i="1" s="1"/>
  <c r="A43" i="1" s="1"/>
  <c r="A47" i="1" s="1"/>
  <c r="A51" i="1" s="1"/>
  <c r="A55" i="1" s="1"/>
  <c r="A59" i="1" s="1"/>
  <c r="A63" i="1" s="1"/>
  <c r="A67" i="1" s="1"/>
  <c r="A71" i="1" s="1"/>
  <c r="A75" i="1" s="1"/>
  <c r="A79" i="1" s="1"/>
  <c r="A83" i="1" s="1"/>
  <c r="A87" i="1" s="1"/>
  <c r="A91" i="1" s="1"/>
  <c r="A95" i="1" s="1"/>
  <c r="A99" i="1" s="1"/>
  <c r="A103" i="1" s="1"/>
  <c r="A107" i="1" s="1"/>
  <c r="A111" i="1" s="1"/>
  <c r="A115" i="1" s="1"/>
  <c r="A119" i="1" s="1"/>
  <c r="A123" i="1" s="1"/>
  <c r="A127" i="1" s="1"/>
  <c r="A131" i="1" s="1"/>
  <c r="A135" i="1" s="1"/>
  <c r="A139" i="1" s="1"/>
  <c r="A143" i="1" s="1"/>
  <c r="A147" i="1" s="1"/>
  <c r="A151" i="1" s="1"/>
  <c r="A155" i="1" s="1"/>
  <c r="A159" i="1" s="1"/>
  <c r="A163" i="1" s="1"/>
  <c r="A167" i="1" s="1"/>
  <c r="A171" i="1" s="1"/>
  <c r="A175" i="1" s="1"/>
  <c r="A179" i="1" s="1"/>
  <c r="A183" i="1" s="1"/>
  <c r="A187" i="1" s="1"/>
  <c r="A191" i="1" s="1"/>
  <c r="A195" i="1" s="1"/>
  <c r="A199" i="1" s="1"/>
  <c r="A203" i="1" s="1"/>
  <c r="A207" i="1" s="1"/>
  <c r="A211" i="1" s="1"/>
  <c r="A215" i="1" s="1"/>
  <c r="A219" i="1" s="1"/>
  <c r="A223" i="1" s="1"/>
  <c r="A227" i="1" s="1"/>
  <c r="A231" i="1" s="1"/>
  <c r="A235" i="1" s="1"/>
  <c r="A239" i="1" s="1"/>
  <c r="A243" i="1" s="1"/>
  <c r="A247" i="1" s="1"/>
  <c r="A251" i="1" s="1"/>
  <c r="A255" i="1" s="1"/>
  <c r="A259" i="1" s="1"/>
  <c r="A263" i="1" s="1"/>
  <c r="A267" i="1" s="1"/>
  <c r="A271" i="1" s="1"/>
  <c r="A275" i="1" s="1"/>
  <c r="A279" i="1" s="1"/>
  <c r="A283" i="1" s="1"/>
  <c r="A287" i="1" s="1"/>
  <c r="A291" i="1" s="1"/>
  <c r="A295" i="1" s="1"/>
  <c r="A299" i="1" s="1"/>
  <c r="A303" i="1" s="1"/>
  <c r="A307" i="1" s="1"/>
  <c r="A311" i="1" s="1"/>
  <c r="A315" i="1" s="1"/>
  <c r="A319" i="1" s="1"/>
  <c r="A323" i="1" s="1"/>
  <c r="A327" i="1" s="1"/>
  <c r="A331" i="1" s="1"/>
  <c r="A335" i="1" s="1"/>
  <c r="A339" i="1" s="1"/>
  <c r="A343" i="1" s="1"/>
  <c r="A347" i="1" s="1"/>
  <c r="A351" i="1" s="1"/>
  <c r="A355" i="1" s="1"/>
  <c r="A359" i="1" s="1"/>
  <c r="A363" i="1" s="1"/>
  <c r="A367" i="1" s="1"/>
  <c r="A371" i="1" s="1"/>
  <c r="A375" i="1" s="1"/>
  <c r="A379" i="1" s="1"/>
  <c r="A383" i="1" s="1"/>
  <c r="A387" i="1" s="1"/>
  <c r="A391" i="1" s="1"/>
  <c r="A395" i="1" s="1"/>
  <c r="A399" i="1" s="1"/>
  <c r="A403" i="1" s="1"/>
  <c r="A407" i="1" s="1"/>
  <c r="A411" i="1" s="1"/>
  <c r="A415" i="1" s="1"/>
  <c r="A419" i="1" s="1"/>
  <c r="A423" i="1" s="1"/>
  <c r="A427" i="1" s="1"/>
  <c r="A431" i="1" s="1"/>
  <c r="A435" i="1" s="1"/>
  <c r="A439" i="1" s="1"/>
  <c r="A443" i="1" s="1"/>
  <c r="A447" i="1" s="1"/>
  <c r="A451" i="1" s="1"/>
  <c r="A455" i="1" s="1"/>
  <c r="A459" i="1" s="1"/>
  <c r="A463" i="1" s="1"/>
  <c r="A467" i="1" s="1"/>
  <c r="A471" i="1" s="1"/>
  <c r="A475" i="1" s="1"/>
  <c r="A479" i="1" s="1"/>
  <c r="A483" i="1" s="1"/>
  <c r="A487" i="1" s="1"/>
  <c r="A491" i="1" s="1"/>
  <c r="A495" i="1" s="1"/>
  <c r="A499" i="1" s="1"/>
  <c r="A503" i="1" s="1"/>
  <c r="A507" i="1" s="1"/>
  <c r="A511" i="1" s="1"/>
  <c r="A515" i="1" s="1"/>
  <c r="A519" i="1" s="1"/>
  <c r="A523" i="1" s="1"/>
  <c r="A527" i="1" s="1"/>
  <c r="A531" i="1" s="1"/>
  <c r="A535" i="1" s="1"/>
  <c r="A539" i="1" s="1"/>
  <c r="A543" i="1" s="1"/>
  <c r="A547" i="1" s="1"/>
  <c r="A551" i="1" s="1"/>
  <c r="A555" i="1" s="1"/>
  <c r="A559" i="1" s="1"/>
  <c r="A563" i="1" s="1"/>
  <c r="A567" i="1" s="1"/>
  <c r="A571" i="1" s="1"/>
  <c r="A575" i="1" s="1"/>
  <c r="A579" i="1" s="1"/>
  <c r="A583" i="1" s="1"/>
  <c r="A587" i="1" s="1"/>
  <c r="A591" i="1" s="1"/>
  <c r="A595" i="1" s="1"/>
  <c r="A599" i="1" s="1"/>
  <c r="A603" i="1" s="1"/>
  <c r="A607" i="1" s="1"/>
  <c r="A611" i="1" s="1"/>
  <c r="A615" i="1" s="1"/>
  <c r="A619" i="1" s="1"/>
  <c r="A623" i="1" s="1"/>
  <c r="A33" i="2" l="1"/>
  <c r="A37" i="2" s="1"/>
  <c r="A41" i="2" s="1"/>
  <c r="A42" i="2" s="1"/>
  <c r="A36" i="2"/>
  <c r="A40" i="2" s="1"/>
  <c r="Z23" i="1"/>
  <c r="AG3" i="1"/>
  <c r="AJ3" i="1" s="1"/>
  <c r="AK3" i="1" s="1"/>
  <c r="AD3" i="1"/>
  <c r="I3" i="1" s="1"/>
  <c r="A43" i="2" l="1"/>
  <c r="A46" i="2"/>
  <c r="A50" i="2" s="1"/>
  <c r="AL3" i="1"/>
  <c r="G4" i="2"/>
  <c r="W3" i="1"/>
  <c r="X3" i="1"/>
  <c r="G2" i="2"/>
  <c r="Z27" i="1"/>
  <c r="AH3" i="1"/>
  <c r="L3" i="1"/>
  <c r="A44" i="2" l="1"/>
  <c r="A47" i="2"/>
  <c r="A51" i="2" s="1"/>
  <c r="G5" i="2"/>
  <c r="G3" i="2"/>
  <c r="K1" i="1"/>
  <c r="Z31" i="1"/>
  <c r="A45" i="2" l="1"/>
  <c r="A49" i="2" s="1"/>
  <c r="A53" i="2" s="1"/>
  <c r="A54" i="2" s="1"/>
  <c r="A48" i="2"/>
  <c r="A52" i="2" s="1"/>
  <c r="Z35" i="1"/>
  <c r="A55" i="2" l="1"/>
  <c r="A58" i="2"/>
  <c r="A62" i="2" s="1"/>
  <c r="Z39" i="1"/>
  <c r="A56" i="2" l="1"/>
  <c r="A59" i="2"/>
  <c r="A63" i="2" s="1"/>
  <c r="Z43" i="1"/>
  <c r="A57" i="2" l="1"/>
  <c r="A61" i="2" s="1"/>
  <c r="A65" i="2" s="1"/>
  <c r="A66" i="2" s="1"/>
  <c r="A60" i="2"/>
  <c r="A64" i="2" s="1"/>
  <c r="Z47" i="1"/>
  <c r="A67" i="2" l="1"/>
  <c r="A70" i="2"/>
  <c r="A74" i="2" s="1"/>
  <c r="Z51" i="1"/>
  <c r="A68" i="2" l="1"/>
  <c r="A71" i="2"/>
  <c r="A75" i="2" s="1"/>
  <c r="Z55" i="1"/>
  <c r="A69" i="2" l="1"/>
  <c r="A73" i="2" s="1"/>
  <c r="A77" i="2" s="1"/>
  <c r="A78" i="2" s="1"/>
  <c r="A72" i="2"/>
  <c r="A76" i="2" s="1"/>
  <c r="Z59" i="1"/>
  <c r="A79" i="2" l="1"/>
  <c r="A82" i="2"/>
  <c r="A86" i="2" s="1"/>
  <c r="Z63" i="1"/>
  <c r="A80" i="2" l="1"/>
  <c r="A83" i="2"/>
  <c r="A87" i="2" s="1"/>
  <c r="Z67" i="1"/>
  <c r="A81" i="2" l="1"/>
  <c r="A85" i="2" s="1"/>
  <c r="A89" i="2" s="1"/>
  <c r="A90" i="2" s="1"/>
  <c r="A84" i="2"/>
  <c r="A88" i="2" s="1"/>
  <c r="Z71" i="1"/>
  <c r="A91" i="2" l="1"/>
  <c r="A94" i="2"/>
  <c r="A98" i="2" s="1"/>
  <c r="Z75" i="1"/>
  <c r="A92" i="2" l="1"/>
  <c r="A95" i="2"/>
  <c r="A99" i="2" s="1"/>
  <c r="Z79" i="1"/>
  <c r="A93" i="2" l="1"/>
  <c r="A97" i="2" s="1"/>
  <c r="A101" i="2" s="1"/>
  <c r="A102" i="2" s="1"/>
  <c r="A96" i="2"/>
  <c r="A100" i="2" s="1"/>
  <c r="Z83" i="1"/>
  <c r="A103" i="2" l="1"/>
  <c r="A106" i="2"/>
  <c r="A110" i="2" s="1"/>
  <c r="Z87" i="1"/>
  <c r="A104" i="2" l="1"/>
  <c r="A107" i="2"/>
  <c r="A111" i="2" s="1"/>
  <c r="Z91" i="1"/>
  <c r="A105" i="2" l="1"/>
  <c r="A109" i="2" s="1"/>
  <c r="A113" i="2" s="1"/>
  <c r="A114" i="2" s="1"/>
  <c r="A108" i="2"/>
  <c r="A112" i="2" s="1"/>
  <c r="Z95" i="1"/>
  <c r="A115" i="2" l="1"/>
  <c r="A118" i="2"/>
  <c r="A122" i="2" s="1"/>
  <c r="Z99" i="1"/>
  <c r="A116" i="2" l="1"/>
  <c r="A119" i="2"/>
  <c r="A123" i="2" s="1"/>
  <c r="Z103" i="1"/>
  <c r="A117" i="2" l="1"/>
  <c r="A121" i="2" s="1"/>
  <c r="A125" i="2" s="1"/>
  <c r="A126" i="2" s="1"/>
  <c r="A120" i="2"/>
  <c r="A124" i="2" s="1"/>
  <c r="Z107" i="1"/>
  <c r="A127" i="2" l="1"/>
  <c r="A130" i="2"/>
  <c r="A134" i="2" s="1"/>
  <c r="Z111" i="1"/>
  <c r="A128" i="2" l="1"/>
  <c r="A131" i="2"/>
  <c r="A135" i="2" s="1"/>
  <c r="Z115" i="1"/>
  <c r="A129" i="2" l="1"/>
  <c r="A133" i="2" s="1"/>
  <c r="A137" i="2" s="1"/>
  <c r="A138" i="2" s="1"/>
  <c r="A132" i="2"/>
  <c r="A136" i="2" s="1"/>
  <c r="Z119" i="1"/>
  <c r="A139" i="2" l="1"/>
  <c r="A142" i="2"/>
  <c r="A146" i="2" s="1"/>
  <c r="Z123" i="1"/>
  <c r="A140" i="2" l="1"/>
  <c r="A143" i="2"/>
  <c r="A147" i="2" s="1"/>
  <c r="Z127" i="1"/>
  <c r="A141" i="2" l="1"/>
  <c r="A145" i="2" s="1"/>
  <c r="A149" i="2" s="1"/>
  <c r="A150" i="2" s="1"/>
  <c r="A144" i="2"/>
  <c r="A148" i="2" s="1"/>
  <c r="Z131" i="1"/>
  <c r="A151" i="2" l="1"/>
  <c r="A154" i="2"/>
  <c r="A158" i="2" s="1"/>
  <c r="Z135" i="1"/>
  <c r="A152" i="2" l="1"/>
  <c r="A155" i="2"/>
  <c r="A159" i="2" s="1"/>
  <c r="Z139" i="1"/>
  <c r="A153" i="2" l="1"/>
  <c r="A157" i="2" s="1"/>
  <c r="A161" i="2" s="1"/>
  <c r="A162" i="2" s="1"/>
  <c r="A156" i="2"/>
  <c r="A160" i="2" s="1"/>
  <c r="Z143" i="1"/>
  <c r="A163" i="2" l="1"/>
  <c r="A166" i="2"/>
  <c r="A170" i="2" s="1"/>
  <c r="Z147" i="1"/>
  <c r="A164" i="2" l="1"/>
  <c r="A167" i="2"/>
  <c r="A171" i="2" s="1"/>
  <c r="Z151" i="1"/>
  <c r="A165" i="2" l="1"/>
  <c r="A169" i="2" s="1"/>
  <c r="A173" i="2" s="1"/>
  <c r="A174" i="2" s="1"/>
  <c r="A168" i="2"/>
  <c r="A172" i="2" s="1"/>
  <c r="Z155" i="1"/>
  <c r="A175" i="2" l="1"/>
  <c r="A178" i="2"/>
  <c r="A182" i="2" s="1"/>
  <c r="Z159" i="1"/>
  <c r="A176" i="2" l="1"/>
  <c r="A179" i="2"/>
  <c r="A183" i="2" s="1"/>
  <c r="Z163" i="1"/>
  <c r="A177" i="2" l="1"/>
  <c r="A181" i="2" s="1"/>
  <c r="A185" i="2" s="1"/>
  <c r="A186" i="2" s="1"/>
  <c r="A180" i="2"/>
  <c r="A184" i="2" s="1"/>
  <c r="Z167" i="1"/>
  <c r="A187" i="2" l="1"/>
  <c r="A190" i="2"/>
  <c r="A194" i="2" s="1"/>
  <c r="H3" i="1"/>
  <c r="A188" i="2" l="1"/>
  <c r="A191" i="2"/>
  <c r="A195" i="2" s="1"/>
  <c r="A189" i="2" l="1"/>
  <c r="A193" i="2" s="1"/>
  <c r="A197" i="2" s="1"/>
  <c r="A198" i="2" s="1"/>
  <c r="A192" i="2"/>
  <c r="A196" i="2" s="1"/>
  <c r="A199" i="2" l="1"/>
  <c r="A202" i="2"/>
  <c r="A206" i="2" s="1"/>
  <c r="A200" i="2" l="1"/>
  <c r="A203" i="2"/>
  <c r="A207" i="2" s="1"/>
  <c r="A201" i="2" l="1"/>
  <c r="A205" i="2" s="1"/>
  <c r="A209" i="2" s="1"/>
  <c r="A210" i="2" s="1"/>
  <c r="A204" i="2"/>
  <c r="A208" i="2" s="1"/>
  <c r="A211" i="2" l="1"/>
  <c r="A214" i="2"/>
  <c r="A218" i="2" s="1"/>
  <c r="A212" i="2" l="1"/>
  <c r="A215" i="2"/>
  <c r="A219" i="2" s="1"/>
  <c r="A213" i="2" l="1"/>
  <c r="A217" i="2" s="1"/>
  <c r="A221" i="2" s="1"/>
  <c r="A222" i="2" s="1"/>
  <c r="A216" i="2"/>
  <c r="A220" i="2" s="1"/>
  <c r="A226" i="2" l="1"/>
  <c r="A230" i="2" s="1"/>
  <c r="A223" i="2"/>
  <c r="A224" i="2" l="1"/>
  <c r="A227" i="2"/>
  <c r="A231" i="2" s="1"/>
  <c r="A228" i="2" l="1"/>
  <c r="A232" i="2" s="1"/>
  <c r="A225" i="2"/>
  <c r="A229" i="2" s="1"/>
  <c r="A233" i="2" s="1"/>
  <c r="A234" i="2" s="1"/>
  <c r="A235" i="2" l="1"/>
  <c r="A238" i="2"/>
  <c r="A242" i="2" s="1"/>
  <c r="A236" i="2" l="1"/>
  <c r="A239" i="2"/>
  <c r="A243" i="2" s="1"/>
  <c r="A240" i="2" l="1"/>
  <c r="A244" i="2" s="1"/>
  <c r="A237" i="2"/>
  <c r="A241" i="2" s="1"/>
  <c r="A245" i="2" s="1"/>
  <c r="A246" i="2" s="1"/>
  <c r="A247" i="2" l="1"/>
  <c r="A250" i="2"/>
  <c r="A254" i="2" s="1"/>
  <c r="A248" i="2" l="1"/>
  <c r="A251" i="2"/>
  <c r="A255" i="2" s="1"/>
  <c r="A252" i="2" l="1"/>
  <c r="A256" i="2" s="1"/>
  <c r="A249" i="2"/>
  <c r="A253" i="2" s="1"/>
  <c r="A257" i="2" s="1"/>
  <c r="A258" i="2" s="1"/>
  <c r="A262" i="2" l="1"/>
  <c r="A266" i="2" s="1"/>
  <c r="A259" i="2"/>
  <c r="A260" i="2" l="1"/>
  <c r="A263" i="2"/>
  <c r="A267" i="2" s="1"/>
  <c r="A261" i="2" l="1"/>
  <c r="A265" i="2" s="1"/>
  <c r="A269" i="2" s="1"/>
  <c r="A270" i="2" s="1"/>
  <c r="A264" i="2"/>
  <c r="A268" i="2" s="1"/>
  <c r="A271" i="2" l="1"/>
  <c r="A274" i="2"/>
  <c r="A278" i="2" s="1"/>
  <c r="A272" i="2" l="1"/>
  <c r="A275" i="2"/>
  <c r="A279" i="2" s="1"/>
  <c r="A276" i="2" l="1"/>
  <c r="A280" i="2" s="1"/>
  <c r="A273" i="2"/>
  <c r="A277" i="2" s="1"/>
  <c r="A281" i="2" s="1"/>
  <c r="A282" i="2" s="1"/>
  <c r="A286" i="2" l="1"/>
  <c r="A290" i="2" s="1"/>
  <c r="A283" i="2"/>
  <c r="A287" i="2" l="1"/>
  <c r="A291" i="2" s="1"/>
  <c r="A284" i="2"/>
  <c r="A285" i="2" l="1"/>
  <c r="A289" i="2" s="1"/>
  <c r="A293" i="2" s="1"/>
  <c r="A294" i="2" s="1"/>
  <c r="A288" i="2"/>
  <c r="A292" i="2" s="1"/>
  <c r="A298" i="2" l="1"/>
  <c r="A302" i="2" s="1"/>
  <c r="A295" i="2"/>
  <c r="A299" i="2" l="1"/>
  <c r="A303" i="2" s="1"/>
  <c r="A296" i="2"/>
  <c r="A297" i="2" l="1"/>
  <c r="A301" i="2" s="1"/>
  <c r="A305" i="2" s="1"/>
  <c r="A306" i="2" s="1"/>
  <c r="A300" i="2"/>
  <c r="A304" i="2" s="1"/>
  <c r="A307" i="2" l="1"/>
  <c r="A310" i="2"/>
  <c r="A314" i="2" s="1"/>
  <c r="A311" i="2" l="1"/>
  <c r="A315" i="2" s="1"/>
  <c r="A308" i="2"/>
  <c r="A309" i="2" l="1"/>
  <c r="A313" i="2" s="1"/>
  <c r="A317" i="2" s="1"/>
  <c r="A318" i="2" s="1"/>
  <c r="A312" i="2"/>
  <c r="A316" i="2" s="1"/>
  <c r="A319" i="2" l="1"/>
  <c r="A322" i="2"/>
  <c r="A326" i="2" s="1"/>
  <c r="A320" i="2" l="1"/>
  <c r="A323" i="2"/>
  <c r="A327" i="2" s="1"/>
  <c r="A321" i="2" l="1"/>
  <c r="A325" i="2" s="1"/>
  <c r="A329" i="2" s="1"/>
  <c r="A330" i="2" s="1"/>
  <c r="A324" i="2"/>
  <c r="A328" i="2" s="1"/>
  <c r="A331" i="2" l="1"/>
  <c r="A334" i="2"/>
  <c r="A338" i="2" s="1"/>
  <c r="A332" i="2" l="1"/>
  <c r="A335" i="2"/>
  <c r="A339" i="2" s="1"/>
  <c r="A333" i="2" l="1"/>
  <c r="A337" i="2" s="1"/>
  <c r="A341" i="2" s="1"/>
  <c r="A342" i="2" s="1"/>
  <c r="A336" i="2"/>
  <c r="A340" i="2" s="1"/>
  <c r="A343" i="2" l="1"/>
  <c r="A346" i="2"/>
  <c r="A350" i="2" s="1"/>
  <c r="A344" i="2" l="1"/>
  <c r="A347" i="2"/>
  <c r="A351" i="2" s="1"/>
  <c r="A345" i="2" l="1"/>
  <c r="A349" i="2" s="1"/>
  <c r="A353" i="2" s="1"/>
  <c r="A354" i="2" s="1"/>
  <c r="A348" i="2"/>
  <c r="A352" i="2" s="1"/>
  <c r="A358" i="2" l="1"/>
  <c r="A362" i="2" s="1"/>
  <c r="A355" i="2"/>
  <c r="A359" i="2" l="1"/>
  <c r="A363" i="2" s="1"/>
  <c r="A356" i="2"/>
  <c r="A360" i="2" l="1"/>
  <c r="A364" i="2" s="1"/>
  <c r="A357" i="2"/>
  <c r="A361" i="2" s="1"/>
  <c r="A365" i="2" s="1"/>
  <c r="A366" i="2" s="1"/>
  <c r="A370" i="2" l="1"/>
  <c r="A374" i="2" s="1"/>
  <c r="A367" i="2"/>
  <c r="A368" i="2" l="1"/>
  <c r="A371" i="2"/>
  <c r="A375" i="2" s="1"/>
  <c r="A369" i="2" l="1"/>
  <c r="A373" i="2" s="1"/>
  <c r="A377" i="2" s="1"/>
  <c r="A378" i="2" s="1"/>
  <c r="A372" i="2"/>
  <c r="A376" i="2" s="1"/>
  <c r="A379" i="2" l="1"/>
  <c r="A382" i="2"/>
  <c r="A386" i="2" s="1"/>
  <c r="A380" i="2" l="1"/>
  <c r="A383" i="2"/>
  <c r="A387" i="2" s="1"/>
  <c r="A384" i="2" l="1"/>
  <c r="A388" i="2" s="1"/>
  <c r="A381" i="2"/>
  <c r="A385" i="2" s="1"/>
  <c r="A389" i="2" s="1"/>
  <c r="A390" i="2" s="1"/>
  <c r="A391" i="2" l="1"/>
  <c r="A394" i="2"/>
  <c r="A398" i="2" s="1"/>
  <c r="A395" i="2" l="1"/>
  <c r="A399" i="2" s="1"/>
  <c r="A392" i="2"/>
  <c r="A396" i="2" l="1"/>
  <c r="A400" i="2" s="1"/>
  <c r="A393" i="2"/>
  <c r="A397" i="2" s="1"/>
  <c r="A401" i="2" s="1"/>
  <c r="A402" i="2" s="1"/>
  <c r="A403" i="2" l="1"/>
  <c r="A406" i="2"/>
  <c r="A410" i="2" s="1"/>
  <c r="A404" i="2" l="1"/>
  <c r="A407" i="2"/>
  <c r="A411" i="2" s="1"/>
  <c r="A405" i="2" l="1"/>
  <c r="A409" i="2" s="1"/>
  <c r="A413" i="2" s="1"/>
  <c r="A414" i="2" s="1"/>
  <c r="A408" i="2"/>
  <c r="A412" i="2" s="1"/>
  <c r="A418" i="2" l="1"/>
  <c r="A422" i="2" s="1"/>
  <c r="A415" i="2"/>
  <c r="A416" i="2" l="1"/>
  <c r="A419" i="2"/>
  <c r="A423" i="2" s="1"/>
  <c r="A420" i="2" l="1"/>
  <c r="A424" i="2" s="1"/>
  <c r="A417" i="2"/>
  <c r="A421" i="2" s="1"/>
  <c r="A425" i="2" s="1"/>
  <c r="A426" i="2" s="1"/>
  <c r="A427" i="2" l="1"/>
  <c r="A430" i="2"/>
  <c r="A434" i="2" s="1"/>
  <c r="A431" i="2" l="1"/>
  <c r="A435" i="2" s="1"/>
  <c r="A428" i="2"/>
  <c r="A432" i="2" l="1"/>
  <c r="A436" i="2" s="1"/>
  <c r="A429" i="2"/>
  <c r="A433" i="2" s="1"/>
  <c r="A437" i="2" s="1"/>
  <c r="A438" i="2" s="1"/>
  <c r="A442" i="2" l="1"/>
  <c r="A446" i="2" s="1"/>
  <c r="A439" i="2"/>
  <c r="A443" i="2" l="1"/>
  <c r="A447" i="2" s="1"/>
  <c r="A440" i="2"/>
  <c r="A444" i="2" l="1"/>
  <c r="A448" i="2" s="1"/>
  <c r="A441" i="2"/>
  <c r="A445" i="2" s="1"/>
  <c r="A449" i="2" s="1"/>
  <c r="A450" i="2" s="1"/>
  <c r="A451" i="2" l="1"/>
  <c r="A454" i="2"/>
  <c r="A458" i="2" s="1"/>
  <c r="A452" i="2" l="1"/>
  <c r="A455" i="2"/>
  <c r="A459" i="2" s="1"/>
  <c r="A453" i="2" l="1"/>
  <c r="A457" i="2" s="1"/>
  <c r="A461" i="2" s="1"/>
  <c r="A462" i="2" s="1"/>
  <c r="A456" i="2"/>
  <c r="A460" i="2" s="1"/>
  <c r="A463" i="2" l="1"/>
  <c r="A466" i="2"/>
  <c r="A470" i="2" s="1"/>
  <c r="A464" i="2" l="1"/>
  <c r="A467" i="2"/>
  <c r="A471" i="2" s="1"/>
  <c r="A468" i="2" l="1"/>
  <c r="A472" i="2" s="1"/>
  <c r="A465" i="2"/>
  <c r="A469" i="2" s="1"/>
  <c r="A473" i="2" s="1"/>
  <c r="A474" i="2" s="1"/>
  <c r="A478" i="2" l="1"/>
  <c r="A482" i="2" s="1"/>
  <c r="A475" i="2"/>
  <c r="A479" i="2" l="1"/>
  <c r="A483" i="2" s="1"/>
  <c r="A476" i="2"/>
  <c r="A480" i="2" l="1"/>
  <c r="A484" i="2" s="1"/>
  <c r="A477" i="2"/>
  <c r="A481" i="2" s="1"/>
  <c r="A485" i="2" s="1"/>
  <c r="A486" i="2" s="1"/>
  <c r="A487" i="2" l="1"/>
  <c r="A490" i="2"/>
  <c r="A494" i="2" s="1"/>
  <c r="A491" i="2" l="1"/>
  <c r="A495" i="2" s="1"/>
  <c r="A488" i="2"/>
  <c r="A489" i="2" l="1"/>
  <c r="A493" i="2" s="1"/>
  <c r="A497" i="2" s="1"/>
  <c r="A498" i="2" s="1"/>
  <c r="A492" i="2"/>
  <c r="A496" i="2" s="1"/>
  <c r="A499" i="2" l="1"/>
  <c r="A502" i="2"/>
  <c r="A506" i="2" s="1"/>
  <c r="A503" i="2" l="1"/>
  <c r="A507" i="2" s="1"/>
  <c r="A500" i="2"/>
  <c r="A504" i="2" l="1"/>
  <c r="A508" i="2" s="1"/>
  <c r="A501" i="2"/>
  <c r="A505" i="2" s="1"/>
  <c r="A509" i="2" s="1"/>
  <c r="A510" i="2" s="1"/>
  <c r="A514" i="2" l="1"/>
  <c r="A518" i="2" s="1"/>
  <c r="A511" i="2"/>
  <c r="A512" i="2" l="1"/>
  <c r="A515" i="2"/>
  <c r="A519" i="2" s="1"/>
  <c r="A513" i="2" l="1"/>
  <c r="A517" i="2" s="1"/>
  <c r="A521" i="2" s="1"/>
  <c r="A522" i="2" s="1"/>
  <c r="A516" i="2"/>
  <c r="A520" i="2" s="1"/>
  <c r="A523" i="2" l="1"/>
  <c r="A526" i="2"/>
  <c r="A530" i="2" s="1"/>
  <c r="A524" i="2" l="1"/>
  <c r="A527" i="2"/>
  <c r="A531" i="2" s="1"/>
  <c r="A525" i="2" l="1"/>
  <c r="A529" i="2" s="1"/>
  <c r="A533" i="2" s="1"/>
  <c r="A534" i="2" s="1"/>
  <c r="A528" i="2"/>
  <c r="A532" i="2" s="1"/>
  <c r="A535" i="2" l="1"/>
  <c r="A538" i="2"/>
  <c r="A542" i="2" s="1"/>
  <c r="A536" i="2" l="1"/>
  <c r="A539" i="2"/>
  <c r="A543" i="2" s="1"/>
  <c r="A537" i="2" l="1"/>
  <c r="A541" i="2" s="1"/>
  <c r="A545" i="2" s="1"/>
  <c r="A546" i="2" s="1"/>
  <c r="A540" i="2"/>
  <c r="A544" i="2" s="1"/>
  <c r="A547" i="2" l="1"/>
  <c r="A550" i="2"/>
  <c r="A554" i="2" s="1"/>
  <c r="A548" i="2" l="1"/>
  <c r="A551" i="2"/>
  <c r="A555" i="2" s="1"/>
  <c r="A549" i="2" l="1"/>
  <c r="A553" i="2" s="1"/>
  <c r="A557" i="2" s="1"/>
  <c r="A558" i="2" s="1"/>
  <c r="A552" i="2"/>
  <c r="A556" i="2" s="1"/>
  <c r="A559" i="2" l="1"/>
  <c r="A562" i="2"/>
  <c r="A566" i="2" s="1"/>
  <c r="A560" i="2" l="1"/>
  <c r="A563" i="2"/>
  <c r="A567" i="2" s="1"/>
  <c r="A561" i="2" l="1"/>
  <c r="A565" i="2" s="1"/>
  <c r="A569" i="2" s="1"/>
  <c r="A570" i="2" s="1"/>
  <c r="A564" i="2"/>
  <c r="A568" i="2" s="1"/>
  <c r="A574" i="2" l="1"/>
  <c r="A578" i="2" s="1"/>
  <c r="A571" i="2"/>
  <c r="A575" i="2" l="1"/>
  <c r="A579" i="2" s="1"/>
  <c r="A572" i="2"/>
  <c r="A576" i="2" l="1"/>
  <c r="A580" i="2" s="1"/>
  <c r="A573" i="2"/>
  <c r="A577" i="2" s="1"/>
  <c r="A581" i="2" s="1"/>
  <c r="A582" i="2" s="1"/>
  <c r="A583" i="2" l="1"/>
  <c r="A586" i="2"/>
  <c r="A590" i="2" s="1"/>
  <c r="A584" i="2" l="1"/>
  <c r="A587" i="2"/>
  <c r="A591" i="2" s="1"/>
  <c r="A585" i="2" l="1"/>
  <c r="A589" i="2" s="1"/>
  <c r="A593" i="2" s="1"/>
  <c r="A594" i="2" s="1"/>
  <c r="A588" i="2"/>
  <c r="A592" i="2" s="1"/>
  <c r="A595" i="2" l="1"/>
  <c r="A598" i="2"/>
  <c r="A602" i="2" s="1"/>
  <c r="A596" i="2" l="1"/>
  <c r="A599" i="2"/>
  <c r="A603" i="2" s="1"/>
  <c r="A600" i="2" l="1"/>
  <c r="A604" i="2" s="1"/>
  <c r="A597" i="2"/>
  <c r="A601" i="2" s="1"/>
  <c r="A605" i="2" s="1"/>
  <c r="A606" i="2" s="1"/>
  <c r="A610" i="2" l="1"/>
  <c r="A614" i="2" s="1"/>
  <c r="A607" i="2"/>
  <c r="A611" i="2" l="1"/>
  <c r="A615" i="2" s="1"/>
  <c r="A608" i="2"/>
  <c r="A609" i="2" l="1"/>
  <c r="A613" i="2" s="1"/>
  <c r="A617" i="2" s="1"/>
  <c r="A618" i="2" s="1"/>
  <c r="A612" i="2"/>
  <c r="A616" i="2" s="1"/>
  <c r="A622" i="2" l="1"/>
  <c r="A619" i="2"/>
  <c r="A620" i="2" l="1"/>
  <c r="A623" i="2"/>
  <c r="A621" i="2" l="1"/>
  <c r="A625" i="2" s="1"/>
  <c r="A624" i="2"/>
</calcChain>
</file>

<file path=xl/sharedStrings.xml><?xml version="1.0" encoding="utf-8"?>
<sst xmlns="http://schemas.openxmlformats.org/spreadsheetml/2006/main" count="3322" uniqueCount="62">
  <si>
    <t>103</t>
  </si>
  <si>
    <t>RC005</t>
  </si>
  <si>
    <t>01</t>
  </si>
  <si>
    <t>C001</t>
  </si>
  <si>
    <t>1</t>
  </si>
  <si>
    <t>111</t>
  </si>
  <si>
    <t>421202</t>
  </si>
  <si>
    <t>COD PRVEEDOR</t>
  </si>
  <si>
    <t>NUMERO DE FACTURA</t>
  </si>
  <si>
    <t>FECHA FACT</t>
  </si>
  <si>
    <t>FECHA CONT</t>
  </si>
  <si>
    <t>FECHA VENC</t>
  </si>
  <si>
    <t>Importe Facturado</t>
  </si>
  <si>
    <t>Importe Facturado Org</t>
  </si>
  <si>
    <t>COD MONEDA</t>
  </si>
  <si>
    <t>Tipo de cambio</t>
  </si>
  <si>
    <t>IVA</t>
  </si>
  <si>
    <t>Código Banco Central</t>
  </si>
  <si>
    <t>Cód. de Autorización</t>
  </si>
  <si>
    <t>Comentarios</t>
  </si>
  <si>
    <t>CADENA DE CONT</t>
  </si>
  <si>
    <t>TIPO DE FACTURA</t>
  </si>
  <si>
    <t>CODIGO CARGA FISCAL</t>
  </si>
  <si>
    <t>Tipo IVA Código impuest</t>
  </si>
  <si>
    <t>Base imponible Registro impues</t>
  </si>
  <si>
    <t>Importe IVA Código impuest</t>
  </si>
  <si>
    <t>Tipo IVA Registro impuest</t>
  </si>
  <si>
    <t>Fecha Transacción Registro Impues</t>
  </si>
  <si>
    <t>V.V</t>
  </si>
  <si>
    <t>IGV</t>
  </si>
  <si>
    <t>P.V</t>
  </si>
  <si>
    <t>TC</t>
  </si>
  <si>
    <t>DIFERENCIA</t>
  </si>
  <si>
    <t>00</t>
  </si>
  <si>
    <t>FC_LC</t>
  </si>
  <si>
    <t>401110</t>
  </si>
  <si>
    <t>0131</t>
  </si>
  <si>
    <t>cta</t>
  </si>
  <si>
    <t>cc</t>
  </si>
  <si>
    <t>linea</t>
  </si>
  <si>
    <t>nit</t>
  </si>
  <si>
    <t>TDW</t>
  </si>
  <si>
    <t>importe soles</t>
  </si>
  <si>
    <t>importe dol</t>
  </si>
  <si>
    <t>cod moneda</t>
  </si>
  <si>
    <t>glosa</t>
  </si>
  <si>
    <t>fecha</t>
  </si>
  <si>
    <t>nit cliente</t>
  </si>
  <si>
    <t>serie y correlatico</t>
  </si>
  <si>
    <t>cod trans</t>
  </si>
  <si>
    <t>S/.</t>
  </si>
  <si>
    <t>$</t>
  </si>
  <si>
    <t>TIPO DOC SUNAT</t>
  </si>
  <si>
    <t>TIPO DOC ISCALA</t>
  </si>
  <si>
    <t>421201</t>
  </si>
  <si>
    <t>489140</t>
  </si>
  <si>
    <t>FECHA FACTURA</t>
  </si>
  <si>
    <t>FECHA PAGO</t>
  </si>
  <si>
    <t>+++¿</t>
  </si>
  <si>
    <t>DPW PENDIENTE DE PEC</t>
  </si>
  <si>
    <t>x</t>
  </si>
  <si>
    <t>281130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</si>
</sst>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Aptos Narrow"/>
      <family val="2"/>
      <scheme val="minor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43" fontId="0" fillId="0" borderId="1" xfId="1" applyFont="1" applyBorder="1"/>
    <xf numFmtId="43" fontId="0" fillId="0" borderId="0" xfId="1" applyFont="1"/>
    <xf numFmtId="43" fontId="2" fillId="0" borderId="1" xfId="1" applyFont="1" applyBorder="1" applyAlignment="1">
      <alignment horizontal="center" vertical="center"/>
    </xf>
    <xf numFmtId="49" fontId="0" fillId="0" borderId="1" xfId="1" applyNumberFormat="1" applyFont="1" applyBorder="1"/>
    <xf numFmtId="49" fontId="0" fillId="2" borderId="0" xfId="0" applyNumberFormat="1" applyFill="1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0" fillId="0" borderId="1" xfId="0" applyNumberFormat="1" applyBorder="1"/>
    <xf numFmtId="49" fontId="2" fillId="0" borderId="1" xfId="1" applyNumberFormat="1" applyFont="1" applyFill="1" applyBorder="1" applyAlignment="1">
      <alignment horizontal="center"/>
    </xf>
    <xf numFmtId="43" fontId="0" fillId="0" borderId="1" xfId="1" applyFont="1" applyFill="1" applyBorder="1"/>
    <xf numFmtId="164" fontId="0" fillId="0" borderId="1" xfId="1" applyNumberFormat="1" applyFont="1" applyFill="1" applyBorder="1"/>
    <xf numFmtId="49" fontId="0" fillId="0" borderId="1" xfId="1" applyNumberFormat="1" applyFont="1" applyFill="1" applyBorder="1"/>
    <xf numFmtId="43" fontId="0" fillId="0" borderId="0" xfId="1" applyFont="1" applyFill="1"/>
    <xf numFmtId="164" fontId="0" fillId="0" borderId="0" xfId="1" applyNumberFormat="1" applyFont="1" applyFill="1"/>
    <xf numFmtId="49" fontId="4" fillId="0" borderId="0" xfId="0" applyNumberFormat="1" applyFont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3" fontId="0" fillId="0" borderId="1" xfId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0" fillId="2" borderId="1" xfId="0" applyNumberForma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1" applyNumberFormat="1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1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5" fillId="2" borderId="1" xfId="0" applyNumberFormat="1" applyFont="1" applyFill="1" applyBorder="1" applyAlignment="1">
      <alignment vertical="center"/>
    </xf>
    <xf numFmtId="14" fontId="5" fillId="0" borderId="1" xfId="1" applyNumberFormat="1" applyFont="1" applyFill="1" applyBorder="1" applyAlignment="1">
      <alignment vertical="center"/>
    </xf>
    <xf numFmtId="165" fontId="5" fillId="0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5" fillId="0" borderId="0" xfId="0" applyNumberFormat="1" applyFont="1" applyAlignment="1">
      <alignment horizontal="center" vertical="center" wrapText="1"/>
    </xf>
    <xf numFmtId="43" fontId="4" fillId="0" borderId="0" xfId="1" applyFont="1" applyFill="1" applyAlignment="1">
      <alignment horizontal="center" vertical="center" wrapText="1"/>
    </xf>
    <xf numFmtId="164" fontId="4" fillId="0" borderId="0" xfId="1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6" fillId="5" borderId="1" xfId="0" applyNumberFormat="1" applyFont="1" applyFill="1" applyBorder="1" applyAlignment="1">
      <alignment horizontal="center" vertical="center" wrapText="1"/>
    </xf>
    <xf numFmtId="43" fontId="6" fillId="5" borderId="1" xfId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0" fillId="4" borderId="1" xfId="0" applyNumberFormat="1" applyFill="1" applyBorder="1"/>
    <xf numFmtId="49" fontId="0" fillId="4" borderId="0" xfId="0" applyNumberFormat="1" applyFill="1"/>
    <xf numFmtId="49" fontId="4" fillId="2" borderId="0" xfId="1" applyNumberFormat="1" applyFont="1" applyFill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43" fontId="0" fillId="2" borderId="1" xfId="1" applyFont="1" applyFill="1" applyBorder="1"/>
    <xf numFmtId="43" fontId="0" fillId="2" borderId="0" xfId="1" applyFont="1" applyFill="1"/>
    <xf numFmtId="43" fontId="4" fillId="2" borderId="0" xfId="1" applyFont="1" applyFill="1" applyAlignment="1">
      <alignment horizontal="center" vertical="center" wrapText="1"/>
    </xf>
    <xf numFmtId="0" fontId="0" fillId="2" borderId="1" xfId="0" applyFill="1" applyBorder="1"/>
    <xf numFmtId="43" fontId="4" fillId="0" borderId="0" xfId="1" quotePrefix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374C-19B4-438A-9A30-B29BCADE8204}">
  <sheetPr filterMode="1"/>
  <dimension ref="A1:AZ917"/>
  <sheetViews>
    <sheetView tabSelected="1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K2" sqref="AK2"/>
    </sheetView>
  </sheetViews>
  <sheetFormatPr defaultColWidth="10.5703125" defaultRowHeight="15" x14ac:dyDescent="0.25"/>
  <cols>
    <col min="1" max="1" width="4" style="52" bestFit="1" customWidth="1"/>
    <col min="2" max="2" width="10.7109375" style="52" bestFit="1" customWidth="1"/>
    <col min="3" max="3" width="14.7109375" style="8" bestFit="1" customWidth="1"/>
    <col min="4" max="4" width="12.5703125" style="8" bestFit="1" customWidth="1"/>
    <col min="5" max="5" width="12.42578125" style="53" bestFit="1" customWidth="1"/>
    <col min="6" max="6" width="12.85546875" style="48" bestFit="1" customWidth="1"/>
    <col min="7" max="7" width="12.7109375" style="53" bestFit="1" customWidth="1"/>
    <col min="8" max="8" width="16.28515625" style="19" bestFit="1" customWidth="1"/>
    <col min="9" max="9" width="18.7109375" style="19" bestFit="1" customWidth="1"/>
    <col min="10" max="10" width="13.7109375" style="8" bestFit="1" customWidth="1"/>
    <col min="11" max="11" width="9.7109375" style="20" bestFit="1" customWidth="1"/>
    <col min="12" max="12" width="9.42578125" style="19" bestFit="1" customWidth="1"/>
    <col min="13" max="13" width="10.28515625" style="53" bestFit="1" customWidth="1"/>
    <col min="14" max="14" width="14.140625" style="48" bestFit="1" customWidth="1"/>
    <col min="15" max="15" width="14.7109375" style="8" bestFit="1" customWidth="1"/>
    <col min="16" max="16" width="15.7109375" style="48" bestFit="1" customWidth="1"/>
    <col min="17" max="19" width="15.7109375" style="53" bestFit="1" customWidth="1"/>
    <col min="20" max="20" width="10.7109375" style="8" bestFit="1" customWidth="1"/>
    <col min="21" max="21" width="19.140625" style="1" bestFit="1" customWidth="1"/>
    <col min="22" max="22" width="14.42578125" style="1" bestFit="1" customWidth="1"/>
    <col min="23" max="23" width="19.7109375" style="19" bestFit="1" customWidth="1"/>
    <col min="24" max="24" width="16.85546875" style="19" bestFit="1" customWidth="1"/>
    <col min="25" max="25" width="10.140625" style="1" bestFit="1" customWidth="1"/>
    <col min="26" max="26" width="16.140625" style="1" bestFit="1" customWidth="1"/>
    <col min="27" max="27" width="2" style="62" customWidth="1"/>
    <col min="28" max="28" width="10.42578125" style="66" bestFit="1" customWidth="1"/>
    <col min="29" max="29" width="9.42578125" style="19" bestFit="1" customWidth="1"/>
    <col min="30" max="30" width="10.42578125" style="19" bestFit="1" customWidth="1"/>
    <col min="31" max="31" width="6.7109375" style="8" bestFit="1" customWidth="1"/>
    <col min="32" max="32" width="10.42578125" style="1" bestFit="1" customWidth="1"/>
    <col min="33" max="33" width="9.42578125" style="1" bestFit="1" customWidth="1"/>
    <col min="34" max="34" width="10.42578125" style="1" bestFit="1" customWidth="1"/>
    <col min="35" max="35" width="10.42578125" style="19" bestFit="1" customWidth="1"/>
    <col min="36" max="36" width="9.42578125" style="19" bestFit="1" customWidth="1"/>
    <col min="37" max="37" width="10.42578125" style="19" bestFit="1" customWidth="1"/>
    <col min="38" max="38" width="12.5703125" style="1" bestFit="1" customWidth="1"/>
    <col min="39" max="39" width="15" style="8" bestFit="1" customWidth="1"/>
    <col min="40" max="40" width="4.7109375" style="1" bestFit="1" customWidth="1"/>
    <col min="41" max="42" width="3.28515625" style="1" bestFit="1" customWidth="1"/>
    <col min="43" max="43" width="15" style="1" bestFit="1" customWidth="1"/>
    <col min="44" max="44" width="13" style="1" bestFit="1" customWidth="1"/>
    <col min="45" max="46" width="6.28515625" style="1" bestFit="1" customWidth="1"/>
    <col min="47" max="47" width="7" style="1" bestFit="1" customWidth="1"/>
    <col min="48" max="48" width="13" style="1" bestFit="1" customWidth="1"/>
    <col min="49" max="52" width="0" style="1" hidden="1" customWidth="1"/>
    <col min="53" max="16384" width="10.5703125" style="1"/>
  </cols>
  <sheetData>
    <row r="1" spans="1:52" s="21" customFormat="1" ht="28.5" customHeight="1" x14ac:dyDescent="0.25">
      <c r="B1" s="49" t="s">
        <v>59</v>
      </c>
      <c r="C1" s="22"/>
      <c r="D1" s="22"/>
      <c r="F1" s="22"/>
      <c r="H1" s="50" t="s">
        <v>50</v>
      </c>
      <c r="I1" s="50" t="s">
        <v>51</v>
      </c>
      <c r="J1" s="22"/>
      <c r="K1" s="51">
        <f>+I3*K3</f>
        <v>0</v>
      </c>
      <c r="L1" s="50"/>
      <c r="N1" s="22" t="s">
        <v>52</v>
      </c>
      <c r="O1" s="22" t="s">
        <v>58</v>
      </c>
      <c r="P1" s="22"/>
      <c r="Q1" s="21" t="s">
        <v>55</v>
      </c>
      <c r="R1" s="21" t="s">
        <v>0</v>
      </c>
      <c r="T1" s="22" t="s">
        <v>53</v>
      </c>
      <c r="W1" s="50"/>
      <c r="X1" s="50"/>
      <c r="AA1" s="23"/>
      <c r="AB1" s="63" t="s">
        <v>36</v>
      </c>
      <c r="AC1" s="50"/>
      <c r="AD1" s="50"/>
      <c r="AE1" s="67"/>
      <c r="AI1" s="50"/>
      <c r="AJ1" s="50"/>
      <c r="AK1" s="69" t="s">
        <v>61</v>
      </c>
      <c r="AL1" s="21" t="s">
        <v>35</v>
      </c>
      <c r="AM1" s="22"/>
      <c r="AN1" s="21" t="s">
        <v>6</v>
      </c>
    </row>
    <row r="2" spans="1:52" s="60" customFormat="1" ht="50.65" customHeight="1" x14ac:dyDescent="0.25">
      <c r="A2" s="54" t="s">
        <v>60</v>
      </c>
      <c r="B2" s="54" t="s">
        <v>60</v>
      </c>
      <c r="C2" s="25" t="s">
        <v>7</v>
      </c>
      <c r="D2" s="25" t="s">
        <v>8</v>
      </c>
      <c r="E2" s="54" t="s">
        <v>9</v>
      </c>
      <c r="F2" s="25" t="s">
        <v>10</v>
      </c>
      <c r="G2" s="54" t="s">
        <v>11</v>
      </c>
      <c r="H2" s="55" t="s">
        <v>12</v>
      </c>
      <c r="I2" s="55" t="s">
        <v>13</v>
      </c>
      <c r="J2" s="25" t="s">
        <v>14</v>
      </c>
      <c r="K2" s="56" t="s">
        <v>15</v>
      </c>
      <c r="L2" s="55" t="s">
        <v>16</v>
      </c>
      <c r="M2" s="57" t="s">
        <v>17</v>
      </c>
      <c r="N2" s="26" t="s">
        <v>18</v>
      </c>
      <c r="O2" s="26" t="s">
        <v>19</v>
      </c>
      <c r="P2" s="25" t="s">
        <v>20</v>
      </c>
      <c r="Q2" s="54" t="s">
        <v>20</v>
      </c>
      <c r="R2" s="54" t="s">
        <v>20</v>
      </c>
      <c r="S2" s="54" t="s">
        <v>20</v>
      </c>
      <c r="T2" s="25" t="s">
        <v>21</v>
      </c>
      <c r="U2" s="54" t="s">
        <v>22</v>
      </c>
      <c r="V2" s="54" t="s">
        <v>23</v>
      </c>
      <c r="W2" s="55" t="s">
        <v>24</v>
      </c>
      <c r="X2" s="55" t="s">
        <v>25</v>
      </c>
      <c r="Y2" s="54" t="s">
        <v>26</v>
      </c>
      <c r="Z2" s="54" t="s">
        <v>27</v>
      </c>
      <c r="AA2" s="28"/>
      <c r="AB2" s="64" t="s">
        <v>28</v>
      </c>
      <c r="AC2" s="55" t="s">
        <v>29</v>
      </c>
      <c r="AD2" s="55" t="s">
        <v>30</v>
      </c>
      <c r="AE2" s="25" t="s">
        <v>31</v>
      </c>
      <c r="AF2" s="55" t="s">
        <v>28</v>
      </c>
      <c r="AG2" s="55" t="s">
        <v>29</v>
      </c>
      <c r="AH2" s="55" t="s">
        <v>30</v>
      </c>
      <c r="AI2" s="55" t="s">
        <v>28</v>
      </c>
      <c r="AJ2" s="55" t="s">
        <v>29</v>
      </c>
      <c r="AK2" s="55" t="s">
        <v>30</v>
      </c>
      <c r="AL2" s="54" t="s">
        <v>32</v>
      </c>
      <c r="AM2" s="40" t="s">
        <v>56</v>
      </c>
      <c r="AN2" s="58"/>
      <c r="AO2" s="58"/>
      <c r="AP2" s="58"/>
      <c r="AQ2" s="58" t="s">
        <v>56</v>
      </c>
      <c r="AR2" s="59" t="s">
        <v>57</v>
      </c>
      <c r="AS2" s="58"/>
      <c r="AT2" s="58"/>
      <c r="AU2" s="58"/>
      <c r="AV2" s="58" t="s">
        <v>57</v>
      </c>
      <c r="AW2" s="29"/>
      <c r="AX2" s="29"/>
      <c r="AY2" s="29"/>
      <c r="AZ2" s="29"/>
    </row>
    <row r="3" spans="1:52" x14ac:dyDescent="0.25">
      <c r="A3" s="47">
        <v>1</v>
      </c>
      <c r="B3" s="15"/>
      <c r="C3" s="2"/>
      <c r="D3" s="2"/>
      <c r="E3" s="24" t="str">
        <f>+AQ3</f>
        <v/>
      </c>
      <c r="F3" s="30"/>
      <c r="G3" s="24" t="str">
        <f>+AV3</f>
        <v>300100</v>
      </c>
      <c r="H3" s="16">
        <f>+AK3</f>
        <v>0</v>
      </c>
      <c r="I3" s="16">
        <f>+ROUND(AD3,2)</f>
        <v>0</v>
      </c>
      <c r="J3" s="2"/>
      <c r="K3" s="17">
        <f>+AE3</f>
        <v>0</v>
      </c>
      <c r="L3" s="16">
        <f>+AJ3</f>
        <v>0</v>
      </c>
      <c r="M3" s="32" t="s">
        <v>5</v>
      </c>
      <c r="N3" s="30"/>
      <c r="O3" s="2"/>
      <c r="P3" s="30"/>
      <c r="Q3" s="32" t="s">
        <v>0</v>
      </c>
      <c r="R3" s="24"/>
      <c r="S3" s="24" t="str">
        <f>+RIGHT(O3,7)</f>
        <v/>
      </c>
      <c r="T3" s="2"/>
      <c r="U3" s="3" t="s">
        <v>1</v>
      </c>
      <c r="V3" s="3" t="s">
        <v>3</v>
      </c>
      <c r="W3" s="16">
        <f>+AI3</f>
        <v>0</v>
      </c>
      <c r="X3" s="16">
        <f>+AJ3</f>
        <v>0</v>
      </c>
      <c r="Y3" s="3" t="s">
        <v>4</v>
      </c>
      <c r="Z3" s="18">
        <f>+F3</f>
        <v>0</v>
      </c>
      <c r="AA3" s="61"/>
      <c r="AB3" s="65"/>
      <c r="AC3" s="16">
        <f>+AB3*0.18</f>
        <v>0</v>
      </c>
      <c r="AD3" s="16">
        <f>+AB3+AC3</f>
        <v>0</v>
      </c>
      <c r="AE3" s="68"/>
      <c r="AF3" s="16">
        <f>+AB3*AE3</f>
        <v>0</v>
      </c>
      <c r="AG3" s="16">
        <f>+AC3*AE3</f>
        <v>0</v>
      </c>
      <c r="AH3" s="16">
        <f>+AD3*AE3</f>
        <v>0</v>
      </c>
      <c r="AI3" s="16">
        <f>+ROUND(AF3,2)</f>
        <v>0</v>
      </c>
      <c r="AJ3" s="16">
        <f>+ROUND(AG3,2)</f>
        <v>0</v>
      </c>
      <c r="AK3" s="16">
        <f>+AI3+AJ3</f>
        <v>0</v>
      </c>
      <c r="AL3" s="16">
        <f>+AI3+AJ3-AK3</f>
        <v>0</v>
      </c>
      <c r="AM3" s="44"/>
      <c r="AN3" s="41" t="str">
        <f>+LEFT(AM3,2)</f>
        <v/>
      </c>
      <c r="AO3" s="41" t="str">
        <f>+MID(AM3,4,2)</f>
        <v/>
      </c>
      <c r="AP3" s="41" t="str">
        <f>+RIGHT(AM3,2)</f>
        <v/>
      </c>
      <c r="AQ3" s="41" t="str">
        <f>+CONCATENATE(AN3,AO3,AP3)</f>
        <v/>
      </c>
      <c r="AR3" s="45">
        <f>+AM3+30</f>
        <v>30</v>
      </c>
      <c r="AS3" s="46">
        <f>+DAY(AR3)</f>
        <v>30</v>
      </c>
      <c r="AT3" s="41">
        <f>+MONTH(AR3)</f>
        <v>1</v>
      </c>
      <c r="AU3" s="41">
        <f>+YEAR(AR3)</f>
        <v>1900</v>
      </c>
      <c r="AV3" s="41" t="str">
        <f>+CONCATENATE(TEXT(AS3,"00"),TEXT(AT3,"00"),RIGHT(AU3,2))</f>
        <v>300100</v>
      </c>
    </row>
    <row r="4" spans="1:52" hidden="1" x14ac:dyDescent="0.25">
      <c r="A4" s="31"/>
      <c r="B4" s="31"/>
      <c r="C4" s="3"/>
      <c r="D4" s="3"/>
      <c r="E4" s="2"/>
      <c r="F4" s="3"/>
      <c r="G4" s="3"/>
      <c r="H4" s="16"/>
      <c r="I4" s="16"/>
      <c r="J4" s="3"/>
      <c r="K4" s="17"/>
      <c r="L4" s="33"/>
      <c r="M4" s="3"/>
      <c r="N4" s="3"/>
      <c r="O4" s="2"/>
      <c r="P4" s="3"/>
      <c r="Q4" s="3"/>
      <c r="R4" s="3"/>
      <c r="S4" s="3"/>
      <c r="T4" s="3"/>
      <c r="U4" s="3"/>
      <c r="V4" s="3"/>
      <c r="W4" s="16"/>
      <c r="X4" s="16"/>
      <c r="Y4" s="3"/>
      <c r="Z4" s="3"/>
      <c r="AA4" s="3"/>
      <c r="AB4" s="16"/>
      <c r="AC4" s="16"/>
      <c r="AD4" s="16"/>
      <c r="AE4" s="9"/>
      <c r="AF4" s="16"/>
      <c r="AG4" s="16"/>
      <c r="AH4" s="16"/>
      <c r="AI4" s="16"/>
      <c r="AJ4" s="16"/>
      <c r="AK4" s="16"/>
      <c r="AL4" s="16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52" hidden="1" x14ac:dyDescent="0.25">
      <c r="A5" s="31"/>
      <c r="B5" s="31"/>
      <c r="C5" s="3"/>
      <c r="D5" s="3"/>
      <c r="E5" s="2"/>
      <c r="F5" s="3"/>
      <c r="G5" s="3"/>
      <c r="H5" s="16"/>
      <c r="I5" s="16"/>
      <c r="J5" s="3"/>
      <c r="K5" s="17"/>
      <c r="L5" s="33"/>
      <c r="M5" s="3"/>
      <c r="N5" s="3"/>
      <c r="O5" s="2"/>
      <c r="P5" s="3"/>
      <c r="Q5" s="3"/>
      <c r="R5" s="3"/>
      <c r="S5" s="3"/>
      <c r="T5" s="3"/>
      <c r="U5" s="3"/>
      <c r="V5" s="3"/>
      <c r="W5" s="16"/>
      <c r="X5" s="16"/>
      <c r="Y5" s="3"/>
      <c r="Z5" s="3"/>
      <c r="AA5" s="3"/>
      <c r="AB5" s="16"/>
      <c r="AC5" s="16"/>
      <c r="AD5" s="16"/>
      <c r="AE5" s="9"/>
      <c r="AF5" s="16"/>
      <c r="AG5" s="16"/>
      <c r="AH5" s="16"/>
      <c r="AI5" s="16"/>
      <c r="AJ5" s="16"/>
      <c r="AK5" s="16"/>
      <c r="AL5" s="16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52" hidden="1" x14ac:dyDescent="0.25">
      <c r="A6" s="31"/>
      <c r="B6" s="31"/>
      <c r="C6" s="3"/>
      <c r="D6" s="3"/>
      <c r="E6" s="2"/>
      <c r="F6" s="3"/>
      <c r="G6" s="3"/>
      <c r="H6" s="16"/>
      <c r="I6" s="16"/>
      <c r="J6" s="3"/>
      <c r="K6" s="17"/>
      <c r="L6" s="33"/>
      <c r="M6" s="3"/>
      <c r="N6" s="3"/>
      <c r="O6" s="2"/>
      <c r="P6" s="3"/>
      <c r="Q6" s="3"/>
      <c r="R6" s="3"/>
      <c r="S6" s="3"/>
      <c r="T6" s="3"/>
      <c r="U6" s="3"/>
      <c r="V6" s="3"/>
      <c r="W6" s="16"/>
      <c r="X6" s="16"/>
      <c r="Y6" s="3"/>
      <c r="Z6" s="3"/>
      <c r="AA6" s="3"/>
      <c r="AB6" s="16"/>
      <c r="AC6" s="16"/>
      <c r="AD6" s="16"/>
      <c r="AE6" s="9"/>
      <c r="AF6" s="16"/>
      <c r="AG6" s="16"/>
      <c r="AH6" s="16"/>
      <c r="AI6" s="16"/>
      <c r="AJ6" s="16"/>
      <c r="AK6" s="16"/>
      <c r="AL6" s="16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52" x14ac:dyDescent="0.25">
      <c r="A7" s="15">
        <f>1+A3</f>
        <v>2</v>
      </c>
      <c r="B7" s="15"/>
      <c r="C7" s="2"/>
      <c r="D7" s="2"/>
      <c r="E7" s="24" t="str">
        <f>+AQ7</f>
        <v/>
      </c>
      <c r="F7" s="30"/>
      <c r="G7" s="24" t="str">
        <f>+AV7</f>
        <v>300100</v>
      </c>
      <c r="H7" s="16">
        <f>+AK7</f>
        <v>0</v>
      </c>
      <c r="I7" s="16">
        <f>+ROUND(AD7,2)</f>
        <v>0</v>
      </c>
      <c r="J7" s="2"/>
      <c r="K7" s="17">
        <f>+AE7</f>
        <v>0</v>
      </c>
      <c r="L7" s="16">
        <f>+AJ7</f>
        <v>0</v>
      </c>
      <c r="M7" s="32" t="s">
        <v>5</v>
      </c>
      <c r="N7" s="30"/>
      <c r="O7" s="2"/>
      <c r="P7" s="30"/>
      <c r="Q7" s="32" t="s">
        <v>0</v>
      </c>
      <c r="R7" s="24"/>
      <c r="S7" s="24" t="str">
        <f>+RIGHT(O7,7)</f>
        <v/>
      </c>
      <c r="T7" s="2"/>
      <c r="U7" s="3" t="s">
        <v>1</v>
      </c>
      <c r="V7" s="3" t="s">
        <v>3</v>
      </c>
      <c r="W7" s="16">
        <f>+AI7</f>
        <v>0</v>
      </c>
      <c r="X7" s="16">
        <f>+AJ7</f>
        <v>0</v>
      </c>
      <c r="Y7" s="3" t="s">
        <v>4</v>
      </c>
      <c r="Z7" s="18">
        <f>+F7</f>
        <v>0</v>
      </c>
      <c r="AA7" s="61"/>
      <c r="AB7" s="65"/>
      <c r="AC7" s="16">
        <f>+AB7*0.18</f>
        <v>0</v>
      </c>
      <c r="AD7" s="16">
        <f>+AB7+AC7</f>
        <v>0</v>
      </c>
      <c r="AE7" s="68"/>
      <c r="AF7" s="16">
        <f>+AB7*AE7</f>
        <v>0</v>
      </c>
      <c r="AG7" s="16">
        <f>+AC7*AE7</f>
        <v>0</v>
      </c>
      <c r="AH7" s="16">
        <f>+AD7*AE7</f>
        <v>0</v>
      </c>
      <c r="AI7" s="16">
        <f>+ROUND(AF7,2)</f>
        <v>0</v>
      </c>
      <c r="AJ7" s="16">
        <f>+ROUND(AG7,2)</f>
        <v>0</v>
      </c>
      <c r="AK7" s="16">
        <f>+AI7+AJ7</f>
        <v>0</v>
      </c>
      <c r="AL7" s="16">
        <f>+AI7+AJ7-AK7</f>
        <v>0</v>
      </c>
      <c r="AM7" s="44"/>
      <c r="AN7" s="41" t="str">
        <f>+LEFT(AM7,2)</f>
        <v/>
      </c>
      <c r="AO7" s="41" t="str">
        <f>+MID(AM7,4,2)</f>
        <v/>
      </c>
      <c r="AP7" s="41" t="str">
        <f>+RIGHT(AM7,2)</f>
        <v/>
      </c>
      <c r="AQ7" s="41" t="str">
        <f>+CONCATENATE(AN7,AO7,AP7)</f>
        <v/>
      </c>
      <c r="AR7" s="45">
        <f>+AM7+30</f>
        <v>30</v>
      </c>
      <c r="AS7" s="46">
        <f>+DAY(AR7)</f>
        <v>30</v>
      </c>
      <c r="AT7" s="41">
        <f>+MONTH(AR7)</f>
        <v>1</v>
      </c>
      <c r="AU7" s="41">
        <f>+YEAR(AR7)</f>
        <v>1900</v>
      </c>
      <c r="AV7" s="41" t="str">
        <f>+CONCATENATE(TEXT(AS7,"00"),TEXT(AT7,"00"),RIGHT(AU7,2))</f>
        <v>300100</v>
      </c>
    </row>
    <row r="8" spans="1:52" hidden="1" x14ac:dyDescent="0.25">
      <c r="A8" s="31"/>
      <c r="B8" s="31"/>
      <c r="C8" s="3"/>
      <c r="D8" s="3"/>
      <c r="E8" s="2"/>
      <c r="F8" s="3"/>
      <c r="G8" s="3"/>
      <c r="H8" s="16"/>
      <c r="I8" s="16"/>
      <c r="J8" s="3"/>
      <c r="K8" s="17"/>
      <c r="L8" s="16"/>
      <c r="M8" s="3"/>
      <c r="N8" s="3"/>
      <c r="O8" s="2"/>
      <c r="P8" s="3"/>
      <c r="Q8" s="3"/>
      <c r="R8" s="3"/>
      <c r="S8" s="16"/>
      <c r="T8" s="3"/>
      <c r="U8" s="3"/>
      <c r="V8" s="3"/>
      <c r="W8" s="16"/>
      <c r="X8" s="16"/>
      <c r="Y8" s="3"/>
      <c r="Z8" s="18"/>
      <c r="AA8" s="3"/>
      <c r="AB8" s="16"/>
      <c r="AC8" s="16"/>
      <c r="AD8" s="16"/>
      <c r="AE8" s="9"/>
      <c r="AF8" s="16"/>
      <c r="AG8" s="16"/>
      <c r="AH8" s="16"/>
      <c r="AI8" s="16"/>
      <c r="AJ8" s="16"/>
      <c r="AK8" s="16"/>
      <c r="AL8" s="16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52" hidden="1" x14ac:dyDescent="0.25">
      <c r="A9" s="31"/>
      <c r="B9" s="31"/>
      <c r="C9" s="3"/>
      <c r="D9" s="3"/>
      <c r="E9" s="2"/>
      <c r="F9" s="3"/>
      <c r="G9" s="3"/>
      <c r="H9" s="16"/>
      <c r="I9" s="16"/>
      <c r="J9" s="3"/>
      <c r="K9" s="17"/>
      <c r="L9" s="16"/>
      <c r="M9" s="3"/>
      <c r="N9" s="3"/>
      <c r="O9" s="2"/>
      <c r="P9" s="3"/>
      <c r="Q9" s="3"/>
      <c r="R9" s="3"/>
      <c r="S9" s="16"/>
      <c r="T9" s="3"/>
      <c r="U9" s="3"/>
      <c r="V9" s="3"/>
      <c r="W9" s="16"/>
      <c r="X9" s="16"/>
      <c r="Y9" s="3"/>
      <c r="Z9" s="18"/>
      <c r="AA9" s="3"/>
      <c r="AB9" s="16"/>
      <c r="AC9" s="16"/>
      <c r="AD9" s="16"/>
      <c r="AE9" s="9"/>
      <c r="AF9" s="16"/>
      <c r="AG9" s="16"/>
      <c r="AH9" s="16"/>
      <c r="AI9" s="16"/>
      <c r="AJ9" s="16"/>
      <c r="AK9" s="16"/>
      <c r="AL9" s="16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52" hidden="1" x14ac:dyDescent="0.25">
      <c r="A10" s="31"/>
      <c r="B10" s="31"/>
      <c r="C10" s="3"/>
      <c r="D10" s="3"/>
      <c r="E10" s="2"/>
      <c r="F10" s="3"/>
      <c r="G10" s="3"/>
      <c r="H10" s="16"/>
      <c r="I10" s="16"/>
      <c r="J10" s="3"/>
      <c r="K10" s="17"/>
      <c r="L10" s="16"/>
      <c r="M10" s="3"/>
      <c r="N10" s="3"/>
      <c r="O10" s="2"/>
      <c r="P10" s="3"/>
      <c r="Q10" s="3"/>
      <c r="R10" s="3"/>
      <c r="S10" s="16"/>
      <c r="T10" s="3"/>
      <c r="U10" s="3"/>
      <c r="V10" s="3"/>
      <c r="W10" s="16"/>
      <c r="X10" s="16"/>
      <c r="Y10" s="3"/>
      <c r="Z10" s="18"/>
      <c r="AA10" s="3"/>
      <c r="AB10" s="16"/>
      <c r="AC10" s="16"/>
      <c r="AD10" s="16"/>
      <c r="AE10" s="9"/>
      <c r="AF10" s="16"/>
      <c r="AG10" s="16"/>
      <c r="AH10" s="16"/>
      <c r="AI10" s="16"/>
      <c r="AJ10" s="16"/>
      <c r="AK10" s="16"/>
      <c r="AL10" s="16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52" x14ac:dyDescent="0.25">
      <c r="A11" s="15">
        <f>1+A7</f>
        <v>3</v>
      </c>
      <c r="B11" s="31"/>
      <c r="C11" s="2"/>
      <c r="D11" s="2"/>
      <c r="E11" s="24" t="str">
        <f>+AQ11</f>
        <v/>
      </c>
      <c r="F11" s="30"/>
      <c r="G11" s="24" t="str">
        <f>+AV11</f>
        <v>300100</v>
      </c>
      <c r="H11" s="16">
        <f>+AK11</f>
        <v>0</v>
      </c>
      <c r="I11" s="16">
        <f>+ROUND(AD11,2)</f>
        <v>0</v>
      </c>
      <c r="J11" s="2"/>
      <c r="K11" s="17">
        <f>+AE11</f>
        <v>0</v>
      </c>
      <c r="L11" s="16">
        <f>+AJ11</f>
        <v>0</v>
      </c>
      <c r="M11" s="32" t="s">
        <v>5</v>
      </c>
      <c r="N11" s="30"/>
      <c r="O11" s="2"/>
      <c r="P11" s="30"/>
      <c r="Q11" s="32" t="s">
        <v>0</v>
      </c>
      <c r="R11" s="24"/>
      <c r="S11" s="24" t="str">
        <f>+RIGHT(O11,7)</f>
        <v/>
      </c>
      <c r="T11" s="2"/>
      <c r="U11" s="3" t="s">
        <v>1</v>
      </c>
      <c r="V11" s="3" t="s">
        <v>3</v>
      </c>
      <c r="W11" s="16">
        <f>+AI11</f>
        <v>0</v>
      </c>
      <c r="X11" s="16">
        <f>+AJ11</f>
        <v>0</v>
      </c>
      <c r="Y11" s="3" t="s">
        <v>4</v>
      </c>
      <c r="Z11" s="18">
        <f>+F11</f>
        <v>0</v>
      </c>
      <c r="AA11" s="61"/>
      <c r="AB11" s="65"/>
      <c r="AC11" s="16">
        <f>+AB11*0.18</f>
        <v>0</v>
      </c>
      <c r="AD11" s="16">
        <f>+AB11+AC11</f>
        <v>0</v>
      </c>
      <c r="AE11" s="68"/>
      <c r="AF11" s="16">
        <f>+AB11*AE11</f>
        <v>0</v>
      </c>
      <c r="AG11" s="16">
        <f>+AC11*AE11</f>
        <v>0</v>
      </c>
      <c r="AH11" s="16">
        <f>+AD11*AE11</f>
        <v>0</v>
      </c>
      <c r="AI11" s="16">
        <f>+ROUND(AF11,2)</f>
        <v>0</v>
      </c>
      <c r="AJ11" s="16">
        <f>+ROUND(AG11,2)</f>
        <v>0</v>
      </c>
      <c r="AK11" s="16">
        <f>+AI11+AJ11</f>
        <v>0</v>
      </c>
      <c r="AL11" s="16">
        <f>+AI11+AJ11-AK11</f>
        <v>0</v>
      </c>
      <c r="AM11" s="44"/>
      <c r="AN11" s="41" t="str">
        <f>+LEFT(AM11,2)</f>
        <v/>
      </c>
      <c r="AO11" s="41" t="str">
        <f>+MID(AM11,4,2)</f>
        <v/>
      </c>
      <c r="AP11" s="41" t="str">
        <f>+RIGHT(AM11,2)</f>
        <v/>
      </c>
      <c r="AQ11" s="41" t="str">
        <f>+CONCATENATE(AN11,AO11,AP11)</f>
        <v/>
      </c>
      <c r="AR11" s="45">
        <f>+AM11+30</f>
        <v>30</v>
      </c>
      <c r="AS11" s="46">
        <f>+DAY(AR11)</f>
        <v>30</v>
      </c>
      <c r="AT11" s="41">
        <f>+MONTH(AR11)</f>
        <v>1</v>
      </c>
      <c r="AU11" s="41">
        <f>+YEAR(AR11)</f>
        <v>1900</v>
      </c>
      <c r="AV11" s="41" t="str">
        <f>+CONCATENATE(TEXT(AS11,"00"),TEXT(AT11,"00"),RIGHT(AU11,2))</f>
        <v>300100</v>
      </c>
    </row>
    <row r="12" spans="1:52" hidden="1" x14ac:dyDescent="0.25">
      <c r="A12" s="31"/>
      <c r="B12" s="31"/>
      <c r="C12" s="3"/>
      <c r="D12" s="3"/>
      <c r="E12" s="2"/>
      <c r="F12" s="3"/>
      <c r="G12" s="3"/>
      <c r="H12" s="16"/>
      <c r="I12" s="16"/>
      <c r="J12" s="3"/>
      <c r="K12" s="17"/>
      <c r="L12" s="16"/>
      <c r="M12" s="3"/>
      <c r="N12" s="3"/>
      <c r="O12" s="2"/>
      <c r="P12" s="3"/>
      <c r="Q12" s="3"/>
      <c r="R12" s="3"/>
      <c r="S12" s="16"/>
      <c r="T12" s="3"/>
      <c r="U12" s="3"/>
      <c r="V12" s="3"/>
      <c r="W12" s="16"/>
      <c r="X12" s="16"/>
      <c r="Y12" s="3"/>
      <c r="Z12" s="18"/>
      <c r="AA12" s="3"/>
      <c r="AB12" s="16"/>
      <c r="AC12" s="16"/>
      <c r="AD12" s="16"/>
      <c r="AE12" s="9"/>
      <c r="AF12" s="16"/>
      <c r="AG12" s="16"/>
      <c r="AH12" s="16"/>
      <c r="AI12" s="16"/>
      <c r="AJ12" s="16"/>
      <c r="AK12" s="16"/>
      <c r="AL12" s="16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52" hidden="1" x14ac:dyDescent="0.25">
      <c r="A13" s="31"/>
      <c r="B13" s="31"/>
      <c r="C13" s="3"/>
      <c r="D13" s="3"/>
      <c r="E13" s="2"/>
      <c r="F13" s="3"/>
      <c r="G13" s="3"/>
      <c r="H13" s="16"/>
      <c r="I13" s="16"/>
      <c r="J13" s="3"/>
      <c r="K13" s="17"/>
      <c r="L13" s="16"/>
      <c r="M13" s="3"/>
      <c r="N13" s="3"/>
      <c r="O13" s="2"/>
      <c r="P13" s="3"/>
      <c r="Q13" s="3"/>
      <c r="R13" s="3"/>
      <c r="S13" s="16"/>
      <c r="T13" s="3"/>
      <c r="U13" s="3"/>
      <c r="V13" s="3"/>
      <c r="W13" s="16"/>
      <c r="X13" s="16"/>
      <c r="Y13" s="3"/>
      <c r="Z13" s="18"/>
      <c r="AA13" s="3"/>
      <c r="AB13" s="16"/>
      <c r="AC13" s="16"/>
      <c r="AD13" s="16"/>
      <c r="AE13" s="9"/>
      <c r="AF13" s="16"/>
      <c r="AG13" s="16"/>
      <c r="AH13" s="16"/>
      <c r="AI13" s="16"/>
      <c r="AJ13" s="16"/>
      <c r="AK13" s="16"/>
      <c r="AL13" s="16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52" hidden="1" x14ac:dyDescent="0.25">
      <c r="A14" s="31"/>
      <c r="B14" s="31"/>
      <c r="C14" s="3"/>
      <c r="D14" s="3"/>
      <c r="E14" s="2"/>
      <c r="F14" s="3"/>
      <c r="G14" s="3"/>
      <c r="H14" s="16"/>
      <c r="I14" s="16"/>
      <c r="J14" s="3"/>
      <c r="K14" s="17"/>
      <c r="L14" s="16"/>
      <c r="M14" s="3"/>
      <c r="N14" s="3"/>
      <c r="O14" s="2"/>
      <c r="P14" s="3"/>
      <c r="Q14" s="3"/>
      <c r="R14" s="3"/>
      <c r="S14" s="16"/>
      <c r="T14" s="3"/>
      <c r="U14" s="3"/>
      <c r="V14" s="3"/>
      <c r="W14" s="16"/>
      <c r="X14" s="16"/>
      <c r="Y14" s="3"/>
      <c r="Z14" s="18"/>
      <c r="AA14" s="3"/>
      <c r="AB14" s="16"/>
      <c r="AC14" s="16"/>
      <c r="AD14" s="16"/>
      <c r="AE14" s="9"/>
      <c r="AF14" s="16"/>
      <c r="AG14" s="16"/>
      <c r="AH14" s="16"/>
      <c r="AI14" s="16"/>
      <c r="AJ14" s="16"/>
      <c r="AK14" s="16"/>
      <c r="AL14" s="16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52" x14ac:dyDescent="0.25">
      <c r="A15" s="15">
        <f>1+A11</f>
        <v>4</v>
      </c>
      <c r="B15" s="15"/>
      <c r="C15" s="2"/>
      <c r="D15" s="2"/>
      <c r="E15" s="24" t="str">
        <f>+AQ15</f>
        <v/>
      </c>
      <c r="F15" s="30"/>
      <c r="G15" s="24" t="str">
        <f>+AV15</f>
        <v>300100</v>
      </c>
      <c r="H15" s="16">
        <f>+AK15</f>
        <v>0</v>
      </c>
      <c r="I15" s="16">
        <f>+ROUND(AD15,2)</f>
        <v>0</v>
      </c>
      <c r="J15" s="2"/>
      <c r="K15" s="17">
        <f>+AE15</f>
        <v>0</v>
      </c>
      <c r="L15" s="16">
        <f>+AJ15</f>
        <v>0</v>
      </c>
      <c r="M15" s="32" t="s">
        <v>5</v>
      </c>
      <c r="N15" s="30"/>
      <c r="O15" s="2"/>
      <c r="P15" s="30"/>
      <c r="Q15" s="32" t="s">
        <v>0</v>
      </c>
      <c r="R15" s="24"/>
      <c r="S15" s="24" t="str">
        <f>+RIGHT(O15,7)</f>
        <v/>
      </c>
      <c r="T15" s="2"/>
      <c r="U15" s="3" t="s">
        <v>1</v>
      </c>
      <c r="V15" s="3" t="s">
        <v>3</v>
      </c>
      <c r="W15" s="16">
        <f>+AI15</f>
        <v>0</v>
      </c>
      <c r="X15" s="16">
        <f>+AJ15</f>
        <v>0</v>
      </c>
      <c r="Y15" s="3" t="s">
        <v>4</v>
      </c>
      <c r="Z15" s="18">
        <f>+F15</f>
        <v>0</v>
      </c>
      <c r="AA15" s="61"/>
      <c r="AB15" s="65"/>
      <c r="AC15" s="16">
        <f>+AB15*0.18</f>
        <v>0</v>
      </c>
      <c r="AD15" s="16">
        <f>+AB15+AC15</f>
        <v>0</v>
      </c>
      <c r="AE15" s="68"/>
      <c r="AF15" s="16">
        <f>+AB15*AE15</f>
        <v>0</v>
      </c>
      <c r="AG15" s="16">
        <f>+AC15*AE15</f>
        <v>0</v>
      </c>
      <c r="AH15" s="16">
        <f>+AD15*AE15</f>
        <v>0</v>
      </c>
      <c r="AI15" s="16">
        <f>+ROUND(AF15,2)</f>
        <v>0</v>
      </c>
      <c r="AJ15" s="16">
        <f>+ROUND(AG15,2)</f>
        <v>0</v>
      </c>
      <c r="AK15" s="16">
        <f>+AI15+AJ15</f>
        <v>0</v>
      </c>
      <c r="AL15" s="16">
        <f>+AI15+AJ15-AK15</f>
        <v>0</v>
      </c>
      <c r="AM15" s="44"/>
      <c r="AN15" s="41" t="str">
        <f>+LEFT(AM15,2)</f>
        <v/>
      </c>
      <c r="AO15" s="41" t="str">
        <f>+MID(AM15,4,2)</f>
        <v/>
      </c>
      <c r="AP15" s="41" t="str">
        <f>+RIGHT(AM15,2)</f>
        <v/>
      </c>
      <c r="AQ15" s="41" t="str">
        <f>+CONCATENATE(AN15,AO15,AP15)</f>
        <v/>
      </c>
      <c r="AR15" s="45">
        <f>+AM15+30</f>
        <v>30</v>
      </c>
      <c r="AS15" s="46">
        <f>+DAY(AR15)</f>
        <v>30</v>
      </c>
      <c r="AT15" s="41">
        <f>+MONTH(AR15)</f>
        <v>1</v>
      </c>
      <c r="AU15" s="41">
        <f>+YEAR(AR15)</f>
        <v>1900</v>
      </c>
      <c r="AV15" s="41" t="str">
        <f>+CONCATENATE(TEXT(AS15,"00"),TEXT(AT15,"00"),RIGHT(AU15,2))</f>
        <v>300100</v>
      </c>
    </row>
    <row r="16" spans="1:52" hidden="1" x14ac:dyDescent="0.25">
      <c r="A16" s="31"/>
      <c r="B16" s="31"/>
      <c r="C16" s="3"/>
      <c r="D16" s="3"/>
      <c r="E16" s="2"/>
      <c r="F16" s="3"/>
      <c r="G16" s="3"/>
      <c r="H16" s="16"/>
      <c r="I16" s="16"/>
      <c r="J16" s="3"/>
      <c r="K16" s="17"/>
      <c r="L16" s="16"/>
      <c r="M16" s="3"/>
      <c r="N16" s="3"/>
      <c r="O16" s="2"/>
      <c r="P16" s="3"/>
      <c r="Q16" s="3"/>
      <c r="R16" s="3"/>
      <c r="S16" s="16"/>
      <c r="T16" s="3"/>
      <c r="U16" s="3"/>
      <c r="V16" s="3"/>
      <c r="W16" s="16"/>
      <c r="X16" s="16"/>
      <c r="Y16" s="3"/>
      <c r="Z16" s="18"/>
      <c r="AA16" s="3"/>
      <c r="AB16" s="16"/>
      <c r="AC16" s="16"/>
      <c r="AD16" s="16"/>
      <c r="AE16" s="9"/>
      <c r="AF16" s="16"/>
      <c r="AG16" s="16"/>
      <c r="AH16" s="16"/>
      <c r="AI16" s="16"/>
      <c r="AJ16" s="16"/>
      <c r="AK16" s="16"/>
      <c r="AL16" s="16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idden="1" x14ac:dyDescent="0.25">
      <c r="A17" s="31"/>
      <c r="B17" s="31"/>
      <c r="C17" s="3"/>
      <c r="D17" s="3"/>
      <c r="E17" s="2"/>
      <c r="F17" s="3"/>
      <c r="G17" s="3"/>
      <c r="H17" s="16"/>
      <c r="I17" s="16"/>
      <c r="J17" s="3"/>
      <c r="K17" s="17"/>
      <c r="L17" s="16"/>
      <c r="M17" s="3"/>
      <c r="N17" s="3"/>
      <c r="O17" s="2"/>
      <c r="P17" s="3"/>
      <c r="Q17" s="3"/>
      <c r="R17" s="3"/>
      <c r="S17" s="16"/>
      <c r="T17" s="3"/>
      <c r="U17" s="3"/>
      <c r="V17" s="3"/>
      <c r="W17" s="16"/>
      <c r="X17" s="16"/>
      <c r="Y17" s="3"/>
      <c r="Z17" s="18"/>
      <c r="AA17" s="3"/>
      <c r="AB17" s="16"/>
      <c r="AC17" s="16"/>
      <c r="AD17" s="16"/>
      <c r="AE17" s="9"/>
      <c r="AF17" s="16"/>
      <c r="AG17" s="16"/>
      <c r="AH17" s="16"/>
      <c r="AI17" s="16"/>
      <c r="AJ17" s="16"/>
      <c r="AK17" s="16"/>
      <c r="AL17" s="16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idden="1" x14ac:dyDescent="0.25">
      <c r="A18" s="31"/>
      <c r="B18" s="31"/>
      <c r="C18" s="3"/>
      <c r="D18" s="3"/>
      <c r="E18" s="2"/>
      <c r="F18" s="3"/>
      <c r="G18" s="3"/>
      <c r="H18" s="16"/>
      <c r="I18" s="16"/>
      <c r="J18" s="3"/>
      <c r="K18" s="17"/>
      <c r="L18" s="16"/>
      <c r="M18" s="3"/>
      <c r="N18" s="3"/>
      <c r="O18" s="2"/>
      <c r="P18" s="3"/>
      <c r="Q18" s="3"/>
      <c r="R18" s="3"/>
      <c r="S18" s="16"/>
      <c r="T18" s="3"/>
      <c r="U18" s="3"/>
      <c r="V18" s="3"/>
      <c r="W18" s="16"/>
      <c r="X18" s="16"/>
      <c r="Y18" s="3"/>
      <c r="Z18" s="18"/>
      <c r="AA18" s="3"/>
      <c r="AB18" s="16"/>
      <c r="AC18" s="16"/>
      <c r="AD18" s="16"/>
      <c r="AE18" s="9"/>
      <c r="AF18" s="16"/>
      <c r="AG18" s="16"/>
      <c r="AH18" s="16"/>
      <c r="AI18" s="16"/>
      <c r="AJ18" s="16"/>
      <c r="AK18" s="16"/>
      <c r="AL18" s="16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x14ac:dyDescent="0.25">
      <c r="A19" s="15">
        <f>1+A15</f>
        <v>5</v>
      </c>
      <c r="B19" s="15"/>
      <c r="C19" s="2"/>
      <c r="D19" s="2"/>
      <c r="E19" s="24" t="str">
        <f>+AQ19</f>
        <v/>
      </c>
      <c r="F19" s="30"/>
      <c r="G19" s="24" t="str">
        <f>+AV19</f>
        <v>300100</v>
      </c>
      <c r="H19" s="16">
        <f>+AK19</f>
        <v>0</v>
      </c>
      <c r="I19" s="16">
        <f>+ROUND(AD19,2)</f>
        <v>0</v>
      </c>
      <c r="J19" s="2"/>
      <c r="K19" s="17">
        <f>+AE19</f>
        <v>0</v>
      </c>
      <c r="L19" s="16">
        <f>+AJ19</f>
        <v>0</v>
      </c>
      <c r="M19" s="32" t="s">
        <v>5</v>
      </c>
      <c r="N19" s="30"/>
      <c r="O19" s="2"/>
      <c r="P19" s="30"/>
      <c r="Q19" s="32" t="s">
        <v>0</v>
      </c>
      <c r="R19" s="24"/>
      <c r="S19" s="24" t="str">
        <f>+RIGHT(O19,7)</f>
        <v/>
      </c>
      <c r="T19" s="2"/>
      <c r="U19" s="3" t="s">
        <v>1</v>
      </c>
      <c r="V19" s="3" t="s">
        <v>3</v>
      </c>
      <c r="W19" s="16">
        <f>+AI19</f>
        <v>0</v>
      </c>
      <c r="X19" s="16">
        <f>+AJ19</f>
        <v>0</v>
      </c>
      <c r="Y19" s="3" t="s">
        <v>4</v>
      </c>
      <c r="Z19" s="18">
        <f>+F19</f>
        <v>0</v>
      </c>
      <c r="AA19" s="61"/>
      <c r="AB19" s="65"/>
      <c r="AC19" s="16">
        <f>+AB19*0.18</f>
        <v>0</v>
      </c>
      <c r="AD19" s="16">
        <f>+AB19+AC19</f>
        <v>0</v>
      </c>
      <c r="AE19" s="68"/>
      <c r="AF19" s="16">
        <f>+AB19*AE19</f>
        <v>0</v>
      </c>
      <c r="AG19" s="16">
        <f>+AC19*AE19</f>
        <v>0</v>
      </c>
      <c r="AH19" s="16">
        <f>+AD19*AE19</f>
        <v>0</v>
      </c>
      <c r="AI19" s="16">
        <f>+ROUND(AF19,2)</f>
        <v>0</v>
      </c>
      <c r="AJ19" s="16">
        <f>+ROUND(AG19,2)</f>
        <v>0</v>
      </c>
      <c r="AK19" s="16">
        <f>+AI19+AJ19</f>
        <v>0</v>
      </c>
      <c r="AL19" s="16">
        <f>+AI19+AJ19-AK19</f>
        <v>0</v>
      </c>
      <c r="AM19" s="44"/>
      <c r="AN19" s="41" t="str">
        <f>+LEFT(AM19,2)</f>
        <v/>
      </c>
      <c r="AO19" s="41" t="str">
        <f>+MID(AM19,4,2)</f>
        <v/>
      </c>
      <c r="AP19" s="41" t="str">
        <f>+RIGHT(AM19,2)</f>
        <v/>
      </c>
      <c r="AQ19" s="41" t="str">
        <f>+CONCATENATE(AN19,AO19,AP19)</f>
        <v/>
      </c>
      <c r="AR19" s="45">
        <f>+AM19+30</f>
        <v>30</v>
      </c>
      <c r="AS19" s="46">
        <f>+DAY(AR19)</f>
        <v>30</v>
      </c>
      <c r="AT19" s="41">
        <f>+MONTH(AR19)</f>
        <v>1</v>
      </c>
      <c r="AU19" s="41">
        <f>+YEAR(AR19)</f>
        <v>1900</v>
      </c>
      <c r="AV19" s="41" t="str">
        <f>+CONCATENATE(TEXT(AS19,"00"),TEXT(AT19,"00"),RIGHT(AU19,2))</f>
        <v>300100</v>
      </c>
    </row>
    <row r="20" spans="1:48" hidden="1" x14ac:dyDescent="0.25">
      <c r="A20" s="31"/>
      <c r="B20" s="31"/>
      <c r="C20" s="3"/>
      <c r="D20" s="3"/>
      <c r="E20" s="2"/>
      <c r="F20" s="3"/>
      <c r="G20" s="3"/>
      <c r="H20" s="16"/>
      <c r="I20" s="16"/>
      <c r="J20" s="3"/>
      <c r="K20" s="17"/>
      <c r="L20" s="16"/>
      <c r="M20" s="3"/>
      <c r="N20" s="3"/>
      <c r="O20" s="2"/>
      <c r="P20" s="3"/>
      <c r="Q20" s="3"/>
      <c r="R20" s="3"/>
      <c r="S20" s="16"/>
      <c r="T20" s="3"/>
      <c r="U20" s="3"/>
      <c r="V20" s="3"/>
      <c r="W20" s="16"/>
      <c r="X20" s="16"/>
      <c r="Y20" s="3"/>
      <c r="Z20" s="18"/>
      <c r="AA20" s="3"/>
      <c r="AB20" s="16"/>
      <c r="AC20" s="16"/>
      <c r="AD20" s="16"/>
      <c r="AE20" s="9"/>
      <c r="AF20" s="16"/>
      <c r="AG20" s="16"/>
      <c r="AH20" s="16"/>
      <c r="AI20" s="16"/>
      <c r="AJ20" s="16"/>
      <c r="AK20" s="16"/>
      <c r="AL20" s="16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idden="1" x14ac:dyDescent="0.25">
      <c r="A21" s="31"/>
      <c r="B21" s="31"/>
      <c r="C21" s="3"/>
      <c r="D21" s="3"/>
      <c r="E21" s="2"/>
      <c r="F21" s="3"/>
      <c r="G21" s="3"/>
      <c r="H21" s="16"/>
      <c r="I21" s="16"/>
      <c r="J21" s="3"/>
      <c r="K21" s="17"/>
      <c r="L21" s="16"/>
      <c r="M21" s="3"/>
      <c r="N21" s="3"/>
      <c r="O21" s="2"/>
      <c r="P21" s="3"/>
      <c r="Q21" s="3"/>
      <c r="R21" s="3"/>
      <c r="S21" s="16"/>
      <c r="T21" s="3"/>
      <c r="U21" s="3"/>
      <c r="V21" s="3"/>
      <c r="W21" s="16"/>
      <c r="X21" s="16"/>
      <c r="Y21" s="3"/>
      <c r="Z21" s="18"/>
      <c r="AA21" s="3"/>
      <c r="AB21" s="16"/>
      <c r="AC21" s="16"/>
      <c r="AD21" s="16"/>
      <c r="AE21" s="9"/>
      <c r="AF21" s="16"/>
      <c r="AG21" s="16"/>
      <c r="AH21" s="16"/>
      <c r="AI21" s="16"/>
      <c r="AJ21" s="16"/>
      <c r="AK21" s="16"/>
      <c r="AL21" s="16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idden="1" x14ac:dyDescent="0.25">
      <c r="A22" s="31"/>
      <c r="B22" s="31"/>
      <c r="C22" s="3"/>
      <c r="D22" s="3"/>
      <c r="E22" s="2"/>
      <c r="F22" s="3"/>
      <c r="G22" s="3"/>
      <c r="H22" s="16"/>
      <c r="I22" s="16"/>
      <c r="J22" s="3"/>
      <c r="K22" s="17"/>
      <c r="L22" s="16"/>
      <c r="M22" s="3"/>
      <c r="N22" s="3"/>
      <c r="O22" s="2"/>
      <c r="P22" s="3"/>
      <c r="Q22" s="3"/>
      <c r="R22" s="3"/>
      <c r="S22" s="16"/>
      <c r="T22" s="3"/>
      <c r="U22" s="3"/>
      <c r="V22" s="3"/>
      <c r="W22" s="16"/>
      <c r="X22" s="16"/>
      <c r="Y22" s="3"/>
      <c r="Z22" s="18"/>
      <c r="AA22" s="3"/>
      <c r="AB22" s="16"/>
      <c r="AC22" s="16"/>
      <c r="AD22" s="16"/>
      <c r="AE22" s="9"/>
      <c r="AF22" s="16"/>
      <c r="AG22" s="16"/>
      <c r="AH22" s="16"/>
      <c r="AI22" s="16"/>
      <c r="AJ22" s="16"/>
      <c r="AK22" s="16"/>
      <c r="AL22" s="16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x14ac:dyDescent="0.25">
      <c r="A23" s="15">
        <f>1+A19</f>
        <v>6</v>
      </c>
      <c r="B23" s="15"/>
      <c r="C23" s="2"/>
      <c r="D23" s="2"/>
      <c r="E23" s="24" t="str">
        <f>+AQ23</f>
        <v/>
      </c>
      <c r="F23" s="30"/>
      <c r="G23" s="24" t="str">
        <f>+AV23</f>
        <v>300100</v>
      </c>
      <c r="H23" s="16">
        <f>+AK23</f>
        <v>0</v>
      </c>
      <c r="I23" s="16">
        <f>+ROUND(AD23,2)</f>
        <v>0</v>
      </c>
      <c r="J23" s="2"/>
      <c r="K23" s="17">
        <f>+AE23</f>
        <v>0</v>
      </c>
      <c r="L23" s="16">
        <f>+AJ23</f>
        <v>0</v>
      </c>
      <c r="M23" s="32" t="s">
        <v>5</v>
      </c>
      <c r="N23" s="30"/>
      <c r="O23" s="2"/>
      <c r="P23" s="30"/>
      <c r="Q23" s="32" t="s">
        <v>0</v>
      </c>
      <c r="R23" s="24"/>
      <c r="S23" s="24" t="str">
        <f>+RIGHT(O23,7)</f>
        <v/>
      </c>
      <c r="T23" s="2"/>
      <c r="U23" s="3" t="s">
        <v>1</v>
      </c>
      <c r="V23" s="3" t="s">
        <v>3</v>
      </c>
      <c r="W23" s="16">
        <f>+AI23</f>
        <v>0</v>
      </c>
      <c r="X23" s="16">
        <f>+AJ23</f>
        <v>0</v>
      </c>
      <c r="Y23" s="3" t="s">
        <v>4</v>
      </c>
      <c r="Z23" s="18">
        <f>+F23</f>
        <v>0</v>
      </c>
      <c r="AA23" s="61"/>
      <c r="AB23" s="65"/>
      <c r="AC23" s="16">
        <f>+AB23*0.18</f>
        <v>0</v>
      </c>
      <c r="AD23" s="16">
        <f>+AB23+AC23</f>
        <v>0</v>
      </c>
      <c r="AE23" s="68"/>
      <c r="AF23" s="16">
        <f>+AB23*AE23</f>
        <v>0</v>
      </c>
      <c r="AG23" s="16">
        <f>+AC23*AE23</f>
        <v>0</v>
      </c>
      <c r="AH23" s="16">
        <f>+AD23*AE23</f>
        <v>0</v>
      </c>
      <c r="AI23" s="16">
        <f>+ROUND(AF23,2)</f>
        <v>0</v>
      </c>
      <c r="AJ23" s="16">
        <f>+ROUND(AG23,2)</f>
        <v>0</v>
      </c>
      <c r="AK23" s="16">
        <f>+AI23+AJ23</f>
        <v>0</v>
      </c>
      <c r="AL23" s="16">
        <f>+AI23+AJ23-AK23</f>
        <v>0</v>
      </c>
      <c r="AM23" s="44"/>
      <c r="AN23" s="41" t="str">
        <f>+LEFT(AM23,2)</f>
        <v/>
      </c>
      <c r="AO23" s="41" t="str">
        <f>+MID(AM23,4,2)</f>
        <v/>
      </c>
      <c r="AP23" s="41" t="str">
        <f>+RIGHT(AM23,2)</f>
        <v/>
      </c>
      <c r="AQ23" s="41" t="str">
        <f>+CONCATENATE(AN23,AO23,AP23)</f>
        <v/>
      </c>
      <c r="AR23" s="45">
        <f>+AM23+30</f>
        <v>30</v>
      </c>
      <c r="AS23" s="46">
        <f>+DAY(AR23)</f>
        <v>30</v>
      </c>
      <c r="AT23" s="41">
        <f>+MONTH(AR23)</f>
        <v>1</v>
      </c>
      <c r="AU23" s="41">
        <f>+YEAR(AR23)</f>
        <v>1900</v>
      </c>
      <c r="AV23" s="41" t="str">
        <f>+CONCATENATE(TEXT(AS23,"00"),TEXT(AT23,"00"),RIGHT(AU23,2))</f>
        <v>300100</v>
      </c>
    </row>
    <row r="24" spans="1:48" hidden="1" x14ac:dyDescent="0.25">
      <c r="A24" s="31"/>
      <c r="B24" s="31"/>
      <c r="C24" s="3"/>
      <c r="D24" s="3"/>
      <c r="E24" s="2"/>
      <c r="F24" s="3"/>
      <c r="G24" s="3"/>
      <c r="H24" s="16"/>
      <c r="I24" s="16"/>
      <c r="J24" s="3"/>
      <c r="K24" s="17"/>
      <c r="L24" s="16"/>
      <c r="M24" s="3"/>
      <c r="N24" s="3"/>
      <c r="O24" s="2"/>
      <c r="P24" s="3"/>
      <c r="Q24" s="3"/>
      <c r="R24" s="3"/>
      <c r="S24" s="16"/>
      <c r="T24" s="3"/>
      <c r="U24" s="3"/>
      <c r="V24" s="3"/>
      <c r="W24" s="16"/>
      <c r="X24" s="16"/>
      <c r="Y24" s="3"/>
      <c r="Z24" s="18"/>
      <c r="AA24" s="3"/>
      <c r="AB24" s="16"/>
      <c r="AC24" s="16"/>
      <c r="AD24" s="16"/>
      <c r="AE24" s="9"/>
      <c r="AF24" s="16"/>
      <c r="AG24" s="16"/>
      <c r="AH24" s="16"/>
      <c r="AI24" s="16"/>
      <c r="AJ24" s="16"/>
      <c r="AK24" s="16"/>
      <c r="AL24" s="16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idden="1" x14ac:dyDescent="0.25">
      <c r="A25" s="31"/>
      <c r="B25" s="31"/>
      <c r="C25" s="3"/>
      <c r="D25" s="3"/>
      <c r="E25" s="2"/>
      <c r="F25" s="3"/>
      <c r="G25" s="3"/>
      <c r="H25" s="16"/>
      <c r="I25" s="16"/>
      <c r="J25" s="3"/>
      <c r="K25" s="17"/>
      <c r="L25" s="16"/>
      <c r="M25" s="3"/>
      <c r="N25" s="3"/>
      <c r="O25" s="2"/>
      <c r="P25" s="3"/>
      <c r="Q25" s="3"/>
      <c r="R25" s="3"/>
      <c r="S25" s="16"/>
      <c r="T25" s="3"/>
      <c r="U25" s="3"/>
      <c r="V25" s="3"/>
      <c r="W25" s="16"/>
      <c r="X25" s="16"/>
      <c r="Y25" s="3"/>
      <c r="Z25" s="18"/>
      <c r="AA25" s="3"/>
      <c r="AB25" s="16"/>
      <c r="AC25" s="16"/>
      <c r="AD25" s="16"/>
      <c r="AE25" s="9"/>
      <c r="AF25" s="16"/>
      <c r="AG25" s="16"/>
      <c r="AH25" s="16"/>
      <c r="AI25" s="16"/>
      <c r="AJ25" s="16"/>
      <c r="AK25" s="16"/>
      <c r="AL25" s="16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idden="1" x14ac:dyDescent="0.25">
      <c r="A26" s="31"/>
      <c r="B26" s="31"/>
      <c r="C26" s="3"/>
      <c r="D26" s="3"/>
      <c r="E26" s="2"/>
      <c r="F26" s="3"/>
      <c r="G26" s="3"/>
      <c r="H26" s="16"/>
      <c r="I26" s="16"/>
      <c r="J26" s="3"/>
      <c r="K26" s="17"/>
      <c r="L26" s="16"/>
      <c r="M26" s="3"/>
      <c r="N26" s="3"/>
      <c r="O26" s="2"/>
      <c r="P26" s="3"/>
      <c r="Q26" s="3"/>
      <c r="R26" s="3"/>
      <c r="S26" s="16"/>
      <c r="T26" s="3"/>
      <c r="U26" s="3"/>
      <c r="V26" s="3"/>
      <c r="W26" s="16"/>
      <c r="X26" s="16"/>
      <c r="Y26" s="3"/>
      <c r="Z26" s="18"/>
      <c r="AA26" s="3"/>
      <c r="AB26" s="16"/>
      <c r="AC26" s="16"/>
      <c r="AD26" s="16"/>
      <c r="AE26" s="9"/>
      <c r="AF26" s="16"/>
      <c r="AG26" s="16"/>
      <c r="AH26" s="16"/>
      <c r="AI26" s="16"/>
      <c r="AJ26" s="16"/>
      <c r="AK26" s="16"/>
      <c r="AL26" s="16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x14ac:dyDescent="0.25">
      <c r="A27" s="15">
        <f>1+A23</f>
        <v>7</v>
      </c>
      <c r="B27" s="15"/>
      <c r="C27" s="2"/>
      <c r="D27" s="2"/>
      <c r="E27" s="24" t="str">
        <f>+AQ27</f>
        <v/>
      </c>
      <c r="F27" s="30"/>
      <c r="G27" s="24" t="str">
        <f>+AV27</f>
        <v>300100</v>
      </c>
      <c r="H27" s="16">
        <f>+AK27</f>
        <v>0</v>
      </c>
      <c r="I27" s="16">
        <f>+ROUND(AD27,2)</f>
        <v>0</v>
      </c>
      <c r="J27" s="2"/>
      <c r="K27" s="17">
        <f>+AE27</f>
        <v>0</v>
      </c>
      <c r="L27" s="16">
        <f>+AJ27</f>
        <v>0</v>
      </c>
      <c r="M27" s="32" t="s">
        <v>5</v>
      </c>
      <c r="N27" s="30"/>
      <c r="O27" s="2"/>
      <c r="P27" s="30"/>
      <c r="Q27" s="32" t="s">
        <v>0</v>
      </c>
      <c r="R27" s="24"/>
      <c r="S27" s="24" t="str">
        <f>+RIGHT(O27,7)</f>
        <v/>
      </c>
      <c r="T27" s="2"/>
      <c r="U27" s="3" t="s">
        <v>1</v>
      </c>
      <c r="V27" s="3" t="s">
        <v>3</v>
      </c>
      <c r="W27" s="16">
        <f>+AI27</f>
        <v>0</v>
      </c>
      <c r="X27" s="16">
        <f>+AJ27</f>
        <v>0</v>
      </c>
      <c r="Y27" s="3" t="s">
        <v>4</v>
      </c>
      <c r="Z27" s="18">
        <f>+F27</f>
        <v>0</v>
      </c>
      <c r="AA27" s="61"/>
      <c r="AB27" s="65"/>
      <c r="AC27" s="16">
        <f>+AB27*0.18</f>
        <v>0</v>
      </c>
      <c r="AD27" s="16">
        <f>+AB27+AC27</f>
        <v>0</v>
      </c>
      <c r="AE27" s="68"/>
      <c r="AF27" s="16">
        <f>+AB27*AE27</f>
        <v>0</v>
      </c>
      <c r="AG27" s="16">
        <f>+AC27*AE27</f>
        <v>0</v>
      </c>
      <c r="AH27" s="16">
        <f>+AD27*AE27</f>
        <v>0</v>
      </c>
      <c r="AI27" s="16">
        <f>+ROUND(AF27,2)</f>
        <v>0</v>
      </c>
      <c r="AJ27" s="16">
        <f>+ROUND(AG27,2)</f>
        <v>0</v>
      </c>
      <c r="AK27" s="16">
        <f>+AI27+AJ27</f>
        <v>0</v>
      </c>
      <c r="AL27" s="16">
        <f>+AI27+AJ27-AK27</f>
        <v>0</v>
      </c>
      <c r="AM27" s="44"/>
      <c r="AN27" s="41" t="str">
        <f>+LEFT(AM27,2)</f>
        <v/>
      </c>
      <c r="AO27" s="41" t="str">
        <f>+MID(AM27,4,2)</f>
        <v/>
      </c>
      <c r="AP27" s="41" t="str">
        <f>+RIGHT(AM27,2)</f>
        <v/>
      </c>
      <c r="AQ27" s="41" t="str">
        <f>+CONCATENATE(AN27,AO27,AP27)</f>
        <v/>
      </c>
      <c r="AR27" s="45">
        <f>+AM27+30</f>
        <v>30</v>
      </c>
      <c r="AS27" s="46">
        <f>+DAY(AR27)</f>
        <v>30</v>
      </c>
      <c r="AT27" s="41">
        <f>+MONTH(AR27)</f>
        <v>1</v>
      </c>
      <c r="AU27" s="41">
        <f>+YEAR(AR27)</f>
        <v>1900</v>
      </c>
      <c r="AV27" s="41" t="str">
        <f>+CONCATENATE(TEXT(AS27,"00"),TEXT(AT27,"00"),RIGHT(AU27,2))</f>
        <v>300100</v>
      </c>
    </row>
    <row r="28" spans="1:48" hidden="1" x14ac:dyDescent="0.25">
      <c r="A28" s="31"/>
      <c r="B28" s="31"/>
      <c r="C28" s="3"/>
      <c r="D28" s="3"/>
      <c r="E28" s="2"/>
      <c r="F28" s="3"/>
      <c r="G28" s="3"/>
      <c r="H28" s="16"/>
      <c r="I28" s="16"/>
      <c r="J28" s="3"/>
      <c r="K28" s="17"/>
      <c r="L28" s="16"/>
      <c r="M28" s="3"/>
      <c r="N28" s="3"/>
      <c r="O28" s="2"/>
      <c r="P28" s="3"/>
      <c r="Q28" s="3"/>
      <c r="R28" s="3"/>
      <c r="S28" s="16"/>
      <c r="T28" s="3"/>
      <c r="U28" s="3"/>
      <c r="V28" s="3"/>
      <c r="W28" s="16"/>
      <c r="X28" s="16"/>
      <c r="Y28" s="3"/>
      <c r="Z28" s="18"/>
      <c r="AA28" s="3"/>
      <c r="AB28" s="16"/>
      <c r="AC28" s="16"/>
      <c r="AD28" s="16"/>
      <c r="AE28" s="9"/>
      <c r="AF28" s="16"/>
      <c r="AG28" s="16"/>
      <c r="AH28" s="16"/>
      <c r="AI28" s="16"/>
      <c r="AJ28" s="16"/>
      <c r="AK28" s="16"/>
      <c r="AL28" s="16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idden="1" x14ac:dyDescent="0.25">
      <c r="A29" s="31"/>
      <c r="B29" s="31"/>
      <c r="C29" s="3"/>
      <c r="D29" s="3"/>
      <c r="E29" s="2"/>
      <c r="F29" s="3"/>
      <c r="G29" s="3"/>
      <c r="H29" s="16"/>
      <c r="I29" s="16"/>
      <c r="J29" s="3"/>
      <c r="K29" s="17"/>
      <c r="L29" s="16"/>
      <c r="M29" s="3"/>
      <c r="N29" s="3"/>
      <c r="O29" s="2"/>
      <c r="P29" s="3"/>
      <c r="Q29" s="3"/>
      <c r="R29" s="3"/>
      <c r="S29" s="16"/>
      <c r="T29" s="3"/>
      <c r="U29" s="3"/>
      <c r="V29" s="3"/>
      <c r="W29" s="16"/>
      <c r="X29" s="16"/>
      <c r="Y29" s="3"/>
      <c r="Z29" s="18"/>
      <c r="AA29" s="3"/>
      <c r="AB29" s="16"/>
      <c r="AC29" s="16"/>
      <c r="AD29" s="16"/>
      <c r="AE29" s="9"/>
      <c r="AF29" s="16"/>
      <c r="AG29" s="16"/>
      <c r="AH29" s="16"/>
      <c r="AI29" s="16"/>
      <c r="AJ29" s="16"/>
      <c r="AK29" s="16"/>
      <c r="AL29" s="16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idden="1" x14ac:dyDescent="0.25">
      <c r="A30" s="31"/>
      <c r="B30" s="31"/>
      <c r="C30" s="3"/>
      <c r="D30" s="3"/>
      <c r="E30" s="2"/>
      <c r="F30" s="3"/>
      <c r="G30" s="3"/>
      <c r="H30" s="16"/>
      <c r="I30" s="16"/>
      <c r="J30" s="3"/>
      <c r="K30" s="17"/>
      <c r="L30" s="16"/>
      <c r="M30" s="3"/>
      <c r="N30" s="3"/>
      <c r="O30" s="2"/>
      <c r="P30" s="3"/>
      <c r="Q30" s="3"/>
      <c r="R30" s="3"/>
      <c r="S30" s="16"/>
      <c r="T30" s="3"/>
      <c r="U30" s="3"/>
      <c r="V30" s="3"/>
      <c r="W30" s="16"/>
      <c r="X30" s="16"/>
      <c r="Y30" s="3"/>
      <c r="Z30" s="18"/>
      <c r="AA30" s="3"/>
      <c r="AB30" s="16"/>
      <c r="AC30" s="16"/>
      <c r="AD30" s="16"/>
      <c r="AE30" s="9"/>
      <c r="AF30" s="16"/>
      <c r="AG30" s="16"/>
      <c r="AH30" s="16"/>
      <c r="AI30" s="16"/>
      <c r="AJ30" s="16"/>
      <c r="AK30" s="16"/>
      <c r="AL30" s="16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x14ac:dyDescent="0.25">
      <c r="A31" s="15">
        <f>1+A27</f>
        <v>8</v>
      </c>
      <c r="B31" s="15"/>
      <c r="C31" s="2"/>
      <c r="D31" s="2"/>
      <c r="E31" s="24" t="str">
        <f>+AQ31</f>
        <v/>
      </c>
      <c r="F31" s="30"/>
      <c r="G31" s="24" t="str">
        <f>+AV31</f>
        <v>300100</v>
      </c>
      <c r="H31" s="16">
        <f>+AK31</f>
        <v>0</v>
      </c>
      <c r="I31" s="16">
        <f>+ROUND(AD31,2)</f>
        <v>0</v>
      </c>
      <c r="J31" s="2"/>
      <c r="K31" s="17">
        <f>+AE31</f>
        <v>0</v>
      </c>
      <c r="L31" s="16">
        <f>+AJ31</f>
        <v>0</v>
      </c>
      <c r="M31" s="32" t="s">
        <v>5</v>
      </c>
      <c r="N31" s="30"/>
      <c r="O31" s="2"/>
      <c r="P31" s="30"/>
      <c r="Q31" s="32" t="s">
        <v>0</v>
      </c>
      <c r="R31" s="24"/>
      <c r="S31" s="24" t="str">
        <f>+RIGHT(O31,7)</f>
        <v/>
      </c>
      <c r="T31" s="2"/>
      <c r="U31" s="3" t="s">
        <v>1</v>
      </c>
      <c r="V31" s="3" t="s">
        <v>3</v>
      </c>
      <c r="W31" s="16">
        <f>+AI31</f>
        <v>0</v>
      </c>
      <c r="X31" s="16">
        <f>+AJ31</f>
        <v>0</v>
      </c>
      <c r="Y31" s="3" t="s">
        <v>4</v>
      </c>
      <c r="Z31" s="18">
        <f>+F31</f>
        <v>0</v>
      </c>
      <c r="AA31" s="61"/>
      <c r="AB31" s="65"/>
      <c r="AC31" s="16">
        <f>+AB31*0.18</f>
        <v>0</v>
      </c>
      <c r="AD31" s="16">
        <f>+AB31+AC31</f>
        <v>0</v>
      </c>
      <c r="AE31" s="68"/>
      <c r="AF31" s="16">
        <f>+AB31*AE31</f>
        <v>0</v>
      </c>
      <c r="AG31" s="16">
        <f>+AC31*AE31</f>
        <v>0</v>
      </c>
      <c r="AH31" s="16">
        <f>+AD31*AE31</f>
        <v>0</v>
      </c>
      <c r="AI31" s="16">
        <f>+ROUND(AF31,2)</f>
        <v>0</v>
      </c>
      <c r="AJ31" s="16">
        <f>+ROUND(AG31,2)</f>
        <v>0</v>
      </c>
      <c r="AK31" s="16">
        <f>+AI31+AJ31</f>
        <v>0</v>
      </c>
      <c r="AL31" s="16">
        <f>+AI31+AJ31-AK31</f>
        <v>0</v>
      </c>
      <c r="AM31" s="44"/>
      <c r="AN31" s="41" t="str">
        <f>+LEFT(AM31,2)</f>
        <v/>
      </c>
      <c r="AO31" s="41" t="str">
        <f>+MID(AM31,4,2)</f>
        <v/>
      </c>
      <c r="AP31" s="41" t="str">
        <f>+RIGHT(AM31,2)</f>
        <v/>
      </c>
      <c r="AQ31" s="41" t="str">
        <f>+CONCATENATE(AN31,AO31,AP31)</f>
        <v/>
      </c>
      <c r="AR31" s="45">
        <f>+AM31+30</f>
        <v>30</v>
      </c>
      <c r="AS31" s="46">
        <f>+DAY(AR31)</f>
        <v>30</v>
      </c>
      <c r="AT31" s="41">
        <f>+MONTH(AR31)</f>
        <v>1</v>
      </c>
      <c r="AU31" s="41">
        <f>+YEAR(AR31)</f>
        <v>1900</v>
      </c>
      <c r="AV31" s="41" t="str">
        <f>+CONCATENATE(TEXT(AS31,"00"),TEXT(AT31,"00"),RIGHT(AU31,2))</f>
        <v>300100</v>
      </c>
    </row>
    <row r="32" spans="1:48" hidden="1" x14ac:dyDescent="0.25">
      <c r="A32" s="31"/>
      <c r="B32" s="31"/>
      <c r="C32" s="3"/>
      <c r="D32" s="3"/>
      <c r="E32" s="2"/>
      <c r="F32" s="3"/>
      <c r="G32" s="3"/>
      <c r="H32" s="16"/>
      <c r="I32" s="16"/>
      <c r="J32" s="3"/>
      <c r="K32" s="17"/>
      <c r="L32" s="16"/>
      <c r="M32" s="3"/>
      <c r="N32" s="3"/>
      <c r="O32" s="2"/>
      <c r="P32" s="3"/>
      <c r="Q32" s="3"/>
      <c r="R32" s="3"/>
      <c r="S32" s="16"/>
      <c r="T32" s="3"/>
      <c r="U32" s="3"/>
      <c r="V32" s="3"/>
      <c r="W32" s="16"/>
      <c r="X32" s="16"/>
      <c r="Y32" s="3"/>
      <c r="Z32" s="18"/>
      <c r="AA32" s="3"/>
      <c r="AB32" s="16"/>
      <c r="AC32" s="16"/>
      <c r="AD32" s="16"/>
      <c r="AE32" s="9"/>
      <c r="AF32" s="16"/>
      <c r="AG32" s="16"/>
      <c r="AH32" s="16"/>
      <c r="AI32" s="16"/>
      <c r="AJ32" s="16"/>
      <c r="AK32" s="16"/>
      <c r="AL32" s="16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idden="1" x14ac:dyDescent="0.25">
      <c r="A33" s="31"/>
      <c r="B33" s="31"/>
      <c r="C33" s="3"/>
      <c r="D33" s="3"/>
      <c r="E33" s="2"/>
      <c r="F33" s="3"/>
      <c r="G33" s="3"/>
      <c r="H33" s="16"/>
      <c r="I33" s="16"/>
      <c r="J33" s="3"/>
      <c r="K33" s="17"/>
      <c r="L33" s="16"/>
      <c r="M33" s="3"/>
      <c r="N33" s="3"/>
      <c r="O33" s="2"/>
      <c r="P33" s="3"/>
      <c r="Q33" s="3"/>
      <c r="R33" s="3"/>
      <c r="S33" s="16"/>
      <c r="T33" s="3"/>
      <c r="U33" s="3"/>
      <c r="V33" s="3"/>
      <c r="W33" s="16"/>
      <c r="X33" s="16"/>
      <c r="Y33" s="3"/>
      <c r="Z33" s="18"/>
      <c r="AA33" s="3"/>
      <c r="AB33" s="16"/>
      <c r="AC33" s="16"/>
      <c r="AD33" s="16"/>
      <c r="AE33" s="9"/>
      <c r="AF33" s="16"/>
      <c r="AG33" s="16"/>
      <c r="AH33" s="16"/>
      <c r="AI33" s="16"/>
      <c r="AJ33" s="16"/>
      <c r="AK33" s="16"/>
      <c r="AL33" s="16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idden="1" x14ac:dyDescent="0.25">
      <c r="A34" s="31"/>
      <c r="B34" s="31"/>
      <c r="C34" s="3"/>
      <c r="D34" s="3"/>
      <c r="E34" s="2"/>
      <c r="F34" s="3"/>
      <c r="G34" s="3"/>
      <c r="H34" s="16"/>
      <c r="I34" s="16"/>
      <c r="J34" s="3"/>
      <c r="K34" s="17"/>
      <c r="L34" s="16"/>
      <c r="M34" s="3"/>
      <c r="N34" s="3"/>
      <c r="O34" s="2"/>
      <c r="P34" s="3"/>
      <c r="Q34" s="3"/>
      <c r="R34" s="3"/>
      <c r="S34" s="16"/>
      <c r="T34" s="3"/>
      <c r="U34" s="3"/>
      <c r="V34" s="3"/>
      <c r="W34" s="16"/>
      <c r="X34" s="16"/>
      <c r="Y34" s="3"/>
      <c r="Z34" s="18"/>
      <c r="AA34" s="3"/>
      <c r="AB34" s="16"/>
      <c r="AC34" s="16"/>
      <c r="AD34" s="16"/>
      <c r="AE34" s="9"/>
      <c r="AF34" s="16"/>
      <c r="AG34" s="16"/>
      <c r="AH34" s="16"/>
      <c r="AI34" s="16"/>
      <c r="AJ34" s="16"/>
      <c r="AK34" s="16"/>
      <c r="AL34" s="16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x14ac:dyDescent="0.25">
      <c r="A35" s="15">
        <f>1+A31</f>
        <v>9</v>
      </c>
      <c r="B35" s="15"/>
      <c r="C35" s="2"/>
      <c r="D35" s="2"/>
      <c r="E35" s="24" t="str">
        <f>+AQ35</f>
        <v/>
      </c>
      <c r="F35" s="30"/>
      <c r="G35" s="24" t="str">
        <f>+AV35</f>
        <v>300100</v>
      </c>
      <c r="H35" s="16">
        <f>+AK35</f>
        <v>0</v>
      </c>
      <c r="I35" s="16">
        <f>+ROUND(AD35,2)</f>
        <v>0</v>
      </c>
      <c r="J35" s="2"/>
      <c r="K35" s="17">
        <f>+AE35</f>
        <v>0</v>
      </c>
      <c r="L35" s="16">
        <f>+AJ35</f>
        <v>0</v>
      </c>
      <c r="M35" s="32" t="s">
        <v>5</v>
      </c>
      <c r="N35" s="30"/>
      <c r="O35" s="2"/>
      <c r="P35" s="30"/>
      <c r="Q35" s="32" t="s">
        <v>0</v>
      </c>
      <c r="R35" s="24"/>
      <c r="S35" s="24" t="str">
        <f>+RIGHT(O35,7)</f>
        <v/>
      </c>
      <c r="T35" s="2"/>
      <c r="U35" s="3" t="s">
        <v>1</v>
      </c>
      <c r="V35" s="3" t="s">
        <v>3</v>
      </c>
      <c r="W35" s="16">
        <f>+AI35</f>
        <v>0</v>
      </c>
      <c r="X35" s="16">
        <f>+AJ35</f>
        <v>0</v>
      </c>
      <c r="Y35" s="3" t="s">
        <v>4</v>
      </c>
      <c r="Z35" s="18">
        <f>+F35</f>
        <v>0</v>
      </c>
      <c r="AA35" s="61"/>
      <c r="AB35" s="65"/>
      <c r="AC35" s="16">
        <f>+AB35*0.18</f>
        <v>0</v>
      </c>
      <c r="AD35" s="16">
        <f>+AB35+AC35</f>
        <v>0</v>
      </c>
      <c r="AE35" s="68"/>
      <c r="AF35" s="16">
        <f>+AB35*AE35</f>
        <v>0</v>
      </c>
      <c r="AG35" s="16">
        <f>+AC35*AE35</f>
        <v>0</v>
      </c>
      <c r="AH35" s="16">
        <f>+AD35*AE35</f>
        <v>0</v>
      </c>
      <c r="AI35" s="16">
        <f>+ROUND(AF35,2)</f>
        <v>0</v>
      </c>
      <c r="AJ35" s="16">
        <f>+ROUND(AG35,2)</f>
        <v>0</v>
      </c>
      <c r="AK35" s="16">
        <f>+AI35+AJ35</f>
        <v>0</v>
      </c>
      <c r="AL35" s="16">
        <f>+AI35+AJ35-AK35</f>
        <v>0</v>
      </c>
      <c r="AM35" s="44"/>
      <c r="AN35" s="41" t="str">
        <f>+LEFT(AM35,2)</f>
        <v/>
      </c>
      <c r="AO35" s="41" t="str">
        <f>+MID(AM35,4,2)</f>
        <v/>
      </c>
      <c r="AP35" s="41" t="str">
        <f>+RIGHT(AM35,2)</f>
        <v/>
      </c>
      <c r="AQ35" s="41" t="str">
        <f>+CONCATENATE(AN35,AO35,AP35)</f>
        <v/>
      </c>
      <c r="AR35" s="45">
        <f>+AM35+30</f>
        <v>30</v>
      </c>
      <c r="AS35" s="46">
        <f>+DAY(AR35)</f>
        <v>30</v>
      </c>
      <c r="AT35" s="41">
        <f>+MONTH(AR35)</f>
        <v>1</v>
      </c>
      <c r="AU35" s="41">
        <f>+YEAR(AR35)</f>
        <v>1900</v>
      </c>
      <c r="AV35" s="41" t="str">
        <f>+CONCATENATE(TEXT(AS35,"00"),TEXT(AT35,"00"),RIGHT(AU35,2))</f>
        <v>300100</v>
      </c>
    </row>
    <row r="36" spans="1:48" hidden="1" x14ac:dyDescent="0.25">
      <c r="A36" s="31"/>
      <c r="B36" s="31"/>
      <c r="C36" s="3"/>
      <c r="D36" s="3"/>
      <c r="E36" s="2"/>
      <c r="F36" s="3"/>
      <c r="G36" s="3"/>
      <c r="H36" s="16"/>
      <c r="I36" s="16"/>
      <c r="J36" s="3"/>
      <c r="K36" s="17"/>
      <c r="L36" s="16"/>
      <c r="M36" s="3"/>
      <c r="N36" s="3"/>
      <c r="O36" s="2"/>
      <c r="P36" s="3"/>
      <c r="Q36" s="3"/>
      <c r="R36" s="3"/>
      <c r="S36" s="16"/>
      <c r="T36" s="3"/>
      <c r="U36" s="3"/>
      <c r="V36" s="3"/>
      <c r="W36" s="16"/>
      <c r="X36" s="16"/>
      <c r="Y36" s="3"/>
      <c r="Z36" s="18"/>
      <c r="AA36" s="3"/>
      <c r="AB36" s="16"/>
      <c r="AC36" s="16"/>
      <c r="AD36" s="16"/>
      <c r="AE36" s="9"/>
      <c r="AF36" s="16"/>
      <c r="AG36" s="16"/>
      <c r="AH36" s="16"/>
      <c r="AI36" s="16"/>
      <c r="AJ36" s="16"/>
      <c r="AK36" s="16"/>
      <c r="AL36" s="16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idden="1" x14ac:dyDescent="0.25">
      <c r="A37" s="31"/>
      <c r="B37" s="31"/>
      <c r="C37" s="3"/>
      <c r="D37" s="3"/>
      <c r="E37" s="2"/>
      <c r="F37" s="3"/>
      <c r="G37" s="3"/>
      <c r="H37" s="16"/>
      <c r="I37" s="16"/>
      <c r="J37" s="3"/>
      <c r="K37" s="17"/>
      <c r="L37" s="16"/>
      <c r="M37" s="3"/>
      <c r="N37" s="3"/>
      <c r="O37" s="2"/>
      <c r="P37" s="3"/>
      <c r="Q37" s="3"/>
      <c r="R37" s="3"/>
      <c r="S37" s="16"/>
      <c r="T37" s="3"/>
      <c r="U37" s="3"/>
      <c r="V37" s="3"/>
      <c r="W37" s="16"/>
      <c r="X37" s="16"/>
      <c r="Y37" s="3"/>
      <c r="Z37" s="18"/>
      <c r="AA37" s="3"/>
      <c r="AB37" s="16"/>
      <c r="AC37" s="16"/>
      <c r="AD37" s="16"/>
      <c r="AE37" s="9"/>
      <c r="AF37" s="16"/>
      <c r="AG37" s="16"/>
      <c r="AH37" s="16"/>
      <c r="AI37" s="16"/>
      <c r="AJ37" s="16"/>
      <c r="AK37" s="16"/>
      <c r="AL37" s="16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idden="1" x14ac:dyDescent="0.25">
      <c r="A38" s="31"/>
      <c r="B38" s="31"/>
      <c r="C38" s="3"/>
      <c r="D38" s="3"/>
      <c r="E38" s="2"/>
      <c r="F38" s="3"/>
      <c r="G38" s="3"/>
      <c r="H38" s="16"/>
      <c r="I38" s="16"/>
      <c r="J38" s="3"/>
      <c r="K38" s="17"/>
      <c r="L38" s="16"/>
      <c r="M38" s="3"/>
      <c r="N38" s="3"/>
      <c r="O38" s="2"/>
      <c r="P38" s="3"/>
      <c r="Q38" s="3"/>
      <c r="R38" s="3"/>
      <c r="S38" s="16"/>
      <c r="T38" s="3"/>
      <c r="U38" s="3"/>
      <c r="V38" s="3"/>
      <c r="W38" s="16"/>
      <c r="X38" s="16"/>
      <c r="Y38" s="3"/>
      <c r="Z38" s="18"/>
      <c r="AA38" s="3"/>
      <c r="AB38" s="16"/>
      <c r="AC38" s="16"/>
      <c r="AD38" s="16"/>
      <c r="AE38" s="9"/>
      <c r="AF38" s="16"/>
      <c r="AG38" s="16"/>
      <c r="AH38" s="16"/>
      <c r="AI38" s="16"/>
      <c r="AJ38" s="16"/>
      <c r="AK38" s="16"/>
      <c r="AL38" s="16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x14ac:dyDescent="0.25">
      <c r="A39" s="15">
        <f>1+A35</f>
        <v>10</v>
      </c>
      <c r="B39" s="15"/>
      <c r="C39" s="2"/>
      <c r="D39" s="2"/>
      <c r="E39" s="24" t="str">
        <f>+AQ39</f>
        <v/>
      </c>
      <c r="F39" s="30"/>
      <c r="G39" s="24" t="str">
        <f>+AV39</f>
        <v>300100</v>
      </c>
      <c r="H39" s="16">
        <f>+AK39</f>
        <v>0</v>
      </c>
      <c r="I39" s="16">
        <f>+ROUND(AD39,2)</f>
        <v>0</v>
      </c>
      <c r="J39" s="2"/>
      <c r="K39" s="17">
        <f>+AE39</f>
        <v>0</v>
      </c>
      <c r="L39" s="16">
        <f>+AJ39</f>
        <v>0</v>
      </c>
      <c r="M39" s="32" t="s">
        <v>5</v>
      </c>
      <c r="N39" s="30"/>
      <c r="O39" s="2"/>
      <c r="P39" s="30"/>
      <c r="Q39" s="32" t="s">
        <v>0</v>
      </c>
      <c r="R39" s="24"/>
      <c r="S39" s="24" t="str">
        <f>+RIGHT(O39,7)</f>
        <v/>
      </c>
      <c r="T39" s="2"/>
      <c r="U39" s="3" t="s">
        <v>1</v>
      </c>
      <c r="V39" s="3" t="s">
        <v>3</v>
      </c>
      <c r="W39" s="16">
        <f>+AI39</f>
        <v>0</v>
      </c>
      <c r="X39" s="16">
        <f>+AJ39</f>
        <v>0</v>
      </c>
      <c r="Y39" s="3" t="s">
        <v>4</v>
      </c>
      <c r="Z39" s="18">
        <f>+F39</f>
        <v>0</v>
      </c>
      <c r="AA39" s="61"/>
      <c r="AB39" s="65"/>
      <c r="AC39" s="16">
        <f>+AB39*0.18</f>
        <v>0</v>
      </c>
      <c r="AD39" s="16">
        <f>+AB39+AC39</f>
        <v>0</v>
      </c>
      <c r="AE39" s="68"/>
      <c r="AF39" s="16">
        <f>+AB39*AE39</f>
        <v>0</v>
      </c>
      <c r="AG39" s="16">
        <f>+AC39*AE39</f>
        <v>0</v>
      </c>
      <c r="AH39" s="16">
        <f>+AD39*AE39</f>
        <v>0</v>
      </c>
      <c r="AI39" s="16">
        <f>+ROUND(AF39,2)</f>
        <v>0</v>
      </c>
      <c r="AJ39" s="16">
        <f>+ROUND(AG39,2)</f>
        <v>0</v>
      </c>
      <c r="AK39" s="16">
        <f>+AI39+AJ39</f>
        <v>0</v>
      </c>
      <c r="AL39" s="16">
        <f>+AI39+AJ39-AK39</f>
        <v>0</v>
      </c>
      <c r="AM39" s="44"/>
      <c r="AN39" s="41" t="str">
        <f>+LEFT(AM39,2)</f>
        <v/>
      </c>
      <c r="AO39" s="41" t="str">
        <f>+MID(AM39,4,2)</f>
        <v/>
      </c>
      <c r="AP39" s="41" t="str">
        <f>+RIGHT(AM39,2)</f>
        <v/>
      </c>
      <c r="AQ39" s="41" t="str">
        <f>+CONCATENATE(AN39,AO39,AP39)</f>
        <v/>
      </c>
      <c r="AR39" s="45">
        <f>+AM39+30</f>
        <v>30</v>
      </c>
      <c r="AS39" s="46">
        <f>+DAY(AR39)</f>
        <v>30</v>
      </c>
      <c r="AT39" s="41">
        <f>+MONTH(AR39)</f>
        <v>1</v>
      </c>
      <c r="AU39" s="41">
        <f>+YEAR(AR39)</f>
        <v>1900</v>
      </c>
      <c r="AV39" s="41" t="str">
        <f>+CONCATENATE(TEXT(AS39,"00"),TEXT(AT39,"00"),RIGHT(AU39,2))</f>
        <v>300100</v>
      </c>
    </row>
    <row r="40" spans="1:48" hidden="1" x14ac:dyDescent="0.25">
      <c r="A40" s="31"/>
      <c r="B40" s="31"/>
      <c r="C40" s="3"/>
      <c r="D40" s="3"/>
      <c r="E40" s="2"/>
      <c r="F40" s="3"/>
      <c r="G40" s="3"/>
      <c r="H40" s="16"/>
      <c r="I40" s="16"/>
      <c r="J40" s="3"/>
      <c r="K40" s="17"/>
      <c r="L40" s="16"/>
      <c r="M40" s="3"/>
      <c r="N40" s="3"/>
      <c r="O40" s="2"/>
      <c r="P40" s="3"/>
      <c r="Q40" s="3"/>
      <c r="R40" s="3"/>
      <c r="S40" s="16"/>
      <c r="T40" s="3"/>
      <c r="U40" s="3"/>
      <c r="V40" s="3"/>
      <c r="W40" s="16"/>
      <c r="X40" s="16"/>
      <c r="Y40" s="3"/>
      <c r="Z40" s="18"/>
      <c r="AA40" s="3"/>
      <c r="AB40" s="16"/>
      <c r="AC40" s="16"/>
      <c r="AD40" s="16"/>
      <c r="AE40" s="9"/>
      <c r="AF40" s="16"/>
      <c r="AG40" s="16"/>
      <c r="AH40" s="16"/>
      <c r="AI40" s="16"/>
      <c r="AJ40" s="16"/>
      <c r="AK40" s="16"/>
      <c r="AL40" s="16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idden="1" x14ac:dyDescent="0.25">
      <c r="A41" s="31"/>
      <c r="B41" s="31"/>
      <c r="C41" s="3"/>
      <c r="D41" s="3"/>
      <c r="E41" s="2"/>
      <c r="F41" s="3"/>
      <c r="G41" s="3"/>
      <c r="H41" s="16"/>
      <c r="I41" s="16"/>
      <c r="J41" s="3"/>
      <c r="K41" s="17"/>
      <c r="L41" s="16"/>
      <c r="M41" s="3"/>
      <c r="N41" s="3"/>
      <c r="O41" s="2"/>
      <c r="P41" s="3"/>
      <c r="Q41" s="3"/>
      <c r="R41" s="3"/>
      <c r="S41" s="16"/>
      <c r="T41" s="3"/>
      <c r="U41" s="3"/>
      <c r="V41" s="3"/>
      <c r="W41" s="16"/>
      <c r="X41" s="16"/>
      <c r="Y41" s="3"/>
      <c r="Z41" s="18"/>
      <c r="AA41" s="3"/>
      <c r="AB41" s="16"/>
      <c r="AC41" s="16"/>
      <c r="AD41" s="16"/>
      <c r="AE41" s="9"/>
      <c r="AF41" s="16"/>
      <c r="AG41" s="16"/>
      <c r="AH41" s="16"/>
      <c r="AI41" s="16"/>
      <c r="AJ41" s="16"/>
      <c r="AK41" s="16"/>
      <c r="AL41" s="16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idden="1" x14ac:dyDescent="0.25">
      <c r="A42" s="31"/>
      <c r="B42" s="31"/>
      <c r="C42" s="3"/>
      <c r="D42" s="3"/>
      <c r="E42" s="2"/>
      <c r="F42" s="3"/>
      <c r="G42" s="3"/>
      <c r="H42" s="16"/>
      <c r="I42" s="16"/>
      <c r="J42" s="3"/>
      <c r="K42" s="17"/>
      <c r="L42" s="16"/>
      <c r="M42" s="3"/>
      <c r="N42" s="3"/>
      <c r="O42" s="2"/>
      <c r="P42" s="3"/>
      <c r="Q42" s="3"/>
      <c r="R42" s="3"/>
      <c r="S42" s="16"/>
      <c r="T42" s="3"/>
      <c r="U42" s="3"/>
      <c r="V42" s="3"/>
      <c r="W42" s="16"/>
      <c r="X42" s="16"/>
      <c r="Y42" s="3"/>
      <c r="Z42" s="18"/>
      <c r="AA42" s="3"/>
      <c r="AB42" s="16"/>
      <c r="AC42" s="16"/>
      <c r="AD42" s="16"/>
      <c r="AE42" s="9"/>
      <c r="AF42" s="16"/>
      <c r="AG42" s="16"/>
      <c r="AH42" s="16"/>
      <c r="AI42" s="16"/>
      <c r="AJ42" s="16"/>
      <c r="AK42" s="16"/>
      <c r="AL42" s="16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x14ac:dyDescent="0.25">
      <c r="A43" s="15">
        <f>1+A39</f>
        <v>11</v>
      </c>
      <c r="B43" s="15"/>
      <c r="C43" s="2"/>
      <c r="D43" s="2"/>
      <c r="E43" s="24" t="str">
        <f>+AQ43</f>
        <v/>
      </c>
      <c r="F43" s="30"/>
      <c r="G43" s="24" t="str">
        <f>+AV43</f>
        <v>300100</v>
      </c>
      <c r="H43" s="16">
        <f>+AK43</f>
        <v>0</v>
      </c>
      <c r="I43" s="16">
        <f>+ROUND(AD43,2)</f>
        <v>0</v>
      </c>
      <c r="J43" s="2"/>
      <c r="K43" s="17">
        <f>+AE43</f>
        <v>0</v>
      </c>
      <c r="L43" s="16">
        <f>+AJ43</f>
        <v>0</v>
      </c>
      <c r="M43" s="32" t="s">
        <v>5</v>
      </c>
      <c r="N43" s="30"/>
      <c r="O43" s="2"/>
      <c r="P43" s="30"/>
      <c r="Q43" s="32" t="s">
        <v>0</v>
      </c>
      <c r="R43" s="24"/>
      <c r="S43" s="24" t="str">
        <f>+RIGHT(O43,7)</f>
        <v/>
      </c>
      <c r="T43" s="2"/>
      <c r="U43" s="3" t="s">
        <v>1</v>
      </c>
      <c r="V43" s="3" t="s">
        <v>3</v>
      </c>
      <c r="W43" s="16">
        <f>+AI43</f>
        <v>0</v>
      </c>
      <c r="X43" s="16">
        <f>+AJ43</f>
        <v>0</v>
      </c>
      <c r="Y43" s="3" t="s">
        <v>4</v>
      </c>
      <c r="Z43" s="18">
        <f>+F43</f>
        <v>0</v>
      </c>
      <c r="AA43" s="61"/>
      <c r="AB43" s="65"/>
      <c r="AC43" s="16">
        <f>+AB43*0.18</f>
        <v>0</v>
      </c>
      <c r="AD43" s="16">
        <f>+AB43+AC43</f>
        <v>0</v>
      </c>
      <c r="AE43" s="68"/>
      <c r="AF43" s="16">
        <f>+AB43*AE43</f>
        <v>0</v>
      </c>
      <c r="AG43" s="16">
        <f>+AC43*AE43</f>
        <v>0</v>
      </c>
      <c r="AH43" s="16">
        <f>+AD43*AE43</f>
        <v>0</v>
      </c>
      <c r="AI43" s="16">
        <f>+ROUND(AF43,2)</f>
        <v>0</v>
      </c>
      <c r="AJ43" s="16">
        <f>+ROUND(AG43,2)</f>
        <v>0</v>
      </c>
      <c r="AK43" s="16">
        <f>+AI43+AJ43</f>
        <v>0</v>
      </c>
      <c r="AL43" s="16">
        <f>+AI43+AJ43-AK43</f>
        <v>0</v>
      </c>
      <c r="AM43" s="44"/>
      <c r="AN43" s="41" t="str">
        <f>+LEFT(AM43,2)</f>
        <v/>
      </c>
      <c r="AO43" s="41" t="str">
        <f>+MID(AM43,4,2)</f>
        <v/>
      </c>
      <c r="AP43" s="41" t="str">
        <f>+RIGHT(AM43,2)</f>
        <v/>
      </c>
      <c r="AQ43" s="41" t="str">
        <f>+CONCATENATE(AN43,AO43,AP43)</f>
        <v/>
      </c>
      <c r="AR43" s="45">
        <f>+AM43+30</f>
        <v>30</v>
      </c>
      <c r="AS43" s="46">
        <f>+DAY(AR43)</f>
        <v>30</v>
      </c>
      <c r="AT43" s="41">
        <f>+MONTH(AR43)</f>
        <v>1</v>
      </c>
      <c r="AU43" s="41">
        <f>+YEAR(AR43)</f>
        <v>1900</v>
      </c>
      <c r="AV43" s="41" t="str">
        <f>+CONCATENATE(TEXT(AS43,"00"),TEXT(AT43,"00"),RIGHT(AU43,2))</f>
        <v>300100</v>
      </c>
    </row>
    <row r="44" spans="1:48" hidden="1" x14ac:dyDescent="0.25">
      <c r="A44" s="31"/>
      <c r="B44" s="31"/>
      <c r="C44" s="3"/>
      <c r="D44" s="3"/>
      <c r="E44" s="2"/>
      <c r="F44" s="3"/>
      <c r="G44" s="3"/>
      <c r="H44" s="16"/>
      <c r="I44" s="16"/>
      <c r="J44" s="3"/>
      <c r="K44" s="17"/>
      <c r="L44" s="16"/>
      <c r="M44" s="3"/>
      <c r="N44" s="3"/>
      <c r="O44" s="2"/>
      <c r="P44" s="3"/>
      <c r="Q44" s="3"/>
      <c r="R44" s="3"/>
      <c r="S44" s="16"/>
      <c r="T44" s="3"/>
      <c r="U44" s="3"/>
      <c r="V44" s="3"/>
      <c r="W44" s="16"/>
      <c r="X44" s="16"/>
      <c r="Y44" s="3"/>
      <c r="Z44" s="18"/>
      <c r="AA44" s="3"/>
      <c r="AB44" s="16"/>
      <c r="AC44" s="16"/>
      <c r="AD44" s="16"/>
      <c r="AE44" s="9"/>
      <c r="AF44" s="16"/>
      <c r="AG44" s="16"/>
      <c r="AH44" s="16"/>
      <c r="AI44" s="16"/>
      <c r="AJ44" s="16"/>
      <c r="AK44" s="16"/>
      <c r="AL44" s="16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idden="1" x14ac:dyDescent="0.25">
      <c r="A45" s="31"/>
      <c r="B45" s="31"/>
      <c r="C45" s="3"/>
      <c r="D45" s="3"/>
      <c r="E45" s="2"/>
      <c r="F45" s="3"/>
      <c r="G45" s="3"/>
      <c r="H45" s="16"/>
      <c r="I45" s="16"/>
      <c r="J45" s="3"/>
      <c r="K45" s="17"/>
      <c r="L45" s="16"/>
      <c r="M45" s="3"/>
      <c r="N45" s="3"/>
      <c r="O45" s="2"/>
      <c r="P45" s="3"/>
      <c r="Q45" s="3"/>
      <c r="R45" s="3"/>
      <c r="S45" s="16"/>
      <c r="T45" s="3"/>
      <c r="U45" s="3"/>
      <c r="V45" s="3"/>
      <c r="W45" s="16"/>
      <c r="X45" s="16"/>
      <c r="Y45" s="3"/>
      <c r="Z45" s="18"/>
      <c r="AA45" s="3"/>
      <c r="AB45" s="16"/>
      <c r="AC45" s="16"/>
      <c r="AD45" s="16"/>
      <c r="AE45" s="9"/>
      <c r="AF45" s="16"/>
      <c r="AG45" s="16"/>
      <c r="AH45" s="16"/>
      <c r="AI45" s="16"/>
      <c r="AJ45" s="16"/>
      <c r="AK45" s="16"/>
      <c r="AL45" s="16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idden="1" x14ac:dyDescent="0.25">
      <c r="A46" s="31"/>
      <c r="B46" s="31"/>
      <c r="C46" s="3"/>
      <c r="D46" s="3"/>
      <c r="E46" s="2"/>
      <c r="F46" s="3"/>
      <c r="G46" s="3"/>
      <c r="H46" s="16"/>
      <c r="I46" s="16"/>
      <c r="J46" s="3"/>
      <c r="K46" s="17"/>
      <c r="L46" s="16"/>
      <c r="M46" s="3"/>
      <c r="N46" s="3"/>
      <c r="O46" s="2"/>
      <c r="P46" s="3"/>
      <c r="Q46" s="3"/>
      <c r="R46" s="3"/>
      <c r="S46" s="16"/>
      <c r="T46" s="3"/>
      <c r="U46" s="3"/>
      <c r="V46" s="3"/>
      <c r="W46" s="16"/>
      <c r="X46" s="16"/>
      <c r="Y46" s="3"/>
      <c r="Z46" s="18"/>
      <c r="AA46" s="3"/>
      <c r="AB46" s="16"/>
      <c r="AC46" s="16"/>
      <c r="AD46" s="16"/>
      <c r="AE46" s="9"/>
      <c r="AF46" s="16"/>
      <c r="AG46" s="16"/>
      <c r="AH46" s="16"/>
      <c r="AI46" s="16"/>
      <c r="AJ46" s="16"/>
      <c r="AK46" s="16"/>
      <c r="AL46" s="16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x14ac:dyDescent="0.25">
      <c r="A47" s="15">
        <f>1+A43</f>
        <v>12</v>
      </c>
      <c r="B47" s="15"/>
      <c r="C47" s="2"/>
      <c r="D47" s="2"/>
      <c r="E47" s="24" t="str">
        <f>+AQ47</f>
        <v/>
      </c>
      <c r="F47" s="30"/>
      <c r="G47" s="24" t="str">
        <f>+AV47</f>
        <v>300100</v>
      </c>
      <c r="H47" s="16">
        <f>+AK47</f>
        <v>0</v>
      </c>
      <c r="I47" s="16">
        <f>+ROUND(AD47,2)</f>
        <v>0</v>
      </c>
      <c r="J47" s="2"/>
      <c r="K47" s="17">
        <f>+AE47</f>
        <v>0</v>
      </c>
      <c r="L47" s="16">
        <f>+AJ47</f>
        <v>0</v>
      </c>
      <c r="M47" s="32" t="s">
        <v>5</v>
      </c>
      <c r="N47" s="30"/>
      <c r="O47" s="2"/>
      <c r="P47" s="30"/>
      <c r="Q47" s="32" t="s">
        <v>0</v>
      </c>
      <c r="R47" s="24"/>
      <c r="S47" s="24" t="str">
        <f>+RIGHT(O47,7)</f>
        <v/>
      </c>
      <c r="T47" s="2"/>
      <c r="U47" s="3" t="s">
        <v>1</v>
      </c>
      <c r="V47" s="3" t="s">
        <v>3</v>
      </c>
      <c r="W47" s="16">
        <f>+AI47</f>
        <v>0</v>
      </c>
      <c r="X47" s="16">
        <f>+AJ47</f>
        <v>0</v>
      </c>
      <c r="Y47" s="3" t="s">
        <v>4</v>
      </c>
      <c r="Z47" s="18">
        <f>+F47</f>
        <v>0</v>
      </c>
      <c r="AA47" s="61"/>
      <c r="AB47" s="65"/>
      <c r="AC47" s="16">
        <f>+AB47*0.18</f>
        <v>0</v>
      </c>
      <c r="AD47" s="16">
        <f>+AB47+AC47</f>
        <v>0</v>
      </c>
      <c r="AE47" s="68"/>
      <c r="AF47" s="16">
        <f>+AB47*AE47</f>
        <v>0</v>
      </c>
      <c r="AG47" s="16">
        <f>+AC47*AE47</f>
        <v>0</v>
      </c>
      <c r="AH47" s="16">
        <f>+AD47*AE47</f>
        <v>0</v>
      </c>
      <c r="AI47" s="16">
        <f>+ROUND(AF47,2)</f>
        <v>0</v>
      </c>
      <c r="AJ47" s="16">
        <f>+ROUND(AG47,2)</f>
        <v>0</v>
      </c>
      <c r="AK47" s="16">
        <f>+AI47+AJ47</f>
        <v>0</v>
      </c>
      <c r="AL47" s="16">
        <f>+AI47+AJ47-AK47</f>
        <v>0</v>
      </c>
      <c r="AM47" s="44"/>
      <c r="AN47" s="41" t="str">
        <f>+LEFT(AM47,2)</f>
        <v/>
      </c>
      <c r="AO47" s="41" t="str">
        <f>+MID(AM47,4,2)</f>
        <v/>
      </c>
      <c r="AP47" s="41" t="str">
        <f>+RIGHT(AM47,2)</f>
        <v/>
      </c>
      <c r="AQ47" s="41" t="str">
        <f>+CONCATENATE(AN47,AO47,AP47)</f>
        <v/>
      </c>
      <c r="AR47" s="45">
        <f>+AM47+30</f>
        <v>30</v>
      </c>
      <c r="AS47" s="46">
        <f>+DAY(AR47)</f>
        <v>30</v>
      </c>
      <c r="AT47" s="41">
        <f>+MONTH(AR47)</f>
        <v>1</v>
      </c>
      <c r="AU47" s="41">
        <f>+YEAR(AR47)</f>
        <v>1900</v>
      </c>
      <c r="AV47" s="41" t="str">
        <f>+CONCATENATE(TEXT(AS47,"00"),TEXT(AT47,"00"),RIGHT(AU47,2))</f>
        <v>300100</v>
      </c>
    </row>
    <row r="48" spans="1:48" hidden="1" x14ac:dyDescent="0.25">
      <c r="A48" s="31"/>
      <c r="B48" s="31"/>
      <c r="C48" s="3"/>
      <c r="D48" s="3"/>
      <c r="E48" s="2"/>
      <c r="F48" s="3"/>
      <c r="G48" s="3"/>
      <c r="H48" s="16"/>
      <c r="I48" s="16"/>
      <c r="J48" s="3"/>
      <c r="K48" s="17"/>
      <c r="L48" s="16"/>
      <c r="M48" s="3"/>
      <c r="N48" s="3"/>
      <c r="O48" s="2"/>
      <c r="P48" s="3"/>
      <c r="Q48" s="3"/>
      <c r="R48" s="3"/>
      <c r="S48" s="16"/>
      <c r="T48" s="3"/>
      <c r="U48" s="3"/>
      <c r="V48" s="3"/>
      <c r="W48" s="16"/>
      <c r="X48" s="16"/>
      <c r="Y48" s="3"/>
      <c r="Z48" s="18"/>
      <c r="AA48" s="3"/>
      <c r="AB48" s="16"/>
      <c r="AC48" s="16"/>
      <c r="AD48" s="16"/>
      <c r="AE48" s="9"/>
      <c r="AF48" s="16"/>
      <c r="AG48" s="16"/>
      <c r="AH48" s="16"/>
      <c r="AI48" s="16"/>
      <c r="AJ48" s="16"/>
      <c r="AK48" s="16"/>
      <c r="AL48" s="16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idden="1" x14ac:dyDescent="0.25">
      <c r="A49" s="31"/>
      <c r="B49" s="31"/>
      <c r="C49" s="3"/>
      <c r="D49" s="3"/>
      <c r="E49" s="2"/>
      <c r="F49" s="3"/>
      <c r="G49" s="3"/>
      <c r="H49" s="16"/>
      <c r="I49" s="16"/>
      <c r="J49" s="3"/>
      <c r="K49" s="17"/>
      <c r="L49" s="16"/>
      <c r="M49" s="3"/>
      <c r="N49" s="3"/>
      <c r="O49" s="2"/>
      <c r="P49" s="3"/>
      <c r="Q49" s="3"/>
      <c r="R49" s="3"/>
      <c r="S49" s="16"/>
      <c r="T49" s="3"/>
      <c r="U49" s="3"/>
      <c r="V49" s="3"/>
      <c r="W49" s="16"/>
      <c r="X49" s="16"/>
      <c r="Y49" s="3"/>
      <c r="Z49" s="18"/>
      <c r="AA49" s="3"/>
      <c r="AB49" s="16"/>
      <c r="AC49" s="16"/>
      <c r="AD49" s="16"/>
      <c r="AE49" s="9"/>
      <c r="AF49" s="16"/>
      <c r="AG49" s="16"/>
      <c r="AH49" s="16"/>
      <c r="AI49" s="16"/>
      <c r="AJ49" s="16"/>
      <c r="AK49" s="16"/>
      <c r="AL49" s="16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idden="1" x14ac:dyDescent="0.25">
      <c r="A50" s="31"/>
      <c r="B50" s="31"/>
      <c r="C50" s="3"/>
      <c r="D50" s="3"/>
      <c r="E50" s="2"/>
      <c r="F50" s="3"/>
      <c r="G50" s="3"/>
      <c r="H50" s="16"/>
      <c r="I50" s="16"/>
      <c r="J50" s="3"/>
      <c r="K50" s="17"/>
      <c r="L50" s="16"/>
      <c r="M50" s="3"/>
      <c r="N50" s="3"/>
      <c r="O50" s="2"/>
      <c r="P50" s="3"/>
      <c r="Q50" s="3"/>
      <c r="R50" s="3"/>
      <c r="S50" s="16"/>
      <c r="T50" s="3"/>
      <c r="U50" s="3"/>
      <c r="V50" s="3"/>
      <c r="W50" s="16"/>
      <c r="X50" s="16"/>
      <c r="Y50" s="3"/>
      <c r="Z50" s="18"/>
      <c r="AA50" s="3"/>
      <c r="AB50" s="16"/>
      <c r="AC50" s="16"/>
      <c r="AD50" s="16"/>
      <c r="AE50" s="9"/>
      <c r="AF50" s="16"/>
      <c r="AG50" s="16"/>
      <c r="AH50" s="16"/>
      <c r="AI50" s="16"/>
      <c r="AJ50" s="16"/>
      <c r="AK50" s="16"/>
      <c r="AL50" s="16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x14ac:dyDescent="0.25">
      <c r="A51" s="15">
        <f>1+A47</f>
        <v>13</v>
      </c>
      <c r="B51" s="15"/>
      <c r="C51" s="2"/>
      <c r="D51" s="2"/>
      <c r="E51" s="24" t="str">
        <f>+AQ51</f>
        <v/>
      </c>
      <c r="F51" s="30"/>
      <c r="G51" s="24" t="str">
        <f>+AV51</f>
        <v>300100</v>
      </c>
      <c r="H51" s="16">
        <f>+AK51</f>
        <v>0</v>
      </c>
      <c r="I51" s="16">
        <f>+ROUND(AD51,2)</f>
        <v>0</v>
      </c>
      <c r="J51" s="2"/>
      <c r="K51" s="17">
        <f>+AE51</f>
        <v>0</v>
      </c>
      <c r="L51" s="16">
        <f>+AJ51</f>
        <v>0</v>
      </c>
      <c r="M51" s="32" t="s">
        <v>5</v>
      </c>
      <c r="N51" s="30"/>
      <c r="O51" s="2"/>
      <c r="P51" s="30"/>
      <c r="Q51" s="32" t="s">
        <v>0</v>
      </c>
      <c r="R51" s="24"/>
      <c r="S51" s="24" t="str">
        <f>+RIGHT(O51,7)</f>
        <v/>
      </c>
      <c r="T51" s="2"/>
      <c r="U51" s="3" t="s">
        <v>1</v>
      </c>
      <c r="V51" s="3" t="s">
        <v>3</v>
      </c>
      <c r="W51" s="16">
        <f>+AI51</f>
        <v>0</v>
      </c>
      <c r="X51" s="16">
        <f>+AJ51</f>
        <v>0</v>
      </c>
      <c r="Y51" s="3" t="s">
        <v>4</v>
      </c>
      <c r="Z51" s="18">
        <f>+F51</f>
        <v>0</v>
      </c>
      <c r="AA51" s="61"/>
      <c r="AB51" s="65"/>
      <c r="AC51" s="16">
        <f>+AB51*0.18</f>
        <v>0</v>
      </c>
      <c r="AD51" s="16">
        <f>+AB51+AC51</f>
        <v>0</v>
      </c>
      <c r="AE51" s="68"/>
      <c r="AF51" s="16">
        <f>+AB51*AE51</f>
        <v>0</v>
      </c>
      <c r="AG51" s="16">
        <f>+AC51*AE51</f>
        <v>0</v>
      </c>
      <c r="AH51" s="16">
        <f>+AD51*AE51</f>
        <v>0</v>
      </c>
      <c r="AI51" s="16">
        <f>+ROUND(AF51,2)</f>
        <v>0</v>
      </c>
      <c r="AJ51" s="16">
        <f>+ROUND(AG51,2)</f>
        <v>0</v>
      </c>
      <c r="AK51" s="16">
        <f>+AI51+AJ51</f>
        <v>0</v>
      </c>
      <c r="AL51" s="16">
        <f>+AI51+AJ51-AK51</f>
        <v>0</v>
      </c>
      <c r="AM51" s="44"/>
      <c r="AN51" s="41" t="str">
        <f>+LEFT(AM51,2)</f>
        <v/>
      </c>
      <c r="AO51" s="41" t="str">
        <f>+MID(AM51,4,2)</f>
        <v/>
      </c>
      <c r="AP51" s="41" t="str">
        <f>+RIGHT(AM51,2)</f>
        <v/>
      </c>
      <c r="AQ51" s="41" t="str">
        <f>+CONCATENATE(AN51,AO51,AP51)</f>
        <v/>
      </c>
      <c r="AR51" s="45">
        <f>+AM51+30</f>
        <v>30</v>
      </c>
      <c r="AS51" s="46">
        <f>+DAY(AR51)</f>
        <v>30</v>
      </c>
      <c r="AT51" s="41">
        <f>+MONTH(AR51)</f>
        <v>1</v>
      </c>
      <c r="AU51" s="41">
        <f>+YEAR(AR51)</f>
        <v>1900</v>
      </c>
      <c r="AV51" s="41" t="str">
        <f>+CONCATENATE(TEXT(AS51,"00"),TEXT(AT51,"00"),RIGHT(AU51,2))</f>
        <v>300100</v>
      </c>
    </row>
    <row r="52" spans="1:48" hidden="1" x14ac:dyDescent="0.25">
      <c r="A52" s="31"/>
      <c r="B52" s="31"/>
      <c r="C52" s="3"/>
      <c r="D52" s="3"/>
      <c r="E52" s="2"/>
      <c r="F52" s="3"/>
      <c r="G52" s="3"/>
      <c r="H52" s="16"/>
      <c r="I52" s="16"/>
      <c r="J52" s="3"/>
      <c r="K52" s="17"/>
      <c r="L52" s="16"/>
      <c r="M52" s="3"/>
      <c r="N52" s="3"/>
      <c r="O52" s="2"/>
      <c r="P52" s="3"/>
      <c r="Q52" s="3"/>
      <c r="R52" s="3"/>
      <c r="S52" s="16"/>
      <c r="T52" s="3"/>
      <c r="U52" s="3"/>
      <c r="V52" s="3"/>
      <c r="W52" s="16"/>
      <c r="X52" s="16"/>
      <c r="Y52" s="3"/>
      <c r="Z52" s="18"/>
      <c r="AA52" s="3"/>
      <c r="AB52" s="16"/>
      <c r="AC52" s="16"/>
      <c r="AD52" s="16"/>
      <c r="AE52" s="9"/>
      <c r="AF52" s="16"/>
      <c r="AG52" s="16"/>
      <c r="AH52" s="16"/>
      <c r="AI52" s="16"/>
      <c r="AJ52" s="16"/>
      <c r="AK52" s="16"/>
      <c r="AL52" s="16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idden="1" x14ac:dyDescent="0.25">
      <c r="A53" s="31"/>
      <c r="B53" s="31"/>
      <c r="C53" s="3"/>
      <c r="D53" s="3"/>
      <c r="E53" s="2"/>
      <c r="F53" s="3"/>
      <c r="G53" s="3"/>
      <c r="H53" s="16"/>
      <c r="I53" s="16"/>
      <c r="J53" s="3"/>
      <c r="K53" s="17"/>
      <c r="L53" s="16"/>
      <c r="M53" s="3"/>
      <c r="N53" s="3"/>
      <c r="O53" s="2"/>
      <c r="P53" s="3"/>
      <c r="Q53" s="3"/>
      <c r="R53" s="3"/>
      <c r="S53" s="16"/>
      <c r="T53" s="3"/>
      <c r="U53" s="3"/>
      <c r="V53" s="3"/>
      <c r="W53" s="16"/>
      <c r="X53" s="16"/>
      <c r="Y53" s="3"/>
      <c r="Z53" s="18"/>
      <c r="AA53" s="3"/>
      <c r="AB53" s="16"/>
      <c r="AC53" s="16"/>
      <c r="AD53" s="16"/>
      <c r="AE53" s="9"/>
      <c r="AF53" s="16"/>
      <c r="AG53" s="16"/>
      <c r="AH53" s="16"/>
      <c r="AI53" s="16"/>
      <c r="AJ53" s="16"/>
      <c r="AK53" s="16"/>
      <c r="AL53" s="16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idden="1" x14ac:dyDescent="0.25">
      <c r="A54" s="31"/>
      <c r="B54" s="31"/>
      <c r="C54" s="3"/>
      <c r="D54" s="3"/>
      <c r="E54" s="2"/>
      <c r="F54" s="3"/>
      <c r="G54" s="3"/>
      <c r="H54" s="16"/>
      <c r="I54" s="16"/>
      <c r="J54" s="3"/>
      <c r="K54" s="17"/>
      <c r="L54" s="16"/>
      <c r="M54" s="3"/>
      <c r="N54" s="3"/>
      <c r="O54" s="2"/>
      <c r="P54" s="3"/>
      <c r="Q54" s="3"/>
      <c r="R54" s="3"/>
      <c r="S54" s="16"/>
      <c r="T54" s="3"/>
      <c r="U54" s="3"/>
      <c r="V54" s="3"/>
      <c r="W54" s="16"/>
      <c r="X54" s="16"/>
      <c r="Y54" s="3"/>
      <c r="Z54" s="18"/>
      <c r="AA54" s="3"/>
      <c r="AB54" s="16"/>
      <c r="AC54" s="16"/>
      <c r="AD54" s="16"/>
      <c r="AE54" s="9"/>
      <c r="AF54" s="16"/>
      <c r="AG54" s="16"/>
      <c r="AH54" s="16"/>
      <c r="AI54" s="16"/>
      <c r="AJ54" s="16"/>
      <c r="AK54" s="16"/>
      <c r="AL54" s="16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x14ac:dyDescent="0.25">
      <c r="A55" s="15">
        <f>1+A51</f>
        <v>14</v>
      </c>
      <c r="B55" s="15"/>
      <c r="C55" s="2"/>
      <c r="D55" s="2"/>
      <c r="E55" s="24" t="str">
        <f>+AQ55</f>
        <v/>
      </c>
      <c r="F55" s="30"/>
      <c r="G55" s="24" t="str">
        <f>+AV55</f>
        <v>300100</v>
      </c>
      <c r="H55" s="16">
        <f>+AK55</f>
        <v>0</v>
      </c>
      <c r="I55" s="16">
        <f>+ROUND(AD55,2)</f>
        <v>0</v>
      </c>
      <c r="J55" s="2"/>
      <c r="K55" s="17">
        <f>+AE55</f>
        <v>0</v>
      </c>
      <c r="L55" s="16">
        <f>+AJ55</f>
        <v>0</v>
      </c>
      <c r="M55" s="32" t="s">
        <v>5</v>
      </c>
      <c r="N55" s="30"/>
      <c r="O55" s="2"/>
      <c r="P55" s="30"/>
      <c r="Q55" s="32" t="s">
        <v>0</v>
      </c>
      <c r="R55" s="24"/>
      <c r="S55" s="24" t="str">
        <f>+RIGHT(O55,7)</f>
        <v/>
      </c>
      <c r="T55" s="2"/>
      <c r="U55" s="3" t="s">
        <v>1</v>
      </c>
      <c r="V55" s="3" t="s">
        <v>3</v>
      </c>
      <c r="W55" s="16">
        <f>+AI55</f>
        <v>0</v>
      </c>
      <c r="X55" s="16">
        <f>+AJ55</f>
        <v>0</v>
      </c>
      <c r="Y55" s="3" t="s">
        <v>4</v>
      </c>
      <c r="Z55" s="18">
        <f>+F55</f>
        <v>0</v>
      </c>
      <c r="AA55" s="61"/>
      <c r="AB55" s="65"/>
      <c r="AC55" s="16">
        <f>+AB55*0.18</f>
        <v>0</v>
      </c>
      <c r="AD55" s="16">
        <f>+AB55+AC55</f>
        <v>0</v>
      </c>
      <c r="AE55" s="68"/>
      <c r="AF55" s="16">
        <f>+AB55*AE55</f>
        <v>0</v>
      </c>
      <c r="AG55" s="16">
        <f>+AC55*AE55</f>
        <v>0</v>
      </c>
      <c r="AH55" s="16">
        <f>+AD55*AE55</f>
        <v>0</v>
      </c>
      <c r="AI55" s="16">
        <f>+ROUND(AF55,2)</f>
        <v>0</v>
      </c>
      <c r="AJ55" s="16">
        <f>+ROUND(AG55,2)</f>
        <v>0</v>
      </c>
      <c r="AK55" s="16">
        <f>+AI55+AJ55</f>
        <v>0</v>
      </c>
      <c r="AL55" s="16">
        <f>+AI55+AJ55-AK55</f>
        <v>0</v>
      </c>
      <c r="AM55" s="44"/>
      <c r="AN55" s="41" t="str">
        <f>+LEFT(AM55,2)</f>
        <v/>
      </c>
      <c r="AO55" s="41" t="str">
        <f>+MID(AM55,4,2)</f>
        <v/>
      </c>
      <c r="AP55" s="41" t="str">
        <f>+RIGHT(AM55,2)</f>
        <v/>
      </c>
      <c r="AQ55" s="41" t="str">
        <f>+CONCATENATE(AN55,AO55,AP55)</f>
        <v/>
      </c>
      <c r="AR55" s="45">
        <f>+AM55+30</f>
        <v>30</v>
      </c>
      <c r="AS55" s="46">
        <f>+DAY(AR55)</f>
        <v>30</v>
      </c>
      <c r="AT55" s="41">
        <f>+MONTH(AR55)</f>
        <v>1</v>
      </c>
      <c r="AU55" s="41">
        <f>+YEAR(AR55)</f>
        <v>1900</v>
      </c>
      <c r="AV55" s="41" t="str">
        <f>+CONCATENATE(TEXT(AS55,"00"),TEXT(AT55,"00"),RIGHT(AU55,2))</f>
        <v>300100</v>
      </c>
    </row>
    <row r="56" spans="1:48" hidden="1" x14ac:dyDescent="0.25">
      <c r="A56" s="31"/>
      <c r="B56" s="31"/>
      <c r="C56" s="3"/>
      <c r="D56" s="3"/>
      <c r="E56" s="2"/>
      <c r="F56" s="3"/>
      <c r="G56" s="3"/>
      <c r="H56" s="16"/>
      <c r="I56" s="16"/>
      <c r="J56" s="3"/>
      <c r="K56" s="17"/>
      <c r="L56" s="16"/>
      <c r="M56" s="3"/>
      <c r="N56" s="3"/>
      <c r="O56" s="2"/>
      <c r="P56" s="3"/>
      <c r="Q56" s="3"/>
      <c r="R56" s="3"/>
      <c r="S56" s="16"/>
      <c r="T56" s="3"/>
      <c r="U56" s="3"/>
      <c r="V56" s="3"/>
      <c r="W56" s="16"/>
      <c r="X56" s="16"/>
      <c r="Y56" s="3"/>
      <c r="Z56" s="18"/>
      <c r="AA56" s="3"/>
      <c r="AB56" s="16"/>
      <c r="AC56" s="16"/>
      <c r="AD56" s="16"/>
      <c r="AE56" s="9"/>
      <c r="AF56" s="16"/>
      <c r="AG56" s="16"/>
      <c r="AH56" s="16"/>
      <c r="AI56" s="16"/>
      <c r="AJ56" s="16"/>
      <c r="AK56" s="16"/>
      <c r="AL56" s="16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idden="1" x14ac:dyDescent="0.25">
      <c r="A57" s="31"/>
      <c r="B57" s="31"/>
      <c r="C57" s="3"/>
      <c r="D57" s="3"/>
      <c r="E57" s="2"/>
      <c r="F57" s="3"/>
      <c r="G57" s="3"/>
      <c r="H57" s="16"/>
      <c r="I57" s="16"/>
      <c r="J57" s="3"/>
      <c r="K57" s="17"/>
      <c r="L57" s="16"/>
      <c r="M57" s="3"/>
      <c r="N57" s="3"/>
      <c r="O57" s="2"/>
      <c r="P57" s="3"/>
      <c r="Q57" s="3"/>
      <c r="R57" s="3"/>
      <c r="S57" s="16"/>
      <c r="T57" s="3"/>
      <c r="U57" s="3"/>
      <c r="V57" s="3"/>
      <c r="W57" s="16"/>
      <c r="X57" s="16"/>
      <c r="Y57" s="3"/>
      <c r="Z57" s="18"/>
      <c r="AA57" s="3"/>
      <c r="AB57" s="16"/>
      <c r="AC57" s="16"/>
      <c r="AD57" s="16"/>
      <c r="AE57" s="9"/>
      <c r="AF57" s="16"/>
      <c r="AG57" s="16"/>
      <c r="AH57" s="16"/>
      <c r="AI57" s="16"/>
      <c r="AJ57" s="16"/>
      <c r="AK57" s="16"/>
      <c r="AL57" s="16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idden="1" x14ac:dyDescent="0.25">
      <c r="A58" s="31"/>
      <c r="B58" s="31"/>
      <c r="C58" s="3"/>
      <c r="D58" s="3"/>
      <c r="E58" s="2"/>
      <c r="F58" s="3"/>
      <c r="G58" s="3"/>
      <c r="H58" s="16"/>
      <c r="I58" s="16"/>
      <c r="J58" s="3"/>
      <c r="K58" s="17"/>
      <c r="L58" s="16"/>
      <c r="M58" s="3"/>
      <c r="N58" s="3"/>
      <c r="O58" s="2"/>
      <c r="P58" s="3"/>
      <c r="Q58" s="3"/>
      <c r="R58" s="3"/>
      <c r="S58" s="16"/>
      <c r="T58" s="3"/>
      <c r="U58" s="3"/>
      <c r="V58" s="3"/>
      <c r="W58" s="16"/>
      <c r="X58" s="16"/>
      <c r="Y58" s="3"/>
      <c r="Z58" s="18"/>
      <c r="AA58" s="3"/>
      <c r="AB58" s="16"/>
      <c r="AC58" s="16"/>
      <c r="AD58" s="16"/>
      <c r="AE58" s="9"/>
      <c r="AF58" s="16"/>
      <c r="AG58" s="16"/>
      <c r="AH58" s="16"/>
      <c r="AI58" s="16"/>
      <c r="AJ58" s="16"/>
      <c r="AK58" s="16"/>
      <c r="AL58" s="16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13.9" customHeight="1" x14ac:dyDescent="0.25">
      <c r="A59" s="15">
        <f>1+A55</f>
        <v>15</v>
      </c>
      <c r="B59" s="15"/>
      <c r="C59" s="2"/>
      <c r="D59" s="2"/>
      <c r="E59" s="24" t="str">
        <f>+AQ59</f>
        <v/>
      </c>
      <c r="F59" s="30"/>
      <c r="G59" s="24" t="str">
        <f>+AV59</f>
        <v>300100</v>
      </c>
      <c r="H59" s="16">
        <f>+AK59</f>
        <v>0</v>
      </c>
      <c r="I59" s="16">
        <f>+ROUND(AD59,2)</f>
        <v>0</v>
      </c>
      <c r="J59" s="2"/>
      <c r="K59" s="17">
        <f>+AE59</f>
        <v>0</v>
      </c>
      <c r="L59" s="16">
        <f>+AJ59</f>
        <v>0</v>
      </c>
      <c r="M59" s="32" t="s">
        <v>5</v>
      </c>
      <c r="N59" s="30"/>
      <c r="O59" s="2"/>
      <c r="P59" s="30"/>
      <c r="Q59" s="32" t="s">
        <v>0</v>
      </c>
      <c r="R59" s="24"/>
      <c r="S59" s="24" t="str">
        <f>+RIGHT(O59,7)</f>
        <v/>
      </c>
      <c r="T59" s="2"/>
      <c r="U59" s="3" t="s">
        <v>1</v>
      </c>
      <c r="V59" s="3" t="s">
        <v>3</v>
      </c>
      <c r="W59" s="16">
        <f>+AI59</f>
        <v>0</v>
      </c>
      <c r="X59" s="16">
        <f>+AJ59</f>
        <v>0</v>
      </c>
      <c r="Y59" s="3" t="s">
        <v>4</v>
      </c>
      <c r="Z59" s="18">
        <f>+F59</f>
        <v>0</v>
      </c>
      <c r="AA59" s="61"/>
      <c r="AB59" s="65"/>
      <c r="AC59" s="16">
        <f>+AB59*0.18</f>
        <v>0</v>
      </c>
      <c r="AD59" s="16">
        <f>+AB59+AC59</f>
        <v>0</v>
      </c>
      <c r="AE59" s="68"/>
      <c r="AF59" s="16">
        <f>+AB59*AE59</f>
        <v>0</v>
      </c>
      <c r="AG59" s="16">
        <f>+AC59*AE59</f>
        <v>0</v>
      </c>
      <c r="AH59" s="16">
        <f>+AD59*AE59</f>
        <v>0</v>
      </c>
      <c r="AI59" s="16">
        <f>+ROUND(AF59,2)</f>
        <v>0</v>
      </c>
      <c r="AJ59" s="16">
        <f>+ROUND(AG59,2)</f>
        <v>0</v>
      </c>
      <c r="AK59" s="16">
        <f>+AI59+AJ59</f>
        <v>0</v>
      </c>
      <c r="AL59" s="16">
        <f>+AI59+AJ59-AK59</f>
        <v>0</v>
      </c>
      <c r="AM59" s="44"/>
      <c r="AN59" s="41" t="str">
        <f>+LEFT(AM59,2)</f>
        <v/>
      </c>
      <c r="AO59" s="41" t="str">
        <f>+MID(AM59,4,2)</f>
        <v/>
      </c>
      <c r="AP59" s="41" t="str">
        <f>+RIGHT(AM59,2)</f>
        <v/>
      </c>
      <c r="AQ59" s="41" t="str">
        <f>+CONCATENATE(AN59,AO59,AP59)</f>
        <v/>
      </c>
      <c r="AR59" s="45">
        <f>+AM59+30</f>
        <v>30</v>
      </c>
      <c r="AS59" s="46">
        <f>+DAY(AR59)</f>
        <v>30</v>
      </c>
      <c r="AT59" s="41">
        <f>+MONTH(AR59)</f>
        <v>1</v>
      </c>
      <c r="AU59" s="41">
        <f>+YEAR(AR59)</f>
        <v>1900</v>
      </c>
      <c r="AV59" s="41" t="str">
        <f>+CONCATENATE(TEXT(AS59,"00"),TEXT(AT59,"00"),RIGHT(AU59,2))</f>
        <v>300100</v>
      </c>
    </row>
    <row r="60" spans="1:48" hidden="1" x14ac:dyDescent="0.25">
      <c r="A60" s="31"/>
      <c r="B60" s="31"/>
      <c r="C60" s="3"/>
      <c r="D60" s="3"/>
      <c r="E60" s="2"/>
      <c r="F60" s="3"/>
      <c r="G60" s="3"/>
      <c r="H60" s="16"/>
      <c r="I60" s="16"/>
      <c r="J60" s="3"/>
      <c r="K60" s="17"/>
      <c r="L60" s="16"/>
      <c r="M60" s="3"/>
      <c r="N60" s="3"/>
      <c r="O60" s="2"/>
      <c r="P60" s="3"/>
      <c r="Q60" s="3"/>
      <c r="R60" s="3"/>
      <c r="S60" s="16"/>
      <c r="T60" s="3"/>
      <c r="U60" s="3"/>
      <c r="V60" s="3"/>
      <c r="W60" s="16"/>
      <c r="X60" s="16"/>
      <c r="Y60" s="3"/>
      <c r="Z60" s="18"/>
      <c r="AA60" s="3"/>
      <c r="AB60" s="16"/>
      <c r="AC60" s="16"/>
      <c r="AD60" s="16"/>
      <c r="AE60" s="9"/>
      <c r="AF60" s="16"/>
      <c r="AG60" s="16"/>
      <c r="AH60" s="16"/>
      <c r="AI60" s="16"/>
      <c r="AJ60" s="16"/>
      <c r="AK60" s="16"/>
      <c r="AL60" s="16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idden="1" x14ac:dyDescent="0.25">
      <c r="A61" s="31"/>
      <c r="B61" s="31"/>
      <c r="C61" s="3"/>
      <c r="D61" s="3"/>
      <c r="E61" s="2"/>
      <c r="F61" s="3"/>
      <c r="G61" s="3"/>
      <c r="H61" s="16"/>
      <c r="I61" s="16"/>
      <c r="J61" s="3"/>
      <c r="K61" s="17"/>
      <c r="L61" s="16"/>
      <c r="M61" s="3"/>
      <c r="N61" s="3"/>
      <c r="O61" s="2"/>
      <c r="P61" s="3"/>
      <c r="Q61" s="3"/>
      <c r="R61" s="3"/>
      <c r="S61" s="16"/>
      <c r="T61" s="3"/>
      <c r="U61" s="3"/>
      <c r="V61" s="3"/>
      <c r="W61" s="16"/>
      <c r="X61" s="16"/>
      <c r="Y61" s="3"/>
      <c r="Z61" s="18"/>
      <c r="AA61" s="3"/>
      <c r="AB61" s="16"/>
      <c r="AC61" s="16"/>
      <c r="AD61" s="16"/>
      <c r="AE61" s="9"/>
      <c r="AF61" s="16"/>
      <c r="AG61" s="16"/>
      <c r="AH61" s="16"/>
      <c r="AI61" s="16"/>
      <c r="AJ61" s="16"/>
      <c r="AK61" s="16"/>
      <c r="AL61" s="16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idden="1" x14ac:dyDescent="0.25">
      <c r="A62" s="31"/>
      <c r="B62" s="31"/>
      <c r="C62" s="3"/>
      <c r="D62" s="3"/>
      <c r="E62" s="2"/>
      <c r="F62" s="3"/>
      <c r="G62" s="3"/>
      <c r="H62" s="16"/>
      <c r="I62" s="16"/>
      <c r="J62" s="3"/>
      <c r="K62" s="17"/>
      <c r="L62" s="16"/>
      <c r="M62" s="3"/>
      <c r="N62" s="3"/>
      <c r="O62" s="2"/>
      <c r="P62" s="3"/>
      <c r="Q62" s="3"/>
      <c r="R62" s="3"/>
      <c r="S62" s="16"/>
      <c r="T62" s="3"/>
      <c r="U62" s="3"/>
      <c r="V62" s="3"/>
      <c r="W62" s="16"/>
      <c r="X62" s="16"/>
      <c r="Y62" s="3"/>
      <c r="Z62" s="18"/>
      <c r="AA62" s="3"/>
      <c r="AB62" s="16"/>
      <c r="AC62" s="16"/>
      <c r="AD62" s="16"/>
      <c r="AE62" s="9"/>
      <c r="AF62" s="16"/>
      <c r="AG62" s="16"/>
      <c r="AH62" s="16"/>
      <c r="AI62" s="16"/>
      <c r="AJ62" s="16"/>
      <c r="AK62" s="16"/>
      <c r="AL62" s="16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x14ac:dyDescent="0.25">
      <c r="A63" s="15">
        <f>1+A59</f>
        <v>16</v>
      </c>
      <c r="B63" s="15"/>
      <c r="C63" s="2"/>
      <c r="D63" s="2"/>
      <c r="E63" s="24" t="str">
        <f>+AQ63</f>
        <v/>
      </c>
      <c r="F63" s="30"/>
      <c r="G63" s="24" t="str">
        <f>+AV63</f>
        <v>300100</v>
      </c>
      <c r="H63" s="16">
        <f>+AK63</f>
        <v>0</v>
      </c>
      <c r="I63" s="16">
        <f>+ROUND(AD63,2)</f>
        <v>0</v>
      </c>
      <c r="J63" s="2"/>
      <c r="K63" s="17">
        <f>+AE63</f>
        <v>0</v>
      </c>
      <c r="L63" s="16">
        <f>+AJ63</f>
        <v>0</v>
      </c>
      <c r="M63" s="32" t="s">
        <v>5</v>
      </c>
      <c r="N63" s="30"/>
      <c r="O63" s="2"/>
      <c r="P63" s="30"/>
      <c r="Q63" s="32" t="s">
        <v>0</v>
      </c>
      <c r="R63" s="24"/>
      <c r="S63" s="24" t="str">
        <f>+RIGHT(O63,7)</f>
        <v/>
      </c>
      <c r="T63" s="2"/>
      <c r="U63" s="3" t="s">
        <v>1</v>
      </c>
      <c r="V63" s="3" t="s">
        <v>3</v>
      </c>
      <c r="W63" s="16">
        <f>+AI63</f>
        <v>0</v>
      </c>
      <c r="X63" s="16">
        <f>+AJ63</f>
        <v>0</v>
      </c>
      <c r="Y63" s="3" t="s">
        <v>4</v>
      </c>
      <c r="Z63" s="18">
        <f>+F63</f>
        <v>0</v>
      </c>
      <c r="AA63" s="61"/>
      <c r="AB63" s="65"/>
      <c r="AC63" s="16">
        <f>+AB63*0.18</f>
        <v>0</v>
      </c>
      <c r="AD63" s="16">
        <f>+AB63+AC63</f>
        <v>0</v>
      </c>
      <c r="AE63" s="68"/>
      <c r="AF63" s="16">
        <f>+AB63*AE63</f>
        <v>0</v>
      </c>
      <c r="AG63" s="16">
        <f>+AC63*AE63</f>
        <v>0</v>
      </c>
      <c r="AH63" s="16">
        <f>+AD63*AE63</f>
        <v>0</v>
      </c>
      <c r="AI63" s="16">
        <f>+ROUND(AF63,2)</f>
        <v>0</v>
      </c>
      <c r="AJ63" s="16">
        <f>+ROUND(AG63,2)</f>
        <v>0</v>
      </c>
      <c r="AK63" s="16">
        <f>+AI63+AJ63</f>
        <v>0</v>
      </c>
      <c r="AL63" s="16">
        <f>+AI63+AJ63-AK63</f>
        <v>0</v>
      </c>
      <c r="AM63" s="44"/>
      <c r="AN63" s="41" t="str">
        <f>+LEFT(AM63,2)</f>
        <v/>
      </c>
      <c r="AO63" s="41" t="str">
        <f>+MID(AM63,4,2)</f>
        <v/>
      </c>
      <c r="AP63" s="41" t="str">
        <f>+RIGHT(AM63,2)</f>
        <v/>
      </c>
      <c r="AQ63" s="41" t="str">
        <f>+CONCATENATE(AN63,AO63,AP63)</f>
        <v/>
      </c>
      <c r="AR63" s="45">
        <f>+AM63+30</f>
        <v>30</v>
      </c>
      <c r="AS63" s="46">
        <f>+DAY(AR63)</f>
        <v>30</v>
      </c>
      <c r="AT63" s="41">
        <f>+MONTH(AR63)</f>
        <v>1</v>
      </c>
      <c r="AU63" s="41">
        <f>+YEAR(AR63)</f>
        <v>1900</v>
      </c>
      <c r="AV63" s="41" t="str">
        <f>+CONCATENATE(TEXT(AS63,"00"),TEXT(AT63,"00"),RIGHT(AU63,2))</f>
        <v>300100</v>
      </c>
    </row>
    <row r="64" spans="1:48" hidden="1" x14ac:dyDescent="0.25">
      <c r="A64" s="31"/>
      <c r="B64" s="31"/>
      <c r="C64" s="3"/>
      <c r="D64" s="3"/>
      <c r="E64" s="2"/>
      <c r="F64" s="3"/>
      <c r="G64" s="3"/>
      <c r="H64" s="16"/>
      <c r="I64" s="16"/>
      <c r="J64" s="3"/>
      <c r="K64" s="17"/>
      <c r="L64" s="16"/>
      <c r="M64" s="3"/>
      <c r="N64" s="3"/>
      <c r="O64" s="2"/>
      <c r="P64" s="3"/>
      <c r="Q64" s="3"/>
      <c r="R64" s="3"/>
      <c r="S64" s="16"/>
      <c r="T64" s="3"/>
      <c r="U64" s="3"/>
      <c r="V64" s="3"/>
      <c r="W64" s="16"/>
      <c r="X64" s="16"/>
      <c r="Y64" s="3"/>
      <c r="Z64" s="18"/>
      <c r="AA64" s="3"/>
      <c r="AB64" s="16"/>
      <c r="AC64" s="16"/>
      <c r="AD64" s="16"/>
      <c r="AE64" s="9"/>
      <c r="AF64" s="16"/>
      <c r="AG64" s="16"/>
      <c r="AH64" s="16"/>
      <c r="AI64" s="16"/>
      <c r="AJ64" s="16"/>
      <c r="AK64" s="16"/>
      <c r="AL64" s="16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idden="1" x14ac:dyDescent="0.25">
      <c r="A65" s="31"/>
      <c r="B65" s="31"/>
      <c r="C65" s="3"/>
      <c r="D65" s="3"/>
      <c r="E65" s="2"/>
      <c r="F65" s="3"/>
      <c r="G65" s="3"/>
      <c r="H65" s="16"/>
      <c r="I65" s="16"/>
      <c r="J65" s="3"/>
      <c r="K65" s="17"/>
      <c r="L65" s="16"/>
      <c r="M65" s="3"/>
      <c r="N65" s="3"/>
      <c r="O65" s="2"/>
      <c r="P65" s="3"/>
      <c r="Q65" s="3"/>
      <c r="R65" s="3"/>
      <c r="S65" s="16"/>
      <c r="T65" s="3"/>
      <c r="U65" s="3"/>
      <c r="V65" s="3"/>
      <c r="W65" s="16"/>
      <c r="X65" s="16"/>
      <c r="Y65" s="3"/>
      <c r="Z65" s="18"/>
      <c r="AA65" s="3"/>
      <c r="AB65" s="16"/>
      <c r="AC65" s="16"/>
      <c r="AD65" s="16"/>
      <c r="AE65" s="9"/>
      <c r="AF65" s="16"/>
      <c r="AG65" s="16"/>
      <c r="AH65" s="16"/>
      <c r="AI65" s="16"/>
      <c r="AJ65" s="16"/>
      <c r="AK65" s="16"/>
      <c r="AL65" s="16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idden="1" x14ac:dyDescent="0.25">
      <c r="A66" s="31"/>
      <c r="B66" s="31"/>
      <c r="C66" s="3"/>
      <c r="D66" s="3"/>
      <c r="E66" s="2"/>
      <c r="F66" s="3"/>
      <c r="G66" s="3"/>
      <c r="H66" s="16"/>
      <c r="I66" s="16"/>
      <c r="J66" s="3"/>
      <c r="K66" s="17"/>
      <c r="L66" s="16"/>
      <c r="M66" s="3"/>
      <c r="N66" s="3"/>
      <c r="O66" s="2"/>
      <c r="P66" s="3"/>
      <c r="Q66" s="3"/>
      <c r="R66" s="3"/>
      <c r="S66" s="16"/>
      <c r="T66" s="3"/>
      <c r="U66" s="3"/>
      <c r="V66" s="3"/>
      <c r="W66" s="16"/>
      <c r="X66" s="16"/>
      <c r="Y66" s="3"/>
      <c r="Z66" s="18"/>
      <c r="AA66" s="3"/>
      <c r="AB66" s="16"/>
      <c r="AC66" s="16"/>
      <c r="AD66" s="16"/>
      <c r="AE66" s="9"/>
      <c r="AF66" s="16"/>
      <c r="AG66" s="16"/>
      <c r="AH66" s="16"/>
      <c r="AI66" s="16"/>
      <c r="AJ66" s="16"/>
      <c r="AK66" s="16"/>
      <c r="AL66" s="16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x14ac:dyDescent="0.25">
      <c r="A67" s="15">
        <f>1+A63</f>
        <v>17</v>
      </c>
      <c r="B67" s="15"/>
      <c r="C67" s="2"/>
      <c r="D67" s="2"/>
      <c r="E67" s="24" t="str">
        <f>+AQ67</f>
        <v/>
      </c>
      <c r="F67" s="30"/>
      <c r="G67" s="24" t="str">
        <f>+AV67</f>
        <v>300100</v>
      </c>
      <c r="H67" s="16">
        <f>+AK67</f>
        <v>0</v>
      </c>
      <c r="I67" s="16">
        <f>+ROUND(AD67,2)</f>
        <v>0</v>
      </c>
      <c r="J67" s="2"/>
      <c r="K67" s="17">
        <f>+AE67</f>
        <v>0</v>
      </c>
      <c r="L67" s="16">
        <f>+AJ67</f>
        <v>0</v>
      </c>
      <c r="M67" s="32" t="s">
        <v>5</v>
      </c>
      <c r="N67" s="30"/>
      <c r="O67" s="2"/>
      <c r="P67" s="30"/>
      <c r="Q67" s="32" t="s">
        <v>0</v>
      </c>
      <c r="R67" s="24"/>
      <c r="S67" s="24" t="str">
        <f>+RIGHT(O67,7)</f>
        <v/>
      </c>
      <c r="T67" s="2"/>
      <c r="U67" s="3" t="s">
        <v>1</v>
      </c>
      <c r="V67" s="3" t="s">
        <v>3</v>
      </c>
      <c r="W67" s="16">
        <f>+AI67</f>
        <v>0</v>
      </c>
      <c r="X67" s="16">
        <f>+AJ67</f>
        <v>0</v>
      </c>
      <c r="Y67" s="3" t="s">
        <v>4</v>
      </c>
      <c r="Z67" s="18">
        <f>+F67</f>
        <v>0</v>
      </c>
      <c r="AA67" s="61"/>
      <c r="AB67" s="65"/>
      <c r="AC67" s="16">
        <f>+AB67*0.18</f>
        <v>0</v>
      </c>
      <c r="AD67" s="16">
        <f>+AB67+AC67</f>
        <v>0</v>
      </c>
      <c r="AE67" s="68"/>
      <c r="AF67" s="16">
        <f>+AB67*AE67</f>
        <v>0</v>
      </c>
      <c r="AG67" s="16">
        <f>+AC67*AE67</f>
        <v>0</v>
      </c>
      <c r="AH67" s="16">
        <f>+AD67*AE67</f>
        <v>0</v>
      </c>
      <c r="AI67" s="16">
        <f>+ROUND(AF67,2)</f>
        <v>0</v>
      </c>
      <c r="AJ67" s="16">
        <f>+ROUND(AG67,2)</f>
        <v>0</v>
      </c>
      <c r="AK67" s="16">
        <f>+AI67+AJ67</f>
        <v>0</v>
      </c>
      <c r="AL67" s="16">
        <f>+AI67+AJ67-AK67</f>
        <v>0</v>
      </c>
      <c r="AM67" s="44"/>
      <c r="AN67" s="41" t="str">
        <f>+LEFT(AM67,2)</f>
        <v/>
      </c>
      <c r="AO67" s="41" t="str">
        <f>+MID(AM67,4,2)</f>
        <v/>
      </c>
      <c r="AP67" s="41" t="str">
        <f>+RIGHT(AM67,2)</f>
        <v/>
      </c>
      <c r="AQ67" s="41" t="str">
        <f>+CONCATENATE(AN67,AO67,AP67)</f>
        <v/>
      </c>
      <c r="AR67" s="45">
        <f>+AM67+30</f>
        <v>30</v>
      </c>
      <c r="AS67" s="46">
        <f>+DAY(AR67)</f>
        <v>30</v>
      </c>
      <c r="AT67" s="41">
        <f>+MONTH(AR67)</f>
        <v>1</v>
      </c>
      <c r="AU67" s="41">
        <f>+YEAR(AR67)</f>
        <v>1900</v>
      </c>
      <c r="AV67" s="41" t="str">
        <f>+CONCATENATE(TEXT(AS67,"00"),TEXT(AT67,"00"),RIGHT(AU67,2))</f>
        <v>300100</v>
      </c>
    </row>
    <row r="68" spans="1:48" hidden="1" x14ac:dyDescent="0.25">
      <c r="A68" s="31"/>
      <c r="B68" s="31"/>
      <c r="C68" s="3"/>
      <c r="D68" s="3"/>
      <c r="E68" s="2"/>
      <c r="F68" s="3"/>
      <c r="G68" s="3"/>
      <c r="H68" s="16"/>
      <c r="I68" s="16"/>
      <c r="J68" s="3"/>
      <c r="K68" s="17"/>
      <c r="L68" s="16"/>
      <c r="M68" s="3"/>
      <c r="N68" s="3"/>
      <c r="O68" s="2"/>
      <c r="P68" s="3"/>
      <c r="Q68" s="3"/>
      <c r="R68" s="3"/>
      <c r="S68" s="16"/>
      <c r="T68" s="3"/>
      <c r="U68" s="3"/>
      <c r="V68" s="3"/>
      <c r="W68" s="16"/>
      <c r="X68" s="16"/>
      <c r="Y68" s="3"/>
      <c r="Z68" s="18"/>
      <c r="AA68" s="3"/>
      <c r="AB68" s="16"/>
      <c r="AC68" s="16"/>
      <c r="AD68" s="16"/>
      <c r="AE68" s="9"/>
      <c r="AF68" s="16"/>
      <c r="AG68" s="16"/>
      <c r="AH68" s="16"/>
      <c r="AI68" s="16"/>
      <c r="AJ68" s="16"/>
      <c r="AK68" s="16"/>
      <c r="AL68" s="16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idden="1" x14ac:dyDescent="0.25">
      <c r="A69" s="31"/>
      <c r="B69" s="31"/>
      <c r="C69" s="3"/>
      <c r="D69" s="3"/>
      <c r="E69" s="2"/>
      <c r="F69" s="3"/>
      <c r="G69" s="3"/>
      <c r="H69" s="16"/>
      <c r="I69" s="16"/>
      <c r="J69" s="3"/>
      <c r="K69" s="17"/>
      <c r="L69" s="16"/>
      <c r="M69" s="3"/>
      <c r="N69" s="3"/>
      <c r="O69" s="2"/>
      <c r="P69" s="3"/>
      <c r="Q69" s="3"/>
      <c r="R69" s="3"/>
      <c r="S69" s="16"/>
      <c r="T69" s="3"/>
      <c r="U69" s="3"/>
      <c r="V69" s="3"/>
      <c r="W69" s="16"/>
      <c r="X69" s="16"/>
      <c r="Y69" s="3"/>
      <c r="Z69" s="18"/>
      <c r="AA69" s="3"/>
      <c r="AB69" s="16"/>
      <c r="AC69" s="16"/>
      <c r="AD69" s="16"/>
      <c r="AE69" s="9"/>
      <c r="AF69" s="16"/>
      <c r="AG69" s="16"/>
      <c r="AH69" s="16"/>
      <c r="AI69" s="16"/>
      <c r="AJ69" s="16"/>
      <c r="AK69" s="16"/>
      <c r="AL69" s="16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idden="1" x14ac:dyDescent="0.25">
      <c r="A70" s="31"/>
      <c r="B70" s="31"/>
      <c r="C70" s="3"/>
      <c r="D70" s="3"/>
      <c r="E70" s="2"/>
      <c r="F70" s="3"/>
      <c r="G70" s="3"/>
      <c r="H70" s="16"/>
      <c r="I70" s="16"/>
      <c r="J70" s="3"/>
      <c r="K70" s="17"/>
      <c r="L70" s="16"/>
      <c r="M70" s="3"/>
      <c r="N70" s="3"/>
      <c r="O70" s="2"/>
      <c r="P70" s="3"/>
      <c r="Q70" s="3"/>
      <c r="R70" s="3"/>
      <c r="S70" s="16"/>
      <c r="T70" s="3"/>
      <c r="U70" s="3"/>
      <c r="V70" s="3"/>
      <c r="W70" s="16"/>
      <c r="X70" s="16"/>
      <c r="Y70" s="3"/>
      <c r="Z70" s="18"/>
      <c r="AA70" s="3"/>
      <c r="AB70" s="16"/>
      <c r="AC70" s="16"/>
      <c r="AD70" s="16"/>
      <c r="AE70" s="9"/>
      <c r="AF70" s="16"/>
      <c r="AG70" s="16"/>
      <c r="AH70" s="16"/>
      <c r="AI70" s="16"/>
      <c r="AJ70" s="16"/>
      <c r="AK70" s="16"/>
      <c r="AL70" s="16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x14ac:dyDescent="0.25">
      <c r="A71" s="15">
        <f>1+A67</f>
        <v>18</v>
      </c>
      <c r="B71" s="15"/>
      <c r="C71" s="2"/>
      <c r="D71" s="2"/>
      <c r="E71" s="24" t="str">
        <f>+AQ71</f>
        <v/>
      </c>
      <c r="F71" s="30"/>
      <c r="G71" s="24" t="str">
        <f>+AV71</f>
        <v>300100</v>
      </c>
      <c r="H71" s="16">
        <f>+AK71</f>
        <v>0</v>
      </c>
      <c r="I71" s="16">
        <f>+ROUND(AD71,2)</f>
        <v>0</v>
      </c>
      <c r="J71" s="2"/>
      <c r="K71" s="17">
        <f>+AE71</f>
        <v>0</v>
      </c>
      <c r="L71" s="16">
        <f>+AJ71</f>
        <v>0</v>
      </c>
      <c r="M71" s="32" t="s">
        <v>5</v>
      </c>
      <c r="N71" s="30"/>
      <c r="O71" s="2"/>
      <c r="P71" s="30"/>
      <c r="Q71" s="32" t="s">
        <v>0</v>
      </c>
      <c r="R71" s="24"/>
      <c r="S71" s="24" t="str">
        <f>+RIGHT(O71,7)</f>
        <v/>
      </c>
      <c r="T71" s="2"/>
      <c r="U71" s="3" t="s">
        <v>1</v>
      </c>
      <c r="V71" s="3" t="s">
        <v>3</v>
      </c>
      <c r="W71" s="16">
        <f>+AI71</f>
        <v>0</v>
      </c>
      <c r="X71" s="16">
        <f>+AJ71</f>
        <v>0</v>
      </c>
      <c r="Y71" s="3" t="s">
        <v>4</v>
      </c>
      <c r="Z71" s="18">
        <f>+F71</f>
        <v>0</v>
      </c>
      <c r="AA71" s="61"/>
      <c r="AB71" s="65"/>
      <c r="AC71" s="16">
        <f>+AB71*0.18</f>
        <v>0</v>
      </c>
      <c r="AD71" s="16">
        <f>+AB71+AC71</f>
        <v>0</v>
      </c>
      <c r="AE71" s="68"/>
      <c r="AF71" s="16">
        <f>+AB71*AE71</f>
        <v>0</v>
      </c>
      <c r="AG71" s="16">
        <f>+AC71*AE71</f>
        <v>0</v>
      </c>
      <c r="AH71" s="16">
        <f>+AD71*AE71</f>
        <v>0</v>
      </c>
      <c r="AI71" s="16">
        <f>+ROUND(AF71,2)</f>
        <v>0</v>
      </c>
      <c r="AJ71" s="16">
        <f>+ROUND(AG71,2)</f>
        <v>0</v>
      </c>
      <c r="AK71" s="16">
        <f>+AI71+AJ71</f>
        <v>0</v>
      </c>
      <c r="AL71" s="16">
        <f>+AI71+AJ71-AK71</f>
        <v>0</v>
      </c>
      <c r="AM71" s="44"/>
      <c r="AN71" s="41" t="str">
        <f>+LEFT(AM71,2)</f>
        <v/>
      </c>
      <c r="AO71" s="41" t="str">
        <f>+MID(AM71,4,2)</f>
        <v/>
      </c>
      <c r="AP71" s="41" t="str">
        <f>+RIGHT(AM71,2)</f>
        <v/>
      </c>
      <c r="AQ71" s="41" t="str">
        <f>+CONCATENATE(AN71,AO71,AP71)</f>
        <v/>
      </c>
      <c r="AR71" s="45">
        <f>+AM71+30</f>
        <v>30</v>
      </c>
      <c r="AS71" s="46">
        <f>+DAY(AR71)</f>
        <v>30</v>
      </c>
      <c r="AT71" s="41">
        <f>+MONTH(AR71)</f>
        <v>1</v>
      </c>
      <c r="AU71" s="41">
        <f>+YEAR(AR71)</f>
        <v>1900</v>
      </c>
      <c r="AV71" s="41" t="str">
        <f>+CONCATENATE(TEXT(AS71,"00"),TEXT(AT71,"00"),RIGHT(AU71,2))</f>
        <v>300100</v>
      </c>
    </row>
    <row r="72" spans="1:48" hidden="1" x14ac:dyDescent="0.25">
      <c r="A72" s="31"/>
      <c r="B72" s="31"/>
      <c r="C72" s="3"/>
      <c r="D72" s="3"/>
      <c r="E72" s="2"/>
      <c r="F72" s="3"/>
      <c r="G72" s="3"/>
      <c r="H72" s="16"/>
      <c r="I72" s="16"/>
      <c r="J72" s="3"/>
      <c r="K72" s="17"/>
      <c r="L72" s="16"/>
      <c r="M72" s="3"/>
      <c r="N72" s="3"/>
      <c r="O72" s="2"/>
      <c r="P72" s="3"/>
      <c r="Q72" s="3"/>
      <c r="R72" s="3"/>
      <c r="S72" s="16"/>
      <c r="T72" s="3"/>
      <c r="U72" s="3"/>
      <c r="V72" s="3"/>
      <c r="W72" s="16"/>
      <c r="X72" s="16"/>
      <c r="Y72" s="3"/>
      <c r="Z72" s="18"/>
      <c r="AA72" s="3"/>
      <c r="AB72" s="16"/>
      <c r="AC72" s="16"/>
      <c r="AD72" s="16"/>
      <c r="AE72" s="9"/>
      <c r="AF72" s="16"/>
      <c r="AG72" s="16"/>
      <c r="AH72" s="16"/>
      <c r="AI72" s="16"/>
      <c r="AJ72" s="16"/>
      <c r="AK72" s="16"/>
      <c r="AL72" s="16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idden="1" x14ac:dyDescent="0.25">
      <c r="A73" s="31"/>
      <c r="B73" s="31"/>
      <c r="C73" s="3"/>
      <c r="D73" s="3"/>
      <c r="E73" s="2"/>
      <c r="F73" s="3"/>
      <c r="G73" s="3"/>
      <c r="H73" s="16"/>
      <c r="I73" s="16"/>
      <c r="J73" s="3"/>
      <c r="K73" s="17"/>
      <c r="L73" s="16"/>
      <c r="M73" s="3"/>
      <c r="N73" s="3"/>
      <c r="O73" s="2"/>
      <c r="P73" s="3"/>
      <c r="Q73" s="3"/>
      <c r="R73" s="3"/>
      <c r="S73" s="16"/>
      <c r="T73" s="3"/>
      <c r="U73" s="3"/>
      <c r="V73" s="3"/>
      <c r="W73" s="16"/>
      <c r="X73" s="16"/>
      <c r="Y73" s="3"/>
      <c r="Z73" s="18"/>
      <c r="AA73" s="3"/>
      <c r="AB73" s="16"/>
      <c r="AC73" s="16"/>
      <c r="AD73" s="16"/>
      <c r="AE73" s="9"/>
      <c r="AF73" s="16"/>
      <c r="AG73" s="16"/>
      <c r="AH73" s="16"/>
      <c r="AI73" s="16"/>
      <c r="AJ73" s="16"/>
      <c r="AK73" s="16"/>
      <c r="AL73" s="16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idden="1" x14ac:dyDescent="0.25">
      <c r="A74" s="31"/>
      <c r="B74" s="31"/>
      <c r="C74" s="3"/>
      <c r="D74" s="3"/>
      <c r="E74" s="2"/>
      <c r="F74" s="3"/>
      <c r="G74" s="3"/>
      <c r="H74" s="16"/>
      <c r="I74" s="16"/>
      <c r="J74" s="3"/>
      <c r="K74" s="17"/>
      <c r="L74" s="16"/>
      <c r="M74" s="3"/>
      <c r="N74" s="3"/>
      <c r="O74" s="2"/>
      <c r="P74" s="3"/>
      <c r="Q74" s="3"/>
      <c r="R74" s="3"/>
      <c r="S74" s="16"/>
      <c r="T74" s="3"/>
      <c r="U74" s="3"/>
      <c r="V74" s="3"/>
      <c r="W74" s="16"/>
      <c r="X74" s="16"/>
      <c r="Y74" s="3"/>
      <c r="Z74" s="18"/>
      <c r="AA74" s="3"/>
      <c r="AB74" s="16"/>
      <c r="AC74" s="16"/>
      <c r="AD74" s="16"/>
      <c r="AE74" s="9"/>
      <c r="AF74" s="16"/>
      <c r="AG74" s="16"/>
      <c r="AH74" s="16"/>
      <c r="AI74" s="16"/>
      <c r="AJ74" s="16"/>
      <c r="AK74" s="16"/>
      <c r="AL74" s="16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x14ac:dyDescent="0.25">
      <c r="A75" s="15">
        <f>1+A71</f>
        <v>19</v>
      </c>
      <c r="B75" s="15"/>
      <c r="C75" s="2"/>
      <c r="D75" s="2"/>
      <c r="E75" s="24" t="str">
        <f>+AQ75</f>
        <v/>
      </c>
      <c r="F75" s="30"/>
      <c r="G75" s="24" t="str">
        <f>+AV75</f>
        <v>300100</v>
      </c>
      <c r="H75" s="16">
        <f>+AK75</f>
        <v>0</v>
      </c>
      <c r="I75" s="16">
        <f>+ROUND(AD75,2)</f>
        <v>0</v>
      </c>
      <c r="J75" s="2"/>
      <c r="K75" s="17">
        <f>+AE75</f>
        <v>0</v>
      </c>
      <c r="L75" s="16">
        <f>+AJ75</f>
        <v>0</v>
      </c>
      <c r="M75" s="32" t="s">
        <v>5</v>
      </c>
      <c r="N75" s="30"/>
      <c r="O75" s="2"/>
      <c r="P75" s="30"/>
      <c r="Q75" s="32" t="s">
        <v>0</v>
      </c>
      <c r="R75" s="24"/>
      <c r="S75" s="24" t="str">
        <f>+RIGHT(O75,7)</f>
        <v/>
      </c>
      <c r="T75" s="2"/>
      <c r="U75" s="3" t="s">
        <v>1</v>
      </c>
      <c r="V75" s="3" t="s">
        <v>3</v>
      </c>
      <c r="W75" s="16">
        <f>+AI75</f>
        <v>0</v>
      </c>
      <c r="X75" s="16">
        <f>+AJ75</f>
        <v>0</v>
      </c>
      <c r="Y75" s="3" t="s">
        <v>4</v>
      </c>
      <c r="Z75" s="18">
        <f>+F75</f>
        <v>0</v>
      </c>
      <c r="AA75" s="61"/>
      <c r="AB75" s="65"/>
      <c r="AC75" s="16">
        <f>+AB75*0.18</f>
        <v>0</v>
      </c>
      <c r="AD75" s="16">
        <f>+AB75+AC75</f>
        <v>0</v>
      </c>
      <c r="AE75" s="68"/>
      <c r="AF75" s="16">
        <f>+AB75*AE75</f>
        <v>0</v>
      </c>
      <c r="AG75" s="16">
        <f>+AC75*AE75</f>
        <v>0</v>
      </c>
      <c r="AH75" s="16">
        <f>+AD75*AE75</f>
        <v>0</v>
      </c>
      <c r="AI75" s="16">
        <f>+ROUND(AF75,2)</f>
        <v>0</v>
      </c>
      <c r="AJ75" s="16">
        <f>+ROUND(AG75,2)</f>
        <v>0</v>
      </c>
      <c r="AK75" s="16">
        <f>+AI75+AJ75</f>
        <v>0</v>
      </c>
      <c r="AL75" s="16">
        <f>+AI75+AJ75-AK75</f>
        <v>0</v>
      </c>
      <c r="AM75" s="44"/>
      <c r="AN75" s="41" t="str">
        <f>+LEFT(AM75,2)</f>
        <v/>
      </c>
      <c r="AO75" s="41" t="str">
        <f>+MID(AM75,4,2)</f>
        <v/>
      </c>
      <c r="AP75" s="41" t="str">
        <f>+RIGHT(AM75,2)</f>
        <v/>
      </c>
      <c r="AQ75" s="41" t="str">
        <f>+CONCATENATE(AN75,AO75,AP75)</f>
        <v/>
      </c>
      <c r="AR75" s="45">
        <f>+AM75+30</f>
        <v>30</v>
      </c>
      <c r="AS75" s="46">
        <f>+DAY(AR75)</f>
        <v>30</v>
      </c>
      <c r="AT75" s="41">
        <f>+MONTH(AR75)</f>
        <v>1</v>
      </c>
      <c r="AU75" s="41">
        <f>+YEAR(AR75)</f>
        <v>1900</v>
      </c>
      <c r="AV75" s="41" t="str">
        <f>+CONCATENATE(TEXT(AS75,"00"),TEXT(AT75,"00"),RIGHT(AU75,2))</f>
        <v>300100</v>
      </c>
    </row>
    <row r="76" spans="1:48" hidden="1" x14ac:dyDescent="0.25">
      <c r="A76" s="31"/>
      <c r="B76" s="31"/>
      <c r="C76" s="3"/>
      <c r="D76" s="3"/>
      <c r="E76" s="2"/>
      <c r="F76" s="3"/>
      <c r="G76" s="3"/>
      <c r="H76" s="16"/>
      <c r="I76" s="16"/>
      <c r="J76" s="3"/>
      <c r="K76" s="17"/>
      <c r="L76" s="16"/>
      <c r="M76" s="3"/>
      <c r="N76" s="3"/>
      <c r="O76" s="2"/>
      <c r="P76" s="3"/>
      <c r="Q76" s="3"/>
      <c r="R76" s="3"/>
      <c r="S76" s="16"/>
      <c r="T76" s="3"/>
      <c r="U76" s="3"/>
      <c r="V76" s="3"/>
      <c r="W76" s="16"/>
      <c r="X76" s="16"/>
      <c r="Y76" s="3"/>
      <c r="Z76" s="18"/>
      <c r="AA76" s="3"/>
      <c r="AB76" s="16"/>
      <c r="AC76" s="16"/>
      <c r="AD76" s="16"/>
      <c r="AE76" s="9"/>
      <c r="AF76" s="16"/>
      <c r="AG76" s="16"/>
      <c r="AH76" s="16"/>
      <c r="AI76" s="16"/>
      <c r="AJ76" s="16"/>
      <c r="AK76" s="16"/>
      <c r="AL76" s="16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idden="1" x14ac:dyDescent="0.25">
      <c r="A77" s="31"/>
      <c r="B77" s="31"/>
      <c r="C77" s="3"/>
      <c r="D77" s="3"/>
      <c r="E77" s="2"/>
      <c r="F77" s="3"/>
      <c r="G77" s="3"/>
      <c r="H77" s="16"/>
      <c r="I77" s="16"/>
      <c r="J77" s="3"/>
      <c r="K77" s="17"/>
      <c r="L77" s="16"/>
      <c r="M77" s="3"/>
      <c r="N77" s="3"/>
      <c r="O77" s="2"/>
      <c r="P77" s="3"/>
      <c r="Q77" s="3"/>
      <c r="R77" s="3"/>
      <c r="S77" s="16"/>
      <c r="T77" s="3"/>
      <c r="U77" s="3"/>
      <c r="V77" s="3"/>
      <c r="W77" s="16"/>
      <c r="X77" s="16"/>
      <c r="Y77" s="3"/>
      <c r="Z77" s="18"/>
      <c r="AA77" s="3"/>
      <c r="AB77" s="16"/>
      <c r="AC77" s="16"/>
      <c r="AD77" s="16"/>
      <c r="AE77" s="9"/>
      <c r="AF77" s="16"/>
      <c r="AG77" s="16"/>
      <c r="AH77" s="16"/>
      <c r="AI77" s="16"/>
      <c r="AJ77" s="16"/>
      <c r="AK77" s="16"/>
      <c r="AL77" s="16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idden="1" x14ac:dyDescent="0.25">
      <c r="A78" s="31"/>
      <c r="B78" s="31"/>
      <c r="C78" s="3"/>
      <c r="D78" s="3"/>
      <c r="E78" s="2"/>
      <c r="F78" s="3"/>
      <c r="G78" s="3"/>
      <c r="H78" s="16"/>
      <c r="I78" s="16"/>
      <c r="J78" s="3"/>
      <c r="K78" s="17"/>
      <c r="L78" s="16"/>
      <c r="M78" s="3"/>
      <c r="N78" s="3"/>
      <c r="O78" s="2"/>
      <c r="P78" s="3"/>
      <c r="Q78" s="3"/>
      <c r="R78" s="3"/>
      <c r="S78" s="16"/>
      <c r="T78" s="3"/>
      <c r="U78" s="3"/>
      <c r="V78" s="3"/>
      <c r="W78" s="16"/>
      <c r="X78" s="16"/>
      <c r="Y78" s="3"/>
      <c r="Z78" s="18"/>
      <c r="AA78" s="3"/>
      <c r="AB78" s="16"/>
      <c r="AC78" s="16"/>
      <c r="AD78" s="16"/>
      <c r="AE78" s="9"/>
      <c r="AF78" s="16"/>
      <c r="AG78" s="16"/>
      <c r="AH78" s="16"/>
      <c r="AI78" s="16"/>
      <c r="AJ78" s="16"/>
      <c r="AK78" s="16"/>
      <c r="AL78" s="16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x14ac:dyDescent="0.25">
      <c r="A79" s="15">
        <f>1+A75</f>
        <v>20</v>
      </c>
      <c r="B79" s="15"/>
      <c r="C79" s="2"/>
      <c r="D79" s="2"/>
      <c r="E79" s="24" t="str">
        <f>+AQ79</f>
        <v/>
      </c>
      <c r="F79" s="30"/>
      <c r="G79" s="24" t="str">
        <f>+AV79</f>
        <v>300100</v>
      </c>
      <c r="H79" s="16">
        <f>+AK79</f>
        <v>0</v>
      </c>
      <c r="I79" s="16">
        <f>+ROUND(AD79,2)</f>
        <v>0</v>
      </c>
      <c r="J79" s="2"/>
      <c r="K79" s="17">
        <f>+AE79</f>
        <v>0</v>
      </c>
      <c r="L79" s="16">
        <f>+AJ79</f>
        <v>0</v>
      </c>
      <c r="M79" s="32" t="s">
        <v>5</v>
      </c>
      <c r="N79" s="30"/>
      <c r="O79" s="2"/>
      <c r="P79" s="30"/>
      <c r="Q79" s="32" t="s">
        <v>0</v>
      </c>
      <c r="R79" s="24"/>
      <c r="S79" s="24" t="str">
        <f>+RIGHT(O79,7)</f>
        <v/>
      </c>
      <c r="T79" s="2"/>
      <c r="U79" s="3" t="s">
        <v>1</v>
      </c>
      <c r="V79" s="3" t="s">
        <v>3</v>
      </c>
      <c r="W79" s="16">
        <f>+AI79</f>
        <v>0</v>
      </c>
      <c r="X79" s="16">
        <f>+AJ79</f>
        <v>0</v>
      </c>
      <c r="Y79" s="3" t="s">
        <v>4</v>
      </c>
      <c r="Z79" s="18">
        <f>+F79</f>
        <v>0</v>
      </c>
      <c r="AA79" s="61"/>
      <c r="AB79" s="65"/>
      <c r="AC79" s="16">
        <f>+AB79*0.18</f>
        <v>0</v>
      </c>
      <c r="AD79" s="16">
        <f>+AB79+AC79</f>
        <v>0</v>
      </c>
      <c r="AE79" s="68"/>
      <c r="AF79" s="16">
        <f>+AB79*AE79</f>
        <v>0</v>
      </c>
      <c r="AG79" s="16">
        <f>+AC79*AE79</f>
        <v>0</v>
      </c>
      <c r="AH79" s="16">
        <f>+AD79*AE79</f>
        <v>0</v>
      </c>
      <c r="AI79" s="16">
        <f>+ROUND(AF79,2)</f>
        <v>0</v>
      </c>
      <c r="AJ79" s="16">
        <f>+ROUND(AG79,2)</f>
        <v>0</v>
      </c>
      <c r="AK79" s="16">
        <f>+AI79+AJ79</f>
        <v>0</v>
      </c>
      <c r="AL79" s="16">
        <f>+AI79+AJ79-AK79</f>
        <v>0</v>
      </c>
      <c r="AM79" s="44"/>
      <c r="AN79" s="41" t="str">
        <f>+LEFT(AM79,2)</f>
        <v/>
      </c>
      <c r="AO79" s="41" t="str">
        <f>+MID(AM79,4,2)</f>
        <v/>
      </c>
      <c r="AP79" s="41" t="str">
        <f>+RIGHT(AM79,2)</f>
        <v/>
      </c>
      <c r="AQ79" s="41" t="str">
        <f>+CONCATENATE(AN79,AO79,AP79)</f>
        <v/>
      </c>
      <c r="AR79" s="45">
        <f>+AM79+30</f>
        <v>30</v>
      </c>
      <c r="AS79" s="46">
        <f>+DAY(AR79)</f>
        <v>30</v>
      </c>
      <c r="AT79" s="41">
        <f>+MONTH(AR79)</f>
        <v>1</v>
      </c>
      <c r="AU79" s="41">
        <f>+YEAR(AR79)</f>
        <v>1900</v>
      </c>
      <c r="AV79" s="41" t="str">
        <f>+CONCATENATE(TEXT(AS79,"00"),TEXT(AT79,"00"),RIGHT(AU79,2))</f>
        <v>300100</v>
      </c>
    </row>
    <row r="80" spans="1:48" hidden="1" x14ac:dyDescent="0.25">
      <c r="A80" s="31"/>
      <c r="B80" s="31"/>
      <c r="C80" s="3"/>
      <c r="D80" s="3"/>
      <c r="E80" s="2"/>
      <c r="F80" s="3"/>
      <c r="G80" s="3"/>
      <c r="H80" s="16"/>
      <c r="I80" s="16"/>
      <c r="J80" s="3"/>
      <c r="K80" s="17"/>
      <c r="L80" s="16"/>
      <c r="M80" s="3"/>
      <c r="N80" s="3"/>
      <c r="O80" s="2"/>
      <c r="P80" s="3"/>
      <c r="Q80" s="3"/>
      <c r="R80" s="3"/>
      <c r="S80" s="3"/>
      <c r="T80" s="3"/>
      <c r="U80" s="3"/>
      <c r="V80" s="3"/>
      <c r="W80" s="16"/>
      <c r="X80" s="16"/>
      <c r="Y80" s="3"/>
      <c r="Z80" s="3"/>
      <c r="AA80" s="3"/>
      <c r="AB80" s="16"/>
      <c r="AC80" s="16"/>
      <c r="AD80" s="16"/>
      <c r="AE80" s="3"/>
      <c r="AF80" s="3"/>
      <c r="AG80" s="3"/>
      <c r="AH80" s="3"/>
      <c r="AI80" s="4"/>
      <c r="AJ80" s="4"/>
      <c r="AK80" s="4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idden="1" x14ac:dyDescent="0.25">
      <c r="A81" s="31"/>
      <c r="B81" s="31"/>
      <c r="C81" s="3"/>
      <c r="D81" s="3"/>
      <c r="E81" s="2"/>
      <c r="F81" s="3"/>
      <c r="G81" s="3"/>
      <c r="H81" s="16"/>
      <c r="I81" s="16"/>
      <c r="J81" s="3"/>
      <c r="K81" s="17"/>
      <c r="L81" s="16"/>
      <c r="M81" s="3"/>
      <c r="N81" s="3"/>
      <c r="O81" s="2"/>
      <c r="P81" s="3"/>
      <c r="Q81" s="3"/>
      <c r="R81" s="3"/>
      <c r="S81" s="3"/>
      <c r="T81" s="3"/>
      <c r="U81" s="3"/>
      <c r="V81" s="3"/>
      <c r="W81" s="16"/>
      <c r="X81" s="16"/>
      <c r="Y81" s="3"/>
      <c r="Z81" s="3"/>
      <c r="AA81" s="3"/>
      <c r="AB81" s="16"/>
      <c r="AC81" s="16"/>
      <c r="AD81" s="16"/>
      <c r="AE81" s="3"/>
      <c r="AF81" s="3"/>
      <c r="AG81" s="3"/>
      <c r="AH81" s="3"/>
      <c r="AI81" s="4"/>
      <c r="AJ81" s="4"/>
      <c r="AK81" s="4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idden="1" x14ac:dyDescent="0.25">
      <c r="A82" s="31"/>
      <c r="B82" s="31"/>
      <c r="C82" s="3"/>
      <c r="D82" s="3"/>
      <c r="E82" s="2"/>
      <c r="F82" s="3"/>
      <c r="G82" s="3"/>
      <c r="H82" s="16"/>
      <c r="I82" s="16"/>
      <c r="J82" s="3"/>
      <c r="K82" s="17"/>
      <c r="L82" s="16"/>
      <c r="M82" s="3"/>
      <c r="N82" s="3"/>
      <c r="O82" s="2"/>
      <c r="P82" s="3"/>
      <c r="Q82" s="3"/>
      <c r="R82" s="3"/>
      <c r="S82" s="3"/>
      <c r="T82" s="3"/>
      <c r="U82" s="3"/>
      <c r="V82" s="3"/>
      <c r="W82" s="16"/>
      <c r="X82" s="16"/>
      <c r="Y82" s="3"/>
      <c r="Z82" s="3"/>
      <c r="AA82" s="3"/>
      <c r="AB82" s="16"/>
      <c r="AC82" s="16"/>
      <c r="AD82" s="16"/>
      <c r="AE82" s="3"/>
      <c r="AF82" s="3"/>
      <c r="AG82" s="3"/>
      <c r="AH82" s="3"/>
      <c r="AI82" s="4"/>
      <c r="AJ82" s="4"/>
      <c r="AK82" s="4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x14ac:dyDescent="0.25">
      <c r="A83" s="15">
        <f>1+A79</f>
        <v>21</v>
      </c>
      <c r="B83" s="15"/>
      <c r="C83" s="2"/>
      <c r="D83" s="2"/>
      <c r="E83" s="24" t="str">
        <f>+AQ83</f>
        <v/>
      </c>
      <c r="F83" s="30"/>
      <c r="G83" s="24" t="str">
        <f>+AV83</f>
        <v>300100</v>
      </c>
      <c r="H83" s="16">
        <f>+AK83</f>
        <v>0</v>
      </c>
      <c r="I83" s="16">
        <f>+ROUND(AD83,2)</f>
        <v>0</v>
      </c>
      <c r="J83" s="2"/>
      <c r="K83" s="17">
        <f>+AE83</f>
        <v>0</v>
      </c>
      <c r="L83" s="16">
        <f>+AJ83</f>
        <v>0</v>
      </c>
      <c r="M83" s="32" t="s">
        <v>5</v>
      </c>
      <c r="N83" s="30"/>
      <c r="O83" s="2"/>
      <c r="P83" s="30"/>
      <c r="Q83" s="32" t="s">
        <v>0</v>
      </c>
      <c r="R83" s="24"/>
      <c r="S83" s="24" t="str">
        <f>+RIGHT(O83,7)</f>
        <v/>
      </c>
      <c r="T83" s="2"/>
      <c r="U83" s="3" t="s">
        <v>1</v>
      </c>
      <c r="V83" s="3" t="s">
        <v>3</v>
      </c>
      <c r="W83" s="16">
        <f>+AI83</f>
        <v>0</v>
      </c>
      <c r="X83" s="16">
        <f>+AJ83</f>
        <v>0</v>
      </c>
      <c r="Y83" s="3" t="s">
        <v>4</v>
      </c>
      <c r="Z83" s="18">
        <f>+F83</f>
        <v>0</v>
      </c>
      <c r="AA83" s="61"/>
      <c r="AB83" s="65"/>
      <c r="AC83" s="16">
        <f>+AB83*0.18</f>
        <v>0</v>
      </c>
      <c r="AD83" s="16">
        <f>+AB83+AC83</f>
        <v>0</v>
      </c>
      <c r="AE83" s="68"/>
      <c r="AF83" s="16">
        <f>+AB83*AE83</f>
        <v>0</v>
      </c>
      <c r="AG83" s="16">
        <f>+AC83*AE83</f>
        <v>0</v>
      </c>
      <c r="AH83" s="16">
        <f>+AD83*AE83</f>
        <v>0</v>
      </c>
      <c r="AI83" s="16">
        <f>+ROUND(AF83,2)</f>
        <v>0</v>
      </c>
      <c r="AJ83" s="16">
        <f>+ROUND(AG83,2)</f>
        <v>0</v>
      </c>
      <c r="AK83" s="16">
        <f>+AI83+AJ83</f>
        <v>0</v>
      </c>
      <c r="AL83" s="16">
        <f>+AI83+AJ83-AK83</f>
        <v>0</v>
      </c>
      <c r="AM83" s="44"/>
      <c r="AN83" s="41" t="str">
        <f>+LEFT(AM83,2)</f>
        <v/>
      </c>
      <c r="AO83" s="41" t="str">
        <f>+MID(AM83,4,2)</f>
        <v/>
      </c>
      <c r="AP83" s="41" t="str">
        <f>+RIGHT(AM83,2)</f>
        <v/>
      </c>
      <c r="AQ83" s="41" t="str">
        <f>+CONCATENATE(AN83,AO83,AP83)</f>
        <v/>
      </c>
      <c r="AR83" s="45">
        <f>+AM83+30</f>
        <v>30</v>
      </c>
      <c r="AS83" s="46">
        <f>+DAY(AR83)</f>
        <v>30</v>
      </c>
      <c r="AT83" s="41">
        <f>+MONTH(AR83)</f>
        <v>1</v>
      </c>
      <c r="AU83" s="41">
        <f>+YEAR(AR83)</f>
        <v>1900</v>
      </c>
      <c r="AV83" s="41" t="str">
        <f>+CONCATENATE(TEXT(AS83,"00"),TEXT(AT83,"00"),RIGHT(AU83,2))</f>
        <v>300100</v>
      </c>
    </row>
    <row r="84" spans="1:48" hidden="1" x14ac:dyDescent="0.25">
      <c r="A84" s="31"/>
      <c r="B84" s="31"/>
      <c r="C84" s="3"/>
      <c r="D84" s="3"/>
      <c r="E84" s="2"/>
      <c r="F84" s="3"/>
      <c r="G84" s="3"/>
      <c r="H84" s="16"/>
      <c r="I84" s="16"/>
      <c r="J84" s="3"/>
      <c r="K84" s="17"/>
      <c r="L84" s="33"/>
      <c r="M84" s="3"/>
      <c r="N84" s="3"/>
      <c r="O84" s="2"/>
      <c r="P84" s="3"/>
      <c r="Q84" s="3"/>
      <c r="R84" s="3"/>
      <c r="S84" s="3"/>
      <c r="T84" s="3"/>
      <c r="U84" s="3"/>
      <c r="V84" s="3"/>
      <c r="W84" s="16"/>
      <c r="X84" s="16"/>
      <c r="Y84" s="3"/>
      <c r="Z84" s="3"/>
      <c r="AA84" s="3"/>
      <c r="AB84" s="16"/>
      <c r="AC84" s="16"/>
      <c r="AD84" s="16"/>
      <c r="AE84" s="9"/>
      <c r="AF84" s="16"/>
      <c r="AG84" s="16"/>
      <c r="AH84" s="16"/>
      <c r="AI84" s="16"/>
      <c r="AJ84" s="16"/>
      <c r="AK84" s="16"/>
      <c r="AL84" s="16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idden="1" x14ac:dyDescent="0.25">
      <c r="A85" s="31"/>
      <c r="B85" s="31"/>
      <c r="C85" s="3"/>
      <c r="D85" s="3"/>
      <c r="E85" s="2"/>
      <c r="F85" s="3"/>
      <c r="G85" s="3"/>
      <c r="H85" s="16"/>
      <c r="I85" s="16"/>
      <c r="J85" s="3"/>
      <c r="K85" s="17"/>
      <c r="L85" s="33"/>
      <c r="M85" s="3"/>
      <c r="N85" s="3"/>
      <c r="O85" s="2"/>
      <c r="P85" s="3"/>
      <c r="Q85" s="3"/>
      <c r="R85" s="3"/>
      <c r="S85" s="3"/>
      <c r="T85" s="3"/>
      <c r="U85" s="3"/>
      <c r="V85" s="3"/>
      <c r="W85" s="16"/>
      <c r="X85" s="16"/>
      <c r="Y85" s="3"/>
      <c r="Z85" s="3"/>
      <c r="AA85" s="3"/>
      <c r="AB85" s="16"/>
      <c r="AC85" s="16"/>
      <c r="AD85" s="16"/>
      <c r="AE85" s="9"/>
      <c r="AF85" s="16"/>
      <c r="AG85" s="16"/>
      <c r="AH85" s="16"/>
      <c r="AI85" s="16"/>
      <c r="AJ85" s="16"/>
      <c r="AK85" s="16"/>
      <c r="AL85" s="16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idden="1" x14ac:dyDescent="0.25">
      <c r="A86" s="31"/>
      <c r="B86" s="31"/>
      <c r="C86" s="3"/>
      <c r="D86" s="3"/>
      <c r="E86" s="2"/>
      <c r="F86" s="3"/>
      <c r="G86" s="3"/>
      <c r="H86" s="16"/>
      <c r="I86" s="16"/>
      <c r="J86" s="3"/>
      <c r="K86" s="17"/>
      <c r="L86" s="33"/>
      <c r="M86" s="3"/>
      <c r="N86" s="3"/>
      <c r="O86" s="2"/>
      <c r="P86" s="3"/>
      <c r="Q86" s="3"/>
      <c r="R86" s="3"/>
      <c r="S86" s="3"/>
      <c r="T86" s="3"/>
      <c r="U86" s="3"/>
      <c r="V86" s="3"/>
      <c r="W86" s="16"/>
      <c r="X86" s="16"/>
      <c r="Y86" s="3"/>
      <c r="Z86" s="3"/>
      <c r="AA86" s="3"/>
      <c r="AB86" s="16"/>
      <c r="AC86" s="16"/>
      <c r="AD86" s="16"/>
      <c r="AE86" s="9"/>
      <c r="AF86" s="16"/>
      <c r="AG86" s="16"/>
      <c r="AH86" s="16"/>
      <c r="AI86" s="16"/>
      <c r="AJ86" s="16"/>
      <c r="AK86" s="16"/>
      <c r="AL86" s="16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x14ac:dyDescent="0.25">
      <c r="A87" s="15">
        <f>1+A83</f>
        <v>22</v>
      </c>
      <c r="B87" s="15"/>
      <c r="C87" s="2"/>
      <c r="D87" s="2"/>
      <c r="E87" s="24" t="str">
        <f>+AQ87</f>
        <v/>
      </c>
      <c r="F87" s="30"/>
      <c r="G87" s="24" t="str">
        <f>+AV87</f>
        <v>300100</v>
      </c>
      <c r="H87" s="16">
        <f>+AK87</f>
        <v>0</v>
      </c>
      <c r="I87" s="16">
        <f>+ROUND(AD87,2)</f>
        <v>0</v>
      </c>
      <c r="J87" s="2"/>
      <c r="K87" s="17">
        <f>+AE87</f>
        <v>0</v>
      </c>
      <c r="L87" s="16">
        <f>+AJ87</f>
        <v>0</v>
      </c>
      <c r="M87" s="32" t="s">
        <v>5</v>
      </c>
      <c r="N87" s="30"/>
      <c r="O87" s="2"/>
      <c r="P87" s="30"/>
      <c r="Q87" s="32" t="s">
        <v>0</v>
      </c>
      <c r="R87" s="24"/>
      <c r="S87" s="24" t="str">
        <f>+RIGHT(O87,7)</f>
        <v/>
      </c>
      <c r="T87" s="2"/>
      <c r="U87" s="3" t="s">
        <v>1</v>
      </c>
      <c r="V87" s="3" t="s">
        <v>3</v>
      </c>
      <c r="W87" s="16">
        <f>+AI87</f>
        <v>0</v>
      </c>
      <c r="X87" s="16">
        <f>+AJ87</f>
        <v>0</v>
      </c>
      <c r="Y87" s="3" t="s">
        <v>4</v>
      </c>
      <c r="Z87" s="18">
        <f>+F87</f>
        <v>0</v>
      </c>
      <c r="AA87" s="61"/>
      <c r="AB87" s="65"/>
      <c r="AC87" s="16">
        <f>+AB87*0.18</f>
        <v>0</v>
      </c>
      <c r="AD87" s="16">
        <f>+AB87+AC87</f>
        <v>0</v>
      </c>
      <c r="AE87" s="68"/>
      <c r="AF87" s="16">
        <f>+AB87*AE87</f>
        <v>0</v>
      </c>
      <c r="AG87" s="16">
        <f>+AC87*AE87</f>
        <v>0</v>
      </c>
      <c r="AH87" s="16">
        <f>+AD87*AE87</f>
        <v>0</v>
      </c>
      <c r="AI87" s="16">
        <f>+ROUND(AF87,2)</f>
        <v>0</v>
      </c>
      <c r="AJ87" s="16">
        <f>+ROUND(AG87,2)</f>
        <v>0</v>
      </c>
      <c r="AK87" s="16">
        <f>+AI87+AJ87</f>
        <v>0</v>
      </c>
      <c r="AL87" s="16">
        <f>+AI87+AJ87-AK87</f>
        <v>0</v>
      </c>
      <c r="AM87" s="44"/>
      <c r="AN87" s="41" t="str">
        <f>+LEFT(AM87,2)</f>
        <v/>
      </c>
      <c r="AO87" s="41" t="str">
        <f>+MID(AM87,4,2)</f>
        <v/>
      </c>
      <c r="AP87" s="41" t="str">
        <f>+RIGHT(AM87,2)</f>
        <v/>
      </c>
      <c r="AQ87" s="41" t="str">
        <f>+CONCATENATE(AN87,AO87,AP87)</f>
        <v/>
      </c>
      <c r="AR87" s="45">
        <f>+AM87+30</f>
        <v>30</v>
      </c>
      <c r="AS87" s="46">
        <f>+DAY(AR87)</f>
        <v>30</v>
      </c>
      <c r="AT87" s="41">
        <f>+MONTH(AR87)</f>
        <v>1</v>
      </c>
      <c r="AU87" s="41">
        <f>+YEAR(AR87)</f>
        <v>1900</v>
      </c>
      <c r="AV87" s="41" t="str">
        <f>+CONCATENATE(TEXT(AS87,"00"),TEXT(AT87,"00"),RIGHT(AU87,2))</f>
        <v>300100</v>
      </c>
    </row>
    <row r="88" spans="1:48" hidden="1" x14ac:dyDescent="0.25">
      <c r="A88" s="31"/>
      <c r="B88" s="31"/>
      <c r="C88" s="3"/>
      <c r="D88" s="3"/>
      <c r="E88" s="2"/>
      <c r="F88" s="3"/>
      <c r="G88" s="3"/>
      <c r="H88" s="16"/>
      <c r="I88" s="16"/>
      <c r="J88" s="3"/>
      <c r="K88" s="17"/>
      <c r="L88" s="16"/>
      <c r="M88" s="3"/>
      <c r="N88" s="3"/>
      <c r="O88" s="2"/>
      <c r="P88" s="3"/>
      <c r="Q88" s="3"/>
      <c r="R88" s="3"/>
      <c r="S88" s="16"/>
      <c r="T88" s="3"/>
      <c r="U88" s="3"/>
      <c r="V88" s="3"/>
      <c r="W88" s="16"/>
      <c r="X88" s="16"/>
      <c r="Y88" s="3"/>
      <c r="Z88" s="18"/>
      <c r="AA88" s="3"/>
      <c r="AB88" s="16"/>
      <c r="AC88" s="16"/>
      <c r="AD88" s="16"/>
      <c r="AE88" s="9"/>
      <c r="AF88" s="16"/>
      <c r="AG88" s="16"/>
      <c r="AH88" s="16"/>
      <c r="AI88" s="16"/>
      <c r="AJ88" s="16"/>
      <c r="AK88" s="16"/>
      <c r="AL88" s="16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idden="1" x14ac:dyDescent="0.25">
      <c r="A89" s="31"/>
      <c r="B89" s="31"/>
      <c r="C89" s="3"/>
      <c r="D89" s="3"/>
      <c r="E89" s="2"/>
      <c r="F89" s="3"/>
      <c r="G89" s="3"/>
      <c r="H89" s="16"/>
      <c r="I89" s="16"/>
      <c r="J89" s="3"/>
      <c r="K89" s="17"/>
      <c r="L89" s="16"/>
      <c r="M89" s="3"/>
      <c r="N89" s="3"/>
      <c r="O89" s="2"/>
      <c r="P89" s="3"/>
      <c r="Q89" s="3"/>
      <c r="R89" s="3"/>
      <c r="S89" s="16"/>
      <c r="T89" s="3"/>
      <c r="U89" s="3"/>
      <c r="V89" s="3"/>
      <c r="W89" s="16"/>
      <c r="X89" s="16"/>
      <c r="Y89" s="3"/>
      <c r="Z89" s="18"/>
      <c r="AA89" s="3"/>
      <c r="AB89" s="16"/>
      <c r="AC89" s="16"/>
      <c r="AD89" s="16"/>
      <c r="AE89" s="9"/>
      <c r="AF89" s="16"/>
      <c r="AG89" s="16"/>
      <c r="AH89" s="16"/>
      <c r="AI89" s="16"/>
      <c r="AJ89" s="16"/>
      <c r="AK89" s="16"/>
      <c r="AL89" s="16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idden="1" x14ac:dyDescent="0.25">
      <c r="A90" s="31"/>
      <c r="B90" s="31"/>
      <c r="C90" s="3"/>
      <c r="D90" s="3"/>
      <c r="E90" s="2"/>
      <c r="F90" s="3"/>
      <c r="G90" s="3"/>
      <c r="H90" s="16"/>
      <c r="I90" s="16"/>
      <c r="J90" s="3"/>
      <c r="K90" s="17"/>
      <c r="L90" s="16"/>
      <c r="M90" s="3"/>
      <c r="N90" s="3"/>
      <c r="O90" s="2"/>
      <c r="P90" s="3"/>
      <c r="Q90" s="3"/>
      <c r="R90" s="3"/>
      <c r="S90" s="16"/>
      <c r="T90" s="3"/>
      <c r="U90" s="3"/>
      <c r="V90" s="3"/>
      <c r="W90" s="16"/>
      <c r="X90" s="16"/>
      <c r="Y90" s="3"/>
      <c r="Z90" s="18"/>
      <c r="AA90" s="3"/>
      <c r="AB90" s="16"/>
      <c r="AC90" s="16"/>
      <c r="AD90" s="16"/>
      <c r="AE90" s="9"/>
      <c r="AF90" s="16"/>
      <c r="AG90" s="16"/>
      <c r="AH90" s="16"/>
      <c r="AI90" s="16"/>
      <c r="AJ90" s="16"/>
      <c r="AK90" s="16"/>
      <c r="AL90" s="16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x14ac:dyDescent="0.25">
      <c r="A91" s="15">
        <f>1+A87</f>
        <v>23</v>
      </c>
      <c r="B91" s="15"/>
      <c r="C91" s="2"/>
      <c r="D91" s="2"/>
      <c r="E91" s="24" t="str">
        <f>+AQ91</f>
        <v/>
      </c>
      <c r="F91" s="30"/>
      <c r="G91" s="24" t="str">
        <f>+AV91</f>
        <v>300100</v>
      </c>
      <c r="H91" s="16">
        <f>+AK91</f>
        <v>0</v>
      </c>
      <c r="I91" s="16">
        <f>+ROUND(AD91,2)</f>
        <v>0</v>
      </c>
      <c r="J91" s="2"/>
      <c r="K91" s="17">
        <f>+AE91</f>
        <v>0</v>
      </c>
      <c r="L91" s="16">
        <f>+AJ91</f>
        <v>0</v>
      </c>
      <c r="M91" s="32" t="s">
        <v>5</v>
      </c>
      <c r="N91" s="30"/>
      <c r="O91" s="2"/>
      <c r="P91" s="30"/>
      <c r="Q91" s="32" t="s">
        <v>0</v>
      </c>
      <c r="R91" s="24"/>
      <c r="S91" s="24" t="str">
        <f>+RIGHT(O91,7)</f>
        <v/>
      </c>
      <c r="T91" s="2"/>
      <c r="U91" s="3" t="s">
        <v>1</v>
      </c>
      <c r="V91" s="3" t="s">
        <v>3</v>
      </c>
      <c r="W91" s="16">
        <f>+AI91</f>
        <v>0</v>
      </c>
      <c r="X91" s="16">
        <f>+AJ91</f>
        <v>0</v>
      </c>
      <c r="Y91" s="3" t="s">
        <v>4</v>
      </c>
      <c r="Z91" s="18">
        <f>+F91</f>
        <v>0</v>
      </c>
      <c r="AA91" s="61"/>
      <c r="AB91" s="65"/>
      <c r="AC91" s="16">
        <f>+AB91*0.18</f>
        <v>0</v>
      </c>
      <c r="AD91" s="16">
        <f>+AB91+AC91</f>
        <v>0</v>
      </c>
      <c r="AE91" s="68"/>
      <c r="AF91" s="16">
        <f>+AB91*AE91</f>
        <v>0</v>
      </c>
      <c r="AG91" s="16">
        <f>+AC91*AE91</f>
        <v>0</v>
      </c>
      <c r="AH91" s="16">
        <f>+AD91*AE91</f>
        <v>0</v>
      </c>
      <c r="AI91" s="16">
        <f>+ROUND(AF91,2)</f>
        <v>0</v>
      </c>
      <c r="AJ91" s="16">
        <f>+ROUND(AG91,2)</f>
        <v>0</v>
      </c>
      <c r="AK91" s="16">
        <f>+AI91+AJ91</f>
        <v>0</v>
      </c>
      <c r="AL91" s="16">
        <f>+AI91+AJ91-AK91</f>
        <v>0</v>
      </c>
      <c r="AM91" s="44"/>
      <c r="AN91" s="41" t="str">
        <f>+LEFT(AM91,2)</f>
        <v/>
      </c>
      <c r="AO91" s="41" t="str">
        <f>+MID(AM91,4,2)</f>
        <v/>
      </c>
      <c r="AP91" s="41" t="str">
        <f>+RIGHT(AM91,2)</f>
        <v/>
      </c>
      <c r="AQ91" s="41" t="str">
        <f>+CONCATENATE(AN91,AO91,AP91)</f>
        <v/>
      </c>
      <c r="AR91" s="45">
        <f>+AM91+30</f>
        <v>30</v>
      </c>
      <c r="AS91" s="46">
        <f>+DAY(AR91)</f>
        <v>30</v>
      </c>
      <c r="AT91" s="41">
        <f>+MONTH(AR91)</f>
        <v>1</v>
      </c>
      <c r="AU91" s="41">
        <f>+YEAR(AR91)</f>
        <v>1900</v>
      </c>
      <c r="AV91" s="41" t="str">
        <f>+CONCATENATE(TEXT(AS91,"00"),TEXT(AT91,"00"),RIGHT(AU91,2))</f>
        <v>300100</v>
      </c>
    </row>
    <row r="92" spans="1:48" hidden="1" x14ac:dyDescent="0.25">
      <c r="A92" s="31"/>
      <c r="B92" s="31"/>
      <c r="C92" s="3"/>
      <c r="D92" s="3"/>
      <c r="E92" s="2"/>
      <c r="F92" s="3"/>
      <c r="G92" s="3"/>
      <c r="H92" s="16"/>
      <c r="I92" s="16"/>
      <c r="J92" s="3"/>
      <c r="K92" s="17"/>
      <c r="L92" s="16"/>
      <c r="M92" s="3"/>
      <c r="N92" s="3"/>
      <c r="O92" s="2"/>
      <c r="P92" s="3"/>
      <c r="Q92" s="3"/>
      <c r="R92" s="3"/>
      <c r="S92" s="16"/>
      <c r="T92" s="3"/>
      <c r="U92" s="3"/>
      <c r="V92" s="3"/>
      <c r="W92" s="16"/>
      <c r="X92" s="16"/>
      <c r="Y92" s="3"/>
      <c r="Z92" s="18"/>
      <c r="AA92" s="3"/>
      <c r="AB92" s="16"/>
      <c r="AC92" s="16"/>
      <c r="AD92" s="16"/>
      <c r="AE92" s="9"/>
      <c r="AF92" s="16"/>
      <c r="AG92" s="16"/>
      <c r="AH92" s="16"/>
      <c r="AI92" s="16"/>
      <c r="AJ92" s="16"/>
      <c r="AK92" s="16"/>
      <c r="AL92" s="16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idden="1" x14ac:dyDescent="0.25">
      <c r="A93" s="31"/>
      <c r="B93" s="31"/>
      <c r="C93" s="3"/>
      <c r="D93" s="3"/>
      <c r="E93" s="2"/>
      <c r="F93" s="3"/>
      <c r="G93" s="3"/>
      <c r="H93" s="16"/>
      <c r="I93" s="16"/>
      <c r="J93" s="3"/>
      <c r="K93" s="17"/>
      <c r="L93" s="16"/>
      <c r="M93" s="3"/>
      <c r="N93" s="3"/>
      <c r="O93" s="2"/>
      <c r="P93" s="3"/>
      <c r="Q93" s="3"/>
      <c r="R93" s="3"/>
      <c r="S93" s="16"/>
      <c r="T93" s="3"/>
      <c r="U93" s="3"/>
      <c r="V93" s="3"/>
      <c r="W93" s="16"/>
      <c r="X93" s="16"/>
      <c r="Y93" s="3"/>
      <c r="Z93" s="18"/>
      <c r="AA93" s="3"/>
      <c r="AB93" s="16"/>
      <c r="AC93" s="16"/>
      <c r="AD93" s="16"/>
      <c r="AE93" s="9"/>
      <c r="AF93" s="16"/>
      <c r="AG93" s="16"/>
      <c r="AH93" s="16"/>
      <c r="AI93" s="16"/>
      <c r="AJ93" s="16"/>
      <c r="AK93" s="16"/>
      <c r="AL93" s="16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idden="1" x14ac:dyDescent="0.25">
      <c r="A94" s="31"/>
      <c r="B94" s="31"/>
      <c r="C94" s="3"/>
      <c r="D94" s="3"/>
      <c r="E94" s="2"/>
      <c r="F94" s="3"/>
      <c r="G94" s="3"/>
      <c r="H94" s="16"/>
      <c r="I94" s="16"/>
      <c r="J94" s="3"/>
      <c r="K94" s="17"/>
      <c r="L94" s="16"/>
      <c r="M94" s="3"/>
      <c r="N94" s="3"/>
      <c r="O94" s="2"/>
      <c r="P94" s="3"/>
      <c r="Q94" s="3"/>
      <c r="R94" s="3"/>
      <c r="S94" s="16"/>
      <c r="T94" s="3"/>
      <c r="U94" s="3"/>
      <c r="V94" s="3"/>
      <c r="W94" s="16"/>
      <c r="X94" s="16"/>
      <c r="Y94" s="3"/>
      <c r="Z94" s="18"/>
      <c r="AA94" s="3"/>
      <c r="AB94" s="16"/>
      <c r="AC94" s="16"/>
      <c r="AD94" s="16"/>
      <c r="AE94" s="9"/>
      <c r="AF94" s="16"/>
      <c r="AG94" s="16"/>
      <c r="AH94" s="16"/>
      <c r="AI94" s="16"/>
      <c r="AJ94" s="16"/>
      <c r="AK94" s="16"/>
      <c r="AL94" s="16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x14ac:dyDescent="0.25">
      <c r="A95" s="15">
        <f>1+A91</f>
        <v>24</v>
      </c>
      <c r="B95" s="15"/>
      <c r="C95" s="2"/>
      <c r="D95" s="2"/>
      <c r="E95" s="24" t="str">
        <f>+AQ95</f>
        <v/>
      </c>
      <c r="F95" s="30"/>
      <c r="G95" s="24" t="str">
        <f>+AV95</f>
        <v>300100</v>
      </c>
      <c r="H95" s="16">
        <f>+AK95</f>
        <v>0</v>
      </c>
      <c r="I95" s="16">
        <f>+ROUND(AD95,2)</f>
        <v>0</v>
      </c>
      <c r="J95" s="2"/>
      <c r="K95" s="17">
        <f>+AE95</f>
        <v>0</v>
      </c>
      <c r="L95" s="16">
        <f>+AJ95</f>
        <v>0</v>
      </c>
      <c r="M95" s="32" t="s">
        <v>5</v>
      </c>
      <c r="N95" s="30"/>
      <c r="O95" s="2"/>
      <c r="P95" s="30"/>
      <c r="Q95" s="32" t="s">
        <v>0</v>
      </c>
      <c r="R95" s="24"/>
      <c r="S95" s="24" t="str">
        <f>+RIGHT(O95,7)</f>
        <v/>
      </c>
      <c r="T95" s="2"/>
      <c r="U95" s="3" t="s">
        <v>1</v>
      </c>
      <c r="V95" s="3" t="s">
        <v>3</v>
      </c>
      <c r="W95" s="16">
        <f>+AI95</f>
        <v>0</v>
      </c>
      <c r="X95" s="16">
        <f>+AJ95</f>
        <v>0</v>
      </c>
      <c r="Y95" s="3" t="s">
        <v>4</v>
      </c>
      <c r="Z95" s="18">
        <f>+F95</f>
        <v>0</v>
      </c>
      <c r="AA95" s="61"/>
      <c r="AB95" s="65"/>
      <c r="AC95" s="16">
        <f>+AB95*0.18</f>
        <v>0</v>
      </c>
      <c r="AD95" s="16">
        <f>+AB95+AC95</f>
        <v>0</v>
      </c>
      <c r="AE95" s="68"/>
      <c r="AF95" s="16">
        <f>+AB95*AE95</f>
        <v>0</v>
      </c>
      <c r="AG95" s="16">
        <f>+AC95*AE95</f>
        <v>0</v>
      </c>
      <c r="AH95" s="16">
        <f>+AD95*AE95</f>
        <v>0</v>
      </c>
      <c r="AI95" s="16">
        <f>+ROUND(AF95,2)</f>
        <v>0</v>
      </c>
      <c r="AJ95" s="16">
        <f>+ROUND(AG95,2)</f>
        <v>0</v>
      </c>
      <c r="AK95" s="16">
        <f>+AI95+AJ95</f>
        <v>0</v>
      </c>
      <c r="AL95" s="16">
        <f>+AI95+AJ95-AK95</f>
        <v>0</v>
      </c>
      <c r="AM95" s="44"/>
      <c r="AN95" s="41" t="str">
        <f>+LEFT(AM95,2)</f>
        <v/>
      </c>
      <c r="AO95" s="41" t="str">
        <f>+MID(AM95,4,2)</f>
        <v/>
      </c>
      <c r="AP95" s="41" t="str">
        <f>+RIGHT(AM95,2)</f>
        <v/>
      </c>
      <c r="AQ95" s="41" t="str">
        <f>+CONCATENATE(AN95,AO95,AP95)</f>
        <v/>
      </c>
      <c r="AR95" s="45">
        <f>+AM95+30</f>
        <v>30</v>
      </c>
      <c r="AS95" s="46">
        <f>+DAY(AR95)</f>
        <v>30</v>
      </c>
      <c r="AT95" s="41">
        <f>+MONTH(AR95)</f>
        <v>1</v>
      </c>
      <c r="AU95" s="41">
        <f>+YEAR(AR95)</f>
        <v>1900</v>
      </c>
      <c r="AV95" s="41" t="str">
        <f>+CONCATENATE(TEXT(AS95,"00"),TEXT(AT95,"00"),RIGHT(AU95,2))</f>
        <v>300100</v>
      </c>
    </row>
    <row r="96" spans="1:48" hidden="1" x14ac:dyDescent="0.25">
      <c r="A96" s="31"/>
      <c r="B96" s="31"/>
      <c r="C96" s="3"/>
      <c r="D96" s="3"/>
      <c r="E96" s="2"/>
      <c r="F96" s="3"/>
      <c r="G96" s="3"/>
      <c r="H96" s="16"/>
      <c r="I96" s="16"/>
      <c r="J96" s="3"/>
      <c r="K96" s="17"/>
      <c r="L96" s="16"/>
      <c r="M96" s="3"/>
      <c r="N96" s="3"/>
      <c r="O96" s="2"/>
      <c r="P96" s="3"/>
      <c r="Q96" s="3"/>
      <c r="R96" s="3"/>
      <c r="S96" s="16"/>
      <c r="T96" s="3"/>
      <c r="U96" s="3"/>
      <c r="V96" s="3"/>
      <c r="W96" s="16"/>
      <c r="X96" s="16"/>
      <c r="Y96" s="3"/>
      <c r="Z96" s="18"/>
      <c r="AA96" s="3"/>
      <c r="AB96" s="16"/>
      <c r="AC96" s="16"/>
      <c r="AD96" s="16"/>
      <c r="AE96" s="9"/>
      <c r="AF96" s="16"/>
      <c r="AG96" s="16"/>
      <c r="AH96" s="16"/>
      <c r="AI96" s="16"/>
      <c r="AJ96" s="16"/>
      <c r="AK96" s="16"/>
      <c r="AL96" s="16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idden="1" x14ac:dyDescent="0.25">
      <c r="A97" s="31"/>
      <c r="B97" s="31"/>
      <c r="C97" s="3"/>
      <c r="D97" s="3"/>
      <c r="E97" s="2"/>
      <c r="F97" s="3"/>
      <c r="G97" s="3"/>
      <c r="H97" s="16"/>
      <c r="I97" s="16"/>
      <c r="J97" s="3"/>
      <c r="K97" s="17"/>
      <c r="L97" s="16"/>
      <c r="M97" s="3"/>
      <c r="N97" s="3"/>
      <c r="O97" s="2"/>
      <c r="P97" s="3"/>
      <c r="Q97" s="3"/>
      <c r="R97" s="3"/>
      <c r="S97" s="16"/>
      <c r="T97" s="3"/>
      <c r="U97" s="3"/>
      <c r="V97" s="3"/>
      <c r="W97" s="16"/>
      <c r="X97" s="16"/>
      <c r="Y97" s="3"/>
      <c r="Z97" s="18"/>
      <c r="AA97" s="3"/>
      <c r="AB97" s="16"/>
      <c r="AC97" s="16"/>
      <c r="AD97" s="16"/>
      <c r="AE97" s="9"/>
      <c r="AF97" s="16"/>
      <c r="AG97" s="16"/>
      <c r="AH97" s="16"/>
      <c r="AI97" s="16"/>
      <c r="AJ97" s="16"/>
      <c r="AK97" s="16"/>
      <c r="AL97" s="16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idden="1" x14ac:dyDescent="0.25">
      <c r="A98" s="31"/>
      <c r="B98" s="31"/>
      <c r="C98" s="3"/>
      <c r="D98" s="3"/>
      <c r="E98" s="2"/>
      <c r="F98" s="3"/>
      <c r="G98" s="3"/>
      <c r="H98" s="16"/>
      <c r="I98" s="16"/>
      <c r="J98" s="3"/>
      <c r="K98" s="17"/>
      <c r="L98" s="16"/>
      <c r="M98" s="3"/>
      <c r="N98" s="3"/>
      <c r="O98" s="2"/>
      <c r="P98" s="3"/>
      <c r="Q98" s="3"/>
      <c r="R98" s="3"/>
      <c r="S98" s="16"/>
      <c r="T98" s="3"/>
      <c r="U98" s="3"/>
      <c r="V98" s="3"/>
      <c r="W98" s="16"/>
      <c r="X98" s="16"/>
      <c r="Y98" s="3"/>
      <c r="Z98" s="18"/>
      <c r="AA98" s="3"/>
      <c r="AB98" s="16"/>
      <c r="AC98" s="16"/>
      <c r="AD98" s="16"/>
      <c r="AE98" s="9"/>
      <c r="AF98" s="16"/>
      <c r="AG98" s="16"/>
      <c r="AH98" s="16"/>
      <c r="AI98" s="16"/>
      <c r="AJ98" s="16"/>
      <c r="AK98" s="16"/>
      <c r="AL98" s="16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x14ac:dyDescent="0.25">
      <c r="A99" s="15">
        <f>1+A95</f>
        <v>25</v>
      </c>
      <c r="B99" s="15"/>
      <c r="C99" s="2"/>
      <c r="D99" s="2"/>
      <c r="E99" s="24" t="str">
        <f>+AQ99</f>
        <v/>
      </c>
      <c r="F99" s="30"/>
      <c r="G99" s="24" t="str">
        <f>+AV99</f>
        <v>300100</v>
      </c>
      <c r="H99" s="16">
        <f>+AK99</f>
        <v>0</v>
      </c>
      <c r="I99" s="16">
        <f>+ROUND(AD99,2)</f>
        <v>0</v>
      </c>
      <c r="J99" s="2"/>
      <c r="K99" s="17">
        <f>+AE99</f>
        <v>0</v>
      </c>
      <c r="L99" s="16">
        <f>+AJ99</f>
        <v>0</v>
      </c>
      <c r="M99" s="32" t="s">
        <v>5</v>
      </c>
      <c r="N99" s="30"/>
      <c r="O99" s="2"/>
      <c r="P99" s="30"/>
      <c r="Q99" s="32" t="s">
        <v>0</v>
      </c>
      <c r="R99" s="24"/>
      <c r="S99" s="24" t="str">
        <f>+RIGHT(O99,7)</f>
        <v/>
      </c>
      <c r="T99" s="2"/>
      <c r="U99" s="3" t="s">
        <v>1</v>
      </c>
      <c r="V99" s="3" t="s">
        <v>3</v>
      </c>
      <c r="W99" s="16">
        <f>+AI99</f>
        <v>0</v>
      </c>
      <c r="X99" s="16">
        <f>+AJ99</f>
        <v>0</v>
      </c>
      <c r="Y99" s="3" t="s">
        <v>4</v>
      </c>
      <c r="Z99" s="18">
        <f>+F99</f>
        <v>0</v>
      </c>
      <c r="AA99" s="61"/>
      <c r="AB99" s="65"/>
      <c r="AC99" s="16">
        <f>+AB99*0.18</f>
        <v>0</v>
      </c>
      <c r="AD99" s="16">
        <f>+AB99+AC99</f>
        <v>0</v>
      </c>
      <c r="AE99" s="68"/>
      <c r="AF99" s="16">
        <f>+AB99*AE99</f>
        <v>0</v>
      </c>
      <c r="AG99" s="16">
        <f>+AC99*AE99</f>
        <v>0</v>
      </c>
      <c r="AH99" s="16">
        <f>+AD99*AE99</f>
        <v>0</v>
      </c>
      <c r="AI99" s="16">
        <f>+ROUND(AF99,2)</f>
        <v>0</v>
      </c>
      <c r="AJ99" s="16">
        <f>+ROUND(AG99,2)</f>
        <v>0</v>
      </c>
      <c r="AK99" s="16">
        <f>+AI99+AJ99</f>
        <v>0</v>
      </c>
      <c r="AL99" s="16">
        <f>+AI99+AJ99-AK99</f>
        <v>0</v>
      </c>
      <c r="AM99" s="44"/>
      <c r="AN99" s="41" t="str">
        <f>+LEFT(AM99,2)</f>
        <v/>
      </c>
      <c r="AO99" s="41" t="str">
        <f>+MID(AM99,4,2)</f>
        <v/>
      </c>
      <c r="AP99" s="41" t="str">
        <f>+RIGHT(AM99,2)</f>
        <v/>
      </c>
      <c r="AQ99" s="41" t="str">
        <f>+CONCATENATE(AN99,AO99,AP99)</f>
        <v/>
      </c>
      <c r="AR99" s="45">
        <f>+AM99+30</f>
        <v>30</v>
      </c>
      <c r="AS99" s="46">
        <f>+DAY(AR99)</f>
        <v>30</v>
      </c>
      <c r="AT99" s="41">
        <f>+MONTH(AR99)</f>
        <v>1</v>
      </c>
      <c r="AU99" s="41">
        <f>+YEAR(AR99)</f>
        <v>1900</v>
      </c>
      <c r="AV99" s="41" t="str">
        <f>+CONCATENATE(TEXT(AS99,"00"),TEXT(AT99,"00"),RIGHT(AU99,2))</f>
        <v>300100</v>
      </c>
    </row>
    <row r="100" spans="1:48" hidden="1" x14ac:dyDescent="0.25">
      <c r="A100" s="31"/>
      <c r="B100" s="31"/>
      <c r="C100" s="3"/>
      <c r="D100" s="3"/>
      <c r="E100" s="2"/>
      <c r="F100" s="3"/>
      <c r="G100" s="3"/>
      <c r="H100" s="16"/>
      <c r="I100" s="16"/>
      <c r="J100" s="3"/>
      <c r="K100" s="17"/>
      <c r="L100" s="16"/>
      <c r="M100" s="3"/>
      <c r="N100" s="3"/>
      <c r="O100" s="2"/>
      <c r="P100" s="3"/>
      <c r="Q100" s="3"/>
      <c r="R100" s="3"/>
      <c r="S100" s="16"/>
      <c r="T100" s="3"/>
      <c r="U100" s="3"/>
      <c r="V100" s="3"/>
      <c r="W100" s="16"/>
      <c r="X100" s="16"/>
      <c r="Y100" s="3"/>
      <c r="Z100" s="18"/>
      <c r="AA100" s="3"/>
      <c r="AB100" s="16"/>
      <c r="AC100" s="16"/>
      <c r="AD100" s="16"/>
      <c r="AE100" s="9"/>
      <c r="AF100" s="16"/>
      <c r="AG100" s="16"/>
      <c r="AH100" s="16"/>
      <c r="AI100" s="16"/>
      <c r="AJ100" s="16"/>
      <c r="AK100" s="16"/>
      <c r="AL100" s="16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idden="1" x14ac:dyDescent="0.25">
      <c r="A101" s="31"/>
      <c r="B101" s="31"/>
      <c r="C101" s="3"/>
      <c r="D101" s="3"/>
      <c r="E101" s="2"/>
      <c r="F101" s="3"/>
      <c r="G101" s="3"/>
      <c r="H101" s="16"/>
      <c r="I101" s="16"/>
      <c r="J101" s="3"/>
      <c r="K101" s="17"/>
      <c r="L101" s="16"/>
      <c r="M101" s="3"/>
      <c r="N101" s="3"/>
      <c r="O101" s="2"/>
      <c r="P101" s="3"/>
      <c r="Q101" s="3"/>
      <c r="R101" s="3"/>
      <c r="S101" s="16"/>
      <c r="T101" s="3"/>
      <c r="U101" s="3"/>
      <c r="V101" s="3"/>
      <c r="W101" s="16"/>
      <c r="X101" s="16"/>
      <c r="Y101" s="3"/>
      <c r="Z101" s="18"/>
      <c r="AA101" s="3"/>
      <c r="AB101" s="16"/>
      <c r="AC101" s="16"/>
      <c r="AD101" s="16"/>
      <c r="AE101" s="9"/>
      <c r="AF101" s="16"/>
      <c r="AG101" s="16"/>
      <c r="AH101" s="16"/>
      <c r="AI101" s="16"/>
      <c r="AJ101" s="16"/>
      <c r="AK101" s="16"/>
      <c r="AL101" s="16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idden="1" x14ac:dyDescent="0.25">
      <c r="A102" s="31"/>
      <c r="B102" s="31"/>
      <c r="C102" s="3"/>
      <c r="D102" s="3"/>
      <c r="E102" s="2"/>
      <c r="F102" s="3"/>
      <c r="G102" s="3"/>
      <c r="H102" s="16"/>
      <c r="I102" s="16"/>
      <c r="J102" s="3"/>
      <c r="K102" s="17"/>
      <c r="L102" s="16"/>
      <c r="M102" s="3"/>
      <c r="N102" s="3"/>
      <c r="O102" s="2"/>
      <c r="P102" s="3"/>
      <c r="Q102" s="3"/>
      <c r="R102" s="3"/>
      <c r="S102" s="16"/>
      <c r="T102" s="3"/>
      <c r="U102" s="3"/>
      <c r="V102" s="3"/>
      <c r="W102" s="16"/>
      <c r="X102" s="16"/>
      <c r="Y102" s="3"/>
      <c r="Z102" s="18"/>
      <c r="AA102" s="3"/>
      <c r="AB102" s="16"/>
      <c r="AC102" s="16"/>
      <c r="AD102" s="16"/>
      <c r="AE102" s="9"/>
      <c r="AF102" s="16"/>
      <c r="AG102" s="16"/>
      <c r="AH102" s="16"/>
      <c r="AI102" s="16"/>
      <c r="AJ102" s="16"/>
      <c r="AK102" s="16"/>
      <c r="AL102" s="16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x14ac:dyDescent="0.25">
      <c r="A103" s="15">
        <f>1+A99</f>
        <v>26</v>
      </c>
      <c r="B103" s="15"/>
      <c r="C103" s="2"/>
      <c r="D103" s="2"/>
      <c r="E103" s="24" t="str">
        <f>+AQ103</f>
        <v/>
      </c>
      <c r="F103" s="30"/>
      <c r="G103" s="24" t="str">
        <f>+AV103</f>
        <v>300100</v>
      </c>
      <c r="H103" s="16">
        <f>+AK103</f>
        <v>0</v>
      </c>
      <c r="I103" s="16">
        <f>+ROUND(AD103,2)</f>
        <v>0</v>
      </c>
      <c r="J103" s="2"/>
      <c r="K103" s="17">
        <f>+AE103</f>
        <v>0</v>
      </c>
      <c r="L103" s="16">
        <f>+AJ103</f>
        <v>0</v>
      </c>
      <c r="M103" s="32" t="s">
        <v>5</v>
      </c>
      <c r="N103" s="30"/>
      <c r="O103" s="2"/>
      <c r="P103" s="30"/>
      <c r="Q103" s="32" t="s">
        <v>0</v>
      </c>
      <c r="R103" s="24"/>
      <c r="S103" s="24" t="str">
        <f>+RIGHT(O103,7)</f>
        <v/>
      </c>
      <c r="T103" s="2"/>
      <c r="U103" s="3" t="s">
        <v>1</v>
      </c>
      <c r="V103" s="3" t="s">
        <v>3</v>
      </c>
      <c r="W103" s="16">
        <f>+AI103</f>
        <v>0</v>
      </c>
      <c r="X103" s="16">
        <f>+AJ103</f>
        <v>0</v>
      </c>
      <c r="Y103" s="3" t="s">
        <v>4</v>
      </c>
      <c r="Z103" s="18">
        <f>+F103</f>
        <v>0</v>
      </c>
      <c r="AA103" s="61"/>
      <c r="AB103" s="65"/>
      <c r="AC103" s="16">
        <f>+AB103*0.18</f>
        <v>0</v>
      </c>
      <c r="AD103" s="16">
        <f>+AB103+AC103</f>
        <v>0</v>
      </c>
      <c r="AE103" s="68"/>
      <c r="AF103" s="16">
        <f>+AB103*AE103</f>
        <v>0</v>
      </c>
      <c r="AG103" s="16">
        <f>+AC103*AE103</f>
        <v>0</v>
      </c>
      <c r="AH103" s="16">
        <f>+AD103*AE103</f>
        <v>0</v>
      </c>
      <c r="AI103" s="16">
        <f>+ROUND(AF103,2)</f>
        <v>0</v>
      </c>
      <c r="AJ103" s="16">
        <f>+ROUND(AG103,2)</f>
        <v>0</v>
      </c>
      <c r="AK103" s="16">
        <f>+AI103+AJ103</f>
        <v>0</v>
      </c>
      <c r="AL103" s="16">
        <f>+AI103+AJ103-AK103</f>
        <v>0</v>
      </c>
      <c r="AM103" s="44"/>
      <c r="AN103" s="41" t="str">
        <f>+LEFT(AM103,2)</f>
        <v/>
      </c>
      <c r="AO103" s="41" t="str">
        <f>+MID(AM103,4,2)</f>
        <v/>
      </c>
      <c r="AP103" s="41" t="str">
        <f>+RIGHT(AM103,2)</f>
        <v/>
      </c>
      <c r="AQ103" s="41" t="str">
        <f>+CONCATENATE(AN103,AO103,AP103)</f>
        <v/>
      </c>
      <c r="AR103" s="45">
        <f>+AM103+30</f>
        <v>30</v>
      </c>
      <c r="AS103" s="46">
        <f>+DAY(AR103)</f>
        <v>30</v>
      </c>
      <c r="AT103" s="41">
        <f>+MONTH(AR103)</f>
        <v>1</v>
      </c>
      <c r="AU103" s="41">
        <f>+YEAR(AR103)</f>
        <v>1900</v>
      </c>
      <c r="AV103" s="41" t="str">
        <f>+CONCATENATE(TEXT(AS103,"00"),TEXT(AT103,"00"),RIGHT(AU103,2))</f>
        <v>300100</v>
      </c>
    </row>
    <row r="104" spans="1:48" hidden="1" x14ac:dyDescent="0.25">
      <c r="A104" s="31"/>
      <c r="B104" s="31"/>
      <c r="C104" s="3"/>
      <c r="D104" s="3"/>
      <c r="E104" s="2"/>
      <c r="F104" s="3"/>
      <c r="G104" s="3"/>
      <c r="H104" s="16"/>
      <c r="I104" s="16"/>
      <c r="J104" s="3"/>
      <c r="K104" s="17"/>
      <c r="L104" s="16"/>
      <c r="M104" s="3"/>
      <c r="N104" s="3"/>
      <c r="O104" s="2"/>
      <c r="P104" s="3"/>
      <c r="Q104" s="3"/>
      <c r="R104" s="3"/>
      <c r="S104" s="16"/>
      <c r="T104" s="3"/>
      <c r="U104" s="3"/>
      <c r="V104" s="3"/>
      <c r="W104" s="16"/>
      <c r="X104" s="16"/>
      <c r="Y104" s="3"/>
      <c r="Z104" s="18"/>
      <c r="AA104" s="3"/>
      <c r="AB104" s="16"/>
      <c r="AC104" s="16"/>
      <c r="AD104" s="16"/>
      <c r="AE104" s="9"/>
      <c r="AF104" s="16"/>
      <c r="AG104" s="16"/>
      <c r="AH104" s="16"/>
      <c r="AI104" s="16"/>
      <c r="AJ104" s="16"/>
      <c r="AK104" s="16"/>
      <c r="AL104" s="16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idden="1" x14ac:dyDescent="0.25">
      <c r="A105" s="31"/>
      <c r="B105" s="31"/>
      <c r="C105" s="3"/>
      <c r="D105" s="3"/>
      <c r="E105" s="2"/>
      <c r="F105" s="3"/>
      <c r="G105" s="3"/>
      <c r="H105" s="16"/>
      <c r="I105" s="16"/>
      <c r="J105" s="3"/>
      <c r="K105" s="17"/>
      <c r="L105" s="16"/>
      <c r="M105" s="3"/>
      <c r="N105" s="3"/>
      <c r="O105" s="2"/>
      <c r="P105" s="3"/>
      <c r="Q105" s="3"/>
      <c r="R105" s="3"/>
      <c r="S105" s="16"/>
      <c r="T105" s="3"/>
      <c r="U105" s="3"/>
      <c r="V105" s="3"/>
      <c r="W105" s="16"/>
      <c r="X105" s="16"/>
      <c r="Y105" s="3"/>
      <c r="Z105" s="18"/>
      <c r="AA105" s="3"/>
      <c r="AB105" s="16"/>
      <c r="AC105" s="16"/>
      <c r="AD105" s="16"/>
      <c r="AE105" s="9"/>
      <c r="AF105" s="16"/>
      <c r="AG105" s="16"/>
      <c r="AH105" s="16"/>
      <c r="AI105" s="16"/>
      <c r="AJ105" s="16"/>
      <c r="AK105" s="16"/>
      <c r="AL105" s="16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idden="1" x14ac:dyDescent="0.25">
      <c r="A106" s="31"/>
      <c r="B106" s="31"/>
      <c r="C106" s="3"/>
      <c r="D106" s="3"/>
      <c r="E106" s="2"/>
      <c r="F106" s="3"/>
      <c r="G106" s="3"/>
      <c r="H106" s="16"/>
      <c r="I106" s="16"/>
      <c r="J106" s="3"/>
      <c r="K106" s="17"/>
      <c r="L106" s="16"/>
      <c r="M106" s="3"/>
      <c r="N106" s="3"/>
      <c r="O106" s="2"/>
      <c r="P106" s="3"/>
      <c r="Q106" s="3"/>
      <c r="R106" s="3"/>
      <c r="S106" s="16"/>
      <c r="T106" s="3"/>
      <c r="U106" s="3"/>
      <c r="V106" s="3"/>
      <c r="W106" s="16"/>
      <c r="X106" s="16"/>
      <c r="Y106" s="3"/>
      <c r="Z106" s="18"/>
      <c r="AA106" s="3"/>
      <c r="AB106" s="16"/>
      <c r="AC106" s="16"/>
      <c r="AD106" s="16"/>
      <c r="AE106" s="9"/>
      <c r="AF106" s="16"/>
      <c r="AG106" s="16"/>
      <c r="AH106" s="16"/>
      <c r="AI106" s="16"/>
      <c r="AJ106" s="16"/>
      <c r="AK106" s="16"/>
      <c r="AL106" s="16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x14ac:dyDescent="0.25">
      <c r="A107" s="15">
        <f>1+A103</f>
        <v>27</v>
      </c>
      <c r="B107" s="15"/>
      <c r="C107" s="2"/>
      <c r="D107" s="2"/>
      <c r="E107" s="24" t="str">
        <f>+AQ107</f>
        <v/>
      </c>
      <c r="F107" s="30"/>
      <c r="G107" s="24" t="str">
        <f>+AV107</f>
        <v>300100</v>
      </c>
      <c r="H107" s="16">
        <f>+AK107</f>
        <v>0</v>
      </c>
      <c r="I107" s="16">
        <f>+ROUND(AD107,2)</f>
        <v>0</v>
      </c>
      <c r="J107" s="2"/>
      <c r="K107" s="17">
        <f>+AE107</f>
        <v>0</v>
      </c>
      <c r="L107" s="16">
        <f>+AJ107</f>
        <v>0</v>
      </c>
      <c r="M107" s="32" t="s">
        <v>5</v>
      </c>
      <c r="N107" s="30"/>
      <c r="O107" s="2"/>
      <c r="P107" s="30"/>
      <c r="Q107" s="32" t="s">
        <v>0</v>
      </c>
      <c r="R107" s="24"/>
      <c r="S107" s="24" t="str">
        <f>+RIGHT(O107,7)</f>
        <v/>
      </c>
      <c r="T107" s="2"/>
      <c r="U107" s="3" t="s">
        <v>1</v>
      </c>
      <c r="V107" s="3" t="s">
        <v>3</v>
      </c>
      <c r="W107" s="16">
        <f>+AI107</f>
        <v>0</v>
      </c>
      <c r="X107" s="16">
        <f>+AJ107</f>
        <v>0</v>
      </c>
      <c r="Y107" s="3" t="s">
        <v>4</v>
      </c>
      <c r="Z107" s="18">
        <f>+F107</f>
        <v>0</v>
      </c>
      <c r="AA107" s="61"/>
      <c r="AB107" s="65"/>
      <c r="AC107" s="16">
        <f>+AB107*0.18</f>
        <v>0</v>
      </c>
      <c r="AD107" s="16">
        <f>+AB107+AC107</f>
        <v>0</v>
      </c>
      <c r="AE107" s="68"/>
      <c r="AF107" s="16">
        <f>+AB107*AE107</f>
        <v>0</v>
      </c>
      <c r="AG107" s="16">
        <f>+AC107*AE107</f>
        <v>0</v>
      </c>
      <c r="AH107" s="16">
        <f>+AD107*AE107</f>
        <v>0</v>
      </c>
      <c r="AI107" s="16">
        <f>+ROUND(AF107,2)</f>
        <v>0</v>
      </c>
      <c r="AJ107" s="16">
        <f>+ROUND(AG107,2)</f>
        <v>0</v>
      </c>
      <c r="AK107" s="16">
        <f>+AI107+AJ107</f>
        <v>0</v>
      </c>
      <c r="AL107" s="16">
        <f>+AI107+AJ107-AK107</f>
        <v>0</v>
      </c>
      <c r="AM107" s="44"/>
      <c r="AN107" s="41" t="str">
        <f>+LEFT(AM107,2)</f>
        <v/>
      </c>
      <c r="AO107" s="41" t="str">
        <f>+MID(AM107,4,2)</f>
        <v/>
      </c>
      <c r="AP107" s="41" t="str">
        <f>+RIGHT(AM107,2)</f>
        <v/>
      </c>
      <c r="AQ107" s="41" t="str">
        <f>+CONCATENATE(AN107,AO107,AP107)</f>
        <v/>
      </c>
      <c r="AR107" s="45">
        <f>+AM107+30</f>
        <v>30</v>
      </c>
      <c r="AS107" s="46">
        <f>+DAY(AR107)</f>
        <v>30</v>
      </c>
      <c r="AT107" s="41">
        <f>+MONTH(AR107)</f>
        <v>1</v>
      </c>
      <c r="AU107" s="41">
        <f>+YEAR(AR107)</f>
        <v>1900</v>
      </c>
      <c r="AV107" s="41" t="str">
        <f>+CONCATENATE(TEXT(AS107,"00"),TEXT(AT107,"00"),RIGHT(AU107,2))</f>
        <v>300100</v>
      </c>
    </row>
    <row r="108" spans="1:48" hidden="1" x14ac:dyDescent="0.25">
      <c r="A108" s="31"/>
      <c r="B108" s="31"/>
      <c r="C108" s="3"/>
      <c r="D108" s="3"/>
      <c r="E108" s="2"/>
      <c r="F108" s="3"/>
      <c r="G108" s="3"/>
      <c r="H108" s="16"/>
      <c r="I108" s="16"/>
      <c r="J108" s="3"/>
      <c r="K108" s="17"/>
      <c r="L108" s="16"/>
      <c r="M108" s="3"/>
      <c r="N108" s="3"/>
      <c r="O108" s="2"/>
      <c r="P108" s="3"/>
      <c r="Q108" s="3"/>
      <c r="R108" s="3"/>
      <c r="S108" s="16"/>
      <c r="T108" s="3"/>
      <c r="U108" s="3"/>
      <c r="V108" s="3"/>
      <c r="W108" s="16"/>
      <c r="X108" s="16"/>
      <c r="Y108" s="3"/>
      <c r="Z108" s="18"/>
      <c r="AA108" s="3"/>
      <c r="AB108" s="16"/>
      <c r="AC108" s="16"/>
      <c r="AD108" s="16"/>
      <c r="AE108" s="9"/>
      <c r="AF108" s="16"/>
      <c r="AG108" s="16"/>
      <c r="AH108" s="16"/>
      <c r="AI108" s="16"/>
      <c r="AJ108" s="16"/>
      <c r="AK108" s="16"/>
      <c r="AL108" s="16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idden="1" x14ac:dyDescent="0.25">
      <c r="A109" s="31"/>
      <c r="B109" s="31"/>
      <c r="C109" s="3"/>
      <c r="D109" s="3"/>
      <c r="E109" s="2"/>
      <c r="F109" s="3"/>
      <c r="G109" s="3"/>
      <c r="H109" s="16"/>
      <c r="I109" s="16"/>
      <c r="J109" s="3"/>
      <c r="K109" s="17"/>
      <c r="L109" s="16"/>
      <c r="M109" s="3"/>
      <c r="N109" s="3"/>
      <c r="O109" s="2"/>
      <c r="P109" s="3"/>
      <c r="Q109" s="3"/>
      <c r="R109" s="3"/>
      <c r="S109" s="16"/>
      <c r="T109" s="3"/>
      <c r="U109" s="3"/>
      <c r="V109" s="3"/>
      <c r="W109" s="16"/>
      <c r="X109" s="16"/>
      <c r="Y109" s="3"/>
      <c r="Z109" s="18"/>
      <c r="AA109" s="3"/>
      <c r="AB109" s="16"/>
      <c r="AC109" s="16"/>
      <c r="AD109" s="16"/>
      <c r="AE109" s="9"/>
      <c r="AF109" s="16"/>
      <c r="AG109" s="16"/>
      <c r="AH109" s="16"/>
      <c r="AI109" s="16"/>
      <c r="AJ109" s="16"/>
      <c r="AK109" s="16"/>
      <c r="AL109" s="16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idden="1" x14ac:dyDescent="0.25">
      <c r="A110" s="31"/>
      <c r="B110" s="31"/>
      <c r="C110" s="3"/>
      <c r="D110" s="3"/>
      <c r="E110" s="2"/>
      <c r="F110" s="3"/>
      <c r="G110" s="3"/>
      <c r="H110" s="16"/>
      <c r="I110" s="16"/>
      <c r="J110" s="3"/>
      <c r="K110" s="17"/>
      <c r="L110" s="16"/>
      <c r="M110" s="3"/>
      <c r="N110" s="3"/>
      <c r="O110" s="2"/>
      <c r="P110" s="3"/>
      <c r="Q110" s="3"/>
      <c r="R110" s="3"/>
      <c r="S110" s="16"/>
      <c r="T110" s="3"/>
      <c r="U110" s="3"/>
      <c r="V110" s="3"/>
      <c r="W110" s="16"/>
      <c r="X110" s="16"/>
      <c r="Y110" s="3"/>
      <c r="Z110" s="18"/>
      <c r="AA110" s="3"/>
      <c r="AB110" s="16"/>
      <c r="AC110" s="16"/>
      <c r="AD110" s="16"/>
      <c r="AE110" s="9"/>
      <c r="AF110" s="16"/>
      <c r="AG110" s="16"/>
      <c r="AH110" s="16"/>
      <c r="AI110" s="16"/>
      <c r="AJ110" s="16"/>
      <c r="AK110" s="16"/>
      <c r="AL110" s="16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x14ac:dyDescent="0.25">
      <c r="A111" s="15">
        <f>1+A107</f>
        <v>28</v>
      </c>
      <c r="B111" s="15"/>
      <c r="C111" s="2"/>
      <c r="D111" s="2"/>
      <c r="E111" s="24" t="str">
        <f>+AQ111</f>
        <v/>
      </c>
      <c r="F111" s="30"/>
      <c r="G111" s="24" t="str">
        <f>+AV111</f>
        <v>300100</v>
      </c>
      <c r="H111" s="16">
        <f>+AK111</f>
        <v>0</v>
      </c>
      <c r="I111" s="16">
        <f>+ROUND(AD111,2)</f>
        <v>0</v>
      </c>
      <c r="J111" s="2"/>
      <c r="K111" s="17">
        <f>+AE111</f>
        <v>0</v>
      </c>
      <c r="L111" s="16">
        <f>+AJ111</f>
        <v>0</v>
      </c>
      <c r="M111" s="32" t="s">
        <v>5</v>
      </c>
      <c r="N111" s="30"/>
      <c r="O111" s="2"/>
      <c r="P111" s="30"/>
      <c r="Q111" s="32" t="s">
        <v>0</v>
      </c>
      <c r="R111" s="24"/>
      <c r="S111" s="24" t="str">
        <f>+RIGHT(O111,7)</f>
        <v/>
      </c>
      <c r="T111" s="2"/>
      <c r="U111" s="3" t="s">
        <v>1</v>
      </c>
      <c r="V111" s="3" t="s">
        <v>3</v>
      </c>
      <c r="W111" s="16">
        <f>+AI111</f>
        <v>0</v>
      </c>
      <c r="X111" s="16">
        <f>+AJ111</f>
        <v>0</v>
      </c>
      <c r="Y111" s="3" t="s">
        <v>4</v>
      </c>
      <c r="Z111" s="18">
        <f>+F111</f>
        <v>0</v>
      </c>
      <c r="AA111" s="61"/>
      <c r="AB111" s="65"/>
      <c r="AC111" s="16">
        <f>+AB111*0.18</f>
        <v>0</v>
      </c>
      <c r="AD111" s="16">
        <f>+AB111+AC111</f>
        <v>0</v>
      </c>
      <c r="AE111" s="68"/>
      <c r="AF111" s="16">
        <f>+AB111*AE111</f>
        <v>0</v>
      </c>
      <c r="AG111" s="16">
        <f>+AC111*AE111</f>
        <v>0</v>
      </c>
      <c r="AH111" s="16">
        <f>+AD111*AE111</f>
        <v>0</v>
      </c>
      <c r="AI111" s="16">
        <f>+ROUND(AF111,2)</f>
        <v>0</v>
      </c>
      <c r="AJ111" s="16">
        <f>+ROUND(AG111,2)</f>
        <v>0</v>
      </c>
      <c r="AK111" s="16">
        <f>+AI111+AJ111</f>
        <v>0</v>
      </c>
      <c r="AL111" s="16">
        <f>+AI111+AJ111-AK111</f>
        <v>0</v>
      </c>
      <c r="AM111" s="44"/>
      <c r="AN111" s="41" t="str">
        <f>+LEFT(AM111,2)</f>
        <v/>
      </c>
      <c r="AO111" s="41" t="str">
        <f>+MID(AM111,4,2)</f>
        <v/>
      </c>
      <c r="AP111" s="41" t="str">
        <f>+RIGHT(AM111,2)</f>
        <v/>
      </c>
      <c r="AQ111" s="41" t="str">
        <f>+CONCATENATE(AN111,AO111,AP111)</f>
        <v/>
      </c>
      <c r="AR111" s="45">
        <f>+AM111+30</f>
        <v>30</v>
      </c>
      <c r="AS111" s="46">
        <f>+DAY(AR111)</f>
        <v>30</v>
      </c>
      <c r="AT111" s="41">
        <f>+MONTH(AR111)</f>
        <v>1</v>
      </c>
      <c r="AU111" s="41">
        <f>+YEAR(AR111)</f>
        <v>1900</v>
      </c>
      <c r="AV111" s="41" t="str">
        <f>+CONCATENATE(TEXT(AS111,"00"),TEXT(AT111,"00"),RIGHT(AU111,2))</f>
        <v>300100</v>
      </c>
    </row>
    <row r="112" spans="1:48" hidden="1" x14ac:dyDescent="0.25">
      <c r="A112" s="31"/>
      <c r="B112" s="31"/>
      <c r="C112" s="3"/>
      <c r="D112" s="3"/>
      <c r="E112" s="2"/>
      <c r="F112" s="3"/>
      <c r="G112" s="3"/>
      <c r="H112" s="16"/>
      <c r="I112" s="16"/>
      <c r="J112" s="3"/>
      <c r="K112" s="17"/>
      <c r="L112" s="16"/>
      <c r="M112" s="3"/>
      <c r="N112" s="3"/>
      <c r="O112" s="2"/>
      <c r="P112" s="3"/>
      <c r="Q112" s="3"/>
      <c r="R112" s="3"/>
      <c r="S112" s="16"/>
      <c r="T112" s="3"/>
      <c r="U112" s="3"/>
      <c r="V112" s="3"/>
      <c r="W112" s="16"/>
      <c r="X112" s="16"/>
      <c r="Y112" s="3"/>
      <c r="Z112" s="18"/>
      <c r="AA112" s="3"/>
      <c r="AB112" s="16"/>
      <c r="AC112" s="16"/>
      <c r="AD112" s="16"/>
      <c r="AE112" s="9"/>
      <c r="AF112" s="16"/>
      <c r="AG112" s="16"/>
      <c r="AH112" s="16"/>
      <c r="AI112" s="16"/>
      <c r="AJ112" s="16"/>
      <c r="AK112" s="16"/>
      <c r="AL112" s="16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idden="1" x14ac:dyDescent="0.25">
      <c r="A113" s="31"/>
      <c r="B113" s="31"/>
      <c r="C113" s="3"/>
      <c r="D113" s="3"/>
      <c r="E113" s="2"/>
      <c r="F113" s="3"/>
      <c r="G113" s="3"/>
      <c r="H113" s="16"/>
      <c r="I113" s="16"/>
      <c r="J113" s="3"/>
      <c r="K113" s="17"/>
      <c r="L113" s="16"/>
      <c r="M113" s="3"/>
      <c r="N113" s="3"/>
      <c r="O113" s="2"/>
      <c r="P113" s="3"/>
      <c r="Q113" s="3"/>
      <c r="R113" s="3"/>
      <c r="S113" s="16"/>
      <c r="T113" s="3"/>
      <c r="U113" s="3"/>
      <c r="V113" s="3"/>
      <c r="W113" s="16"/>
      <c r="X113" s="16"/>
      <c r="Y113" s="3"/>
      <c r="Z113" s="18"/>
      <c r="AA113" s="3"/>
      <c r="AB113" s="16"/>
      <c r="AC113" s="16"/>
      <c r="AD113" s="16"/>
      <c r="AE113" s="9"/>
      <c r="AF113" s="16"/>
      <c r="AG113" s="16"/>
      <c r="AH113" s="16"/>
      <c r="AI113" s="16"/>
      <c r="AJ113" s="16"/>
      <c r="AK113" s="16"/>
      <c r="AL113" s="16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idden="1" x14ac:dyDescent="0.25">
      <c r="A114" s="31"/>
      <c r="B114" s="31"/>
      <c r="C114" s="3"/>
      <c r="D114" s="3"/>
      <c r="E114" s="2"/>
      <c r="F114" s="3"/>
      <c r="G114" s="3"/>
      <c r="H114" s="16"/>
      <c r="I114" s="16"/>
      <c r="J114" s="3"/>
      <c r="K114" s="17"/>
      <c r="L114" s="16"/>
      <c r="M114" s="3"/>
      <c r="N114" s="3"/>
      <c r="O114" s="2"/>
      <c r="P114" s="3"/>
      <c r="Q114" s="3"/>
      <c r="R114" s="3"/>
      <c r="S114" s="16"/>
      <c r="T114" s="3"/>
      <c r="U114" s="3"/>
      <c r="V114" s="3"/>
      <c r="W114" s="16"/>
      <c r="X114" s="16"/>
      <c r="Y114" s="3"/>
      <c r="Z114" s="18"/>
      <c r="AA114" s="3"/>
      <c r="AB114" s="16"/>
      <c r="AC114" s="16"/>
      <c r="AD114" s="16"/>
      <c r="AE114" s="9"/>
      <c r="AF114" s="16"/>
      <c r="AG114" s="16"/>
      <c r="AH114" s="16"/>
      <c r="AI114" s="16"/>
      <c r="AJ114" s="16"/>
      <c r="AK114" s="16"/>
      <c r="AL114" s="16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x14ac:dyDescent="0.25">
      <c r="A115" s="15">
        <f>1+A111</f>
        <v>29</v>
      </c>
      <c r="B115" s="15"/>
      <c r="C115" s="2"/>
      <c r="D115" s="2"/>
      <c r="E115" s="24" t="str">
        <f>+AQ115</f>
        <v/>
      </c>
      <c r="F115" s="30"/>
      <c r="G115" s="24" t="str">
        <f>+AV115</f>
        <v>300100</v>
      </c>
      <c r="H115" s="16">
        <f>+AK115</f>
        <v>0</v>
      </c>
      <c r="I115" s="16">
        <f>+ROUND(AD115,2)</f>
        <v>0</v>
      </c>
      <c r="J115" s="2"/>
      <c r="K115" s="17">
        <f>+AE115</f>
        <v>0</v>
      </c>
      <c r="L115" s="16">
        <f>+AJ115</f>
        <v>0</v>
      </c>
      <c r="M115" s="32" t="s">
        <v>5</v>
      </c>
      <c r="N115" s="30"/>
      <c r="O115" s="2"/>
      <c r="P115" s="30"/>
      <c r="Q115" s="32" t="s">
        <v>0</v>
      </c>
      <c r="R115" s="24"/>
      <c r="S115" s="24" t="str">
        <f>+RIGHT(O115,7)</f>
        <v/>
      </c>
      <c r="T115" s="2"/>
      <c r="U115" s="3" t="s">
        <v>1</v>
      </c>
      <c r="V115" s="3" t="s">
        <v>3</v>
      </c>
      <c r="W115" s="16">
        <f>+AI115</f>
        <v>0</v>
      </c>
      <c r="X115" s="16">
        <f>+AJ115</f>
        <v>0</v>
      </c>
      <c r="Y115" s="3" t="s">
        <v>4</v>
      </c>
      <c r="Z115" s="18">
        <f>+F115</f>
        <v>0</v>
      </c>
      <c r="AA115" s="61"/>
      <c r="AB115" s="65"/>
      <c r="AC115" s="16">
        <f>+AB115*0.18</f>
        <v>0</v>
      </c>
      <c r="AD115" s="16">
        <f>+AB115+AC115</f>
        <v>0</v>
      </c>
      <c r="AE115" s="68"/>
      <c r="AF115" s="16">
        <f>+AB115*AE115</f>
        <v>0</v>
      </c>
      <c r="AG115" s="16">
        <f>+AC115*AE115</f>
        <v>0</v>
      </c>
      <c r="AH115" s="16">
        <f>+AD115*AE115</f>
        <v>0</v>
      </c>
      <c r="AI115" s="16">
        <f>+ROUND(AF115,2)</f>
        <v>0</v>
      </c>
      <c r="AJ115" s="16">
        <f>+ROUND(AG115,2)</f>
        <v>0</v>
      </c>
      <c r="AK115" s="16">
        <f>+AI115+AJ115</f>
        <v>0</v>
      </c>
      <c r="AL115" s="16">
        <f>+AI115+AJ115-AK115</f>
        <v>0</v>
      </c>
      <c r="AM115" s="44"/>
      <c r="AN115" s="41" t="str">
        <f>+LEFT(AM115,2)</f>
        <v/>
      </c>
      <c r="AO115" s="41" t="str">
        <f>+MID(AM115,4,2)</f>
        <v/>
      </c>
      <c r="AP115" s="41" t="str">
        <f>+RIGHT(AM115,2)</f>
        <v/>
      </c>
      <c r="AQ115" s="41" t="str">
        <f>+CONCATENATE(AN115,AO115,AP115)</f>
        <v/>
      </c>
      <c r="AR115" s="45">
        <f>+AM115+30</f>
        <v>30</v>
      </c>
      <c r="AS115" s="46">
        <f>+DAY(AR115)</f>
        <v>30</v>
      </c>
      <c r="AT115" s="41">
        <f>+MONTH(AR115)</f>
        <v>1</v>
      </c>
      <c r="AU115" s="41">
        <f>+YEAR(AR115)</f>
        <v>1900</v>
      </c>
      <c r="AV115" s="41" t="str">
        <f>+CONCATENATE(TEXT(AS115,"00"),TEXT(AT115,"00"),RIGHT(AU115,2))</f>
        <v>300100</v>
      </c>
    </row>
    <row r="116" spans="1:48" hidden="1" x14ac:dyDescent="0.25">
      <c r="A116" s="31"/>
      <c r="B116" s="31"/>
      <c r="C116" s="3"/>
      <c r="D116" s="3"/>
      <c r="E116" s="2"/>
      <c r="F116" s="3"/>
      <c r="G116" s="3"/>
      <c r="H116" s="16"/>
      <c r="I116" s="16"/>
      <c r="J116" s="3"/>
      <c r="K116" s="17"/>
      <c r="L116" s="16"/>
      <c r="M116" s="3"/>
      <c r="N116" s="3"/>
      <c r="O116" s="2"/>
      <c r="P116" s="3"/>
      <c r="Q116" s="3"/>
      <c r="R116" s="3"/>
      <c r="S116" s="16"/>
      <c r="T116" s="3"/>
      <c r="U116" s="3"/>
      <c r="V116" s="3"/>
      <c r="W116" s="16"/>
      <c r="X116" s="16"/>
      <c r="Y116" s="3"/>
      <c r="Z116" s="18"/>
      <c r="AA116" s="3"/>
      <c r="AB116" s="16"/>
      <c r="AC116" s="16"/>
      <c r="AD116" s="16"/>
      <c r="AE116" s="9"/>
      <c r="AF116" s="16"/>
      <c r="AG116" s="16"/>
      <c r="AH116" s="16"/>
      <c r="AI116" s="16"/>
      <c r="AJ116" s="16"/>
      <c r="AK116" s="16"/>
      <c r="AL116" s="16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hidden="1" x14ac:dyDescent="0.25">
      <c r="A117" s="31"/>
      <c r="B117" s="31"/>
      <c r="C117" s="3"/>
      <c r="D117" s="3"/>
      <c r="E117" s="2"/>
      <c r="F117" s="3"/>
      <c r="G117" s="3"/>
      <c r="H117" s="16"/>
      <c r="I117" s="16"/>
      <c r="J117" s="3"/>
      <c r="K117" s="17"/>
      <c r="L117" s="16"/>
      <c r="M117" s="3"/>
      <c r="N117" s="3"/>
      <c r="O117" s="2"/>
      <c r="P117" s="3"/>
      <c r="Q117" s="3"/>
      <c r="R117" s="3"/>
      <c r="S117" s="16"/>
      <c r="T117" s="3"/>
      <c r="U117" s="3"/>
      <c r="V117" s="3"/>
      <c r="W117" s="16"/>
      <c r="X117" s="16"/>
      <c r="Y117" s="3"/>
      <c r="Z117" s="18"/>
      <c r="AA117" s="3"/>
      <c r="AB117" s="16"/>
      <c r="AC117" s="16"/>
      <c r="AD117" s="16"/>
      <c r="AE117" s="9"/>
      <c r="AF117" s="16"/>
      <c r="AG117" s="16"/>
      <c r="AH117" s="16"/>
      <c r="AI117" s="16"/>
      <c r="AJ117" s="16"/>
      <c r="AK117" s="16"/>
      <c r="AL117" s="16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hidden="1" x14ac:dyDescent="0.25">
      <c r="A118" s="31"/>
      <c r="B118" s="31"/>
      <c r="C118" s="3"/>
      <c r="D118" s="3"/>
      <c r="E118" s="2"/>
      <c r="F118" s="3"/>
      <c r="G118" s="3"/>
      <c r="H118" s="16"/>
      <c r="I118" s="16"/>
      <c r="J118" s="3"/>
      <c r="K118" s="17"/>
      <c r="L118" s="16"/>
      <c r="M118" s="3"/>
      <c r="N118" s="3"/>
      <c r="O118" s="2"/>
      <c r="P118" s="3"/>
      <c r="Q118" s="3"/>
      <c r="R118" s="3"/>
      <c r="S118" s="16"/>
      <c r="T118" s="3"/>
      <c r="U118" s="3"/>
      <c r="V118" s="3"/>
      <c r="W118" s="16"/>
      <c r="X118" s="16"/>
      <c r="Y118" s="3"/>
      <c r="Z118" s="18"/>
      <c r="AA118" s="3"/>
      <c r="AB118" s="16"/>
      <c r="AC118" s="16"/>
      <c r="AD118" s="16"/>
      <c r="AE118" s="9"/>
      <c r="AF118" s="16"/>
      <c r="AG118" s="16"/>
      <c r="AH118" s="16"/>
      <c r="AI118" s="16"/>
      <c r="AJ118" s="16"/>
      <c r="AK118" s="16"/>
      <c r="AL118" s="16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x14ac:dyDescent="0.25">
      <c r="A119" s="15">
        <f>1+A115</f>
        <v>30</v>
      </c>
      <c r="B119" s="15"/>
      <c r="C119" s="2"/>
      <c r="D119" s="2"/>
      <c r="E119" s="24" t="str">
        <f>+AQ119</f>
        <v/>
      </c>
      <c r="F119" s="30"/>
      <c r="G119" s="24" t="str">
        <f>+AV119</f>
        <v>300100</v>
      </c>
      <c r="H119" s="16">
        <f>+AK119</f>
        <v>0</v>
      </c>
      <c r="I119" s="16">
        <f>+ROUND(AD119,2)</f>
        <v>0</v>
      </c>
      <c r="J119" s="2"/>
      <c r="K119" s="17">
        <f>+AE119</f>
        <v>0</v>
      </c>
      <c r="L119" s="16">
        <f>+AJ119</f>
        <v>0</v>
      </c>
      <c r="M119" s="32" t="s">
        <v>5</v>
      </c>
      <c r="N119" s="30"/>
      <c r="O119" s="2"/>
      <c r="P119" s="30"/>
      <c r="Q119" s="32" t="s">
        <v>0</v>
      </c>
      <c r="R119" s="24"/>
      <c r="S119" s="24" t="str">
        <f>+RIGHT(O119,7)</f>
        <v/>
      </c>
      <c r="T119" s="2"/>
      <c r="U119" s="3" t="s">
        <v>1</v>
      </c>
      <c r="V119" s="3" t="s">
        <v>3</v>
      </c>
      <c r="W119" s="16">
        <f>+AI119</f>
        <v>0</v>
      </c>
      <c r="X119" s="16">
        <f>+AJ119</f>
        <v>0</v>
      </c>
      <c r="Y119" s="3" t="s">
        <v>4</v>
      </c>
      <c r="Z119" s="18">
        <f>+F119</f>
        <v>0</v>
      </c>
      <c r="AA119" s="61"/>
      <c r="AB119" s="65"/>
      <c r="AC119" s="16">
        <f>+AB119*0.18</f>
        <v>0</v>
      </c>
      <c r="AD119" s="16">
        <f>+AB119+AC119</f>
        <v>0</v>
      </c>
      <c r="AE119" s="68"/>
      <c r="AF119" s="16">
        <f>+AB119*AE119</f>
        <v>0</v>
      </c>
      <c r="AG119" s="16">
        <f>+AC119*AE119</f>
        <v>0</v>
      </c>
      <c r="AH119" s="16">
        <f>+AD119*AE119</f>
        <v>0</v>
      </c>
      <c r="AI119" s="16">
        <f>+ROUND(AF119,2)</f>
        <v>0</v>
      </c>
      <c r="AJ119" s="16">
        <f>+ROUND(AG119,2)</f>
        <v>0</v>
      </c>
      <c r="AK119" s="16">
        <f>+AI119+AJ119</f>
        <v>0</v>
      </c>
      <c r="AL119" s="16">
        <f>+AI119+AJ119-AK119</f>
        <v>0</v>
      </c>
      <c r="AM119" s="44"/>
      <c r="AN119" s="41" t="str">
        <f>+LEFT(AM119,2)</f>
        <v/>
      </c>
      <c r="AO119" s="41" t="str">
        <f>+MID(AM119,4,2)</f>
        <v/>
      </c>
      <c r="AP119" s="41" t="str">
        <f>+RIGHT(AM119,2)</f>
        <v/>
      </c>
      <c r="AQ119" s="41" t="str">
        <f>+CONCATENATE(AN119,AO119,AP119)</f>
        <v/>
      </c>
      <c r="AR119" s="45">
        <f>+AM119+30</f>
        <v>30</v>
      </c>
      <c r="AS119" s="46">
        <f>+DAY(AR119)</f>
        <v>30</v>
      </c>
      <c r="AT119" s="41">
        <f>+MONTH(AR119)</f>
        <v>1</v>
      </c>
      <c r="AU119" s="41">
        <f>+YEAR(AR119)</f>
        <v>1900</v>
      </c>
      <c r="AV119" s="41" t="str">
        <f>+CONCATENATE(TEXT(AS119,"00"),TEXT(AT119,"00"),RIGHT(AU119,2))</f>
        <v>300100</v>
      </c>
    </row>
    <row r="120" spans="1:48" hidden="1" x14ac:dyDescent="0.25">
      <c r="A120" s="31"/>
      <c r="B120" s="31"/>
      <c r="C120" s="3"/>
      <c r="D120" s="3"/>
      <c r="E120" s="2"/>
      <c r="F120" s="3"/>
      <c r="G120" s="3"/>
      <c r="H120" s="16"/>
      <c r="I120" s="16"/>
      <c r="J120" s="3"/>
      <c r="K120" s="17"/>
      <c r="L120" s="16"/>
      <c r="M120" s="3"/>
      <c r="N120" s="3"/>
      <c r="O120" s="2"/>
      <c r="P120" s="3"/>
      <c r="Q120" s="3"/>
      <c r="R120" s="3"/>
      <c r="S120" s="16"/>
      <c r="T120" s="3"/>
      <c r="U120" s="3"/>
      <c r="V120" s="3"/>
      <c r="W120" s="16"/>
      <c r="X120" s="16"/>
      <c r="Y120" s="3"/>
      <c r="Z120" s="18"/>
      <c r="AA120" s="3"/>
      <c r="AB120" s="16"/>
      <c r="AC120" s="16"/>
      <c r="AD120" s="16"/>
      <c r="AE120" s="9"/>
      <c r="AF120" s="16"/>
      <c r="AG120" s="16"/>
      <c r="AH120" s="16"/>
      <c r="AI120" s="16"/>
      <c r="AJ120" s="16"/>
      <c r="AK120" s="16"/>
      <c r="AL120" s="16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hidden="1" x14ac:dyDescent="0.25">
      <c r="A121" s="31"/>
      <c r="B121" s="31"/>
      <c r="C121" s="3"/>
      <c r="D121" s="3"/>
      <c r="E121" s="2"/>
      <c r="F121" s="3"/>
      <c r="G121" s="3"/>
      <c r="H121" s="16"/>
      <c r="I121" s="16"/>
      <c r="J121" s="3"/>
      <c r="K121" s="17"/>
      <c r="L121" s="16"/>
      <c r="M121" s="3"/>
      <c r="N121" s="3"/>
      <c r="O121" s="2"/>
      <c r="P121" s="3"/>
      <c r="Q121" s="3"/>
      <c r="R121" s="3"/>
      <c r="S121" s="16"/>
      <c r="T121" s="3"/>
      <c r="U121" s="3"/>
      <c r="V121" s="3"/>
      <c r="W121" s="16"/>
      <c r="X121" s="16"/>
      <c r="Y121" s="3"/>
      <c r="Z121" s="18"/>
      <c r="AA121" s="3"/>
      <c r="AB121" s="16"/>
      <c r="AC121" s="16"/>
      <c r="AD121" s="16"/>
      <c r="AE121" s="9"/>
      <c r="AF121" s="16"/>
      <c r="AG121" s="16"/>
      <c r="AH121" s="16"/>
      <c r="AI121" s="16"/>
      <c r="AJ121" s="16"/>
      <c r="AK121" s="16"/>
      <c r="AL121" s="16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hidden="1" x14ac:dyDescent="0.25">
      <c r="A122" s="31"/>
      <c r="B122" s="31"/>
      <c r="C122" s="3"/>
      <c r="D122" s="3"/>
      <c r="E122" s="2"/>
      <c r="F122" s="3"/>
      <c r="G122" s="3"/>
      <c r="H122" s="16"/>
      <c r="I122" s="16"/>
      <c r="J122" s="3"/>
      <c r="K122" s="17"/>
      <c r="L122" s="16"/>
      <c r="M122" s="3"/>
      <c r="N122" s="3"/>
      <c r="O122" s="2"/>
      <c r="P122" s="3"/>
      <c r="Q122" s="3"/>
      <c r="R122" s="3"/>
      <c r="S122" s="16"/>
      <c r="T122" s="3"/>
      <c r="U122" s="3"/>
      <c r="V122" s="3"/>
      <c r="W122" s="16"/>
      <c r="X122" s="16"/>
      <c r="Y122" s="3"/>
      <c r="Z122" s="18"/>
      <c r="AA122" s="3"/>
      <c r="AB122" s="16"/>
      <c r="AC122" s="16"/>
      <c r="AD122" s="16"/>
      <c r="AE122" s="9"/>
      <c r="AF122" s="16"/>
      <c r="AG122" s="16"/>
      <c r="AH122" s="16"/>
      <c r="AI122" s="16"/>
      <c r="AJ122" s="16"/>
      <c r="AK122" s="16"/>
      <c r="AL122" s="16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x14ac:dyDescent="0.25">
      <c r="A123" s="15">
        <f>1+A119</f>
        <v>31</v>
      </c>
      <c r="B123" s="15"/>
      <c r="C123" s="2"/>
      <c r="D123" s="2"/>
      <c r="E123" s="24" t="str">
        <f>+AQ123</f>
        <v/>
      </c>
      <c r="F123" s="30"/>
      <c r="G123" s="24" t="str">
        <f>+AV123</f>
        <v>300100</v>
      </c>
      <c r="H123" s="16">
        <f>+AK123</f>
        <v>0</v>
      </c>
      <c r="I123" s="16">
        <f>+ROUND(AD123,2)</f>
        <v>0</v>
      </c>
      <c r="J123" s="2"/>
      <c r="K123" s="17">
        <f>+AE123</f>
        <v>0</v>
      </c>
      <c r="L123" s="16">
        <f>+AJ123</f>
        <v>0</v>
      </c>
      <c r="M123" s="32" t="s">
        <v>5</v>
      </c>
      <c r="N123" s="30"/>
      <c r="O123" s="2"/>
      <c r="P123" s="30"/>
      <c r="Q123" s="32" t="s">
        <v>0</v>
      </c>
      <c r="R123" s="24"/>
      <c r="S123" s="24" t="str">
        <f>+RIGHT(O123,7)</f>
        <v/>
      </c>
      <c r="T123" s="2"/>
      <c r="U123" s="3" t="s">
        <v>1</v>
      </c>
      <c r="V123" s="3" t="s">
        <v>3</v>
      </c>
      <c r="W123" s="16">
        <f>+AI123</f>
        <v>0</v>
      </c>
      <c r="X123" s="16">
        <f>+AJ123</f>
        <v>0</v>
      </c>
      <c r="Y123" s="3" t="s">
        <v>4</v>
      </c>
      <c r="Z123" s="18">
        <f>+F123</f>
        <v>0</v>
      </c>
      <c r="AA123" s="61"/>
      <c r="AB123" s="65"/>
      <c r="AC123" s="16">
        <f>+AB123*0.18</f>
        <v>0</v>
      </c>
      <c r="AD123" s="16">
        <f>+AB123+AC123</f>
        <v>0</v>
      </c>
      <c r="AE123" s="68"/>
      <c r="AF123" s="16">
        <f>+AB123*AE123</f>
        <v>0</v>
      </c>
      <c r="AG123" s="16">
        <f>+AC123*AE123</f>
        <v>0</v>
      </c>
      <c r="AH123" s="16">
        <f>+AD123*AE123</f>
        <v>0</v>
      </c>
      <c r="AI123" s="16">
        <f>+ROUND(AF123,2)</f>
        <v>0</v>
      </c>
      <c r="AJ123" s="16">
        <f>+ROUND(AG123,2)</f>
        <v>0</v>
      </c>
      <c r="AK123" s="16">
        <f>+AI123+AJ123</f>
        <v>0</v>
      </c>
      <c r="AL123" s="16">
        <f>+AI123+AJ123-AK123</f>
        <v>0</v>
      </c>
      <c r="AM123" s="44"/>
      <c r="AN123" s="41" t="str">
        <f>+LEFT(AM123,2)</f>
        <v/>
      </c>
      <c r="AO123" s="41" t="str">
        <f>+MID(AM123,4,2)</f>
        <v/>
      </c>
      <c r="AP123" s="41" t="str">
        <f>+RIGHT(AM123,2)</f>
        <v/>
      </c>
      <c r="AQ123" s="41" t="str">
        <f>+CONCATENATE(AN123,AO123,AP123)</f>
        <v/>
      </c>
      <c r="AR123" s="45">
        <f>+AM123+30</f>
        <v>30</v>
      </c>
      <c r="AS123" s="46">
        <f>+DAY(AR123)</f>
        <v>30</v>
      </c>
      <c r="AT123" s="41">
        <f>+MONTH(AR123)</f>
        <v>1</v>
      </c>
      <c r="AU123" s="41">
        <f>+YEAR(AR123)</f>
        <v>1900</v>
      </c>
      <c r="AV123" s="41" t="str">
        <f>+CONCATENATE(TEXT(AS123,"00"),TEXT(AT123,"00"),RIGHT(AU123,2))</f>
        <v>300100</v>
      </c>
    </row>
    <row r="124" spans="1:48" hidden="1" x14ac:dyDescent="0.25">
      <c r="A124" s="31"/>
      <c r="B124" s="31"/>
      <c r="C124" s="3"/>
      <c r="D124" s="3"/>
      <c r="E124" s="2"/>
      <c r="F124" s="3"/>
      <c r="G124" s="3"/>
      <c r="H124" s="16"/>
      <c r="I124" s="16"/>
      <c r="J124" s="3"/>
      <c r="K124" s="17"/>
      <c r="L124" s="16"/>
      <c r="M124" s="3"/>
      <c r="N124" s="3"/>
      <c r="O124" s="2"/>
      <c r="P124" s="3"/>
      <c r="Q124" s="3"/>
      <c r="R124" s="3"/>
      <c r="S124" s="16"/>
      <c r="T124" s="3"/>
      <c r="U124" s="3"/>
      <c r="V124" s="3"/>
      <c r="W124" s="16"/>
      <c r="X124" s="16"/>
      <c r="Y124" s="3"/>
      <c r="Z124" s="18"/>
      <c r="AA124" s="3"/>
      <c r="AB124" s="16"/>
      <c r="AC124" s="16"/>
      <c r="AD124" s="16"/>
      <c r="AE124" s="9"/>
      <c r="AF124" s="16"/>
      <c r="AG124" s="16"/>
      <c r="AH124" s="16"/>
      <c r="AI124" s="16"/>
      <c r="AJ124" s="16"/>
      <c r="AK124" s="16"/>
      <c r="AL124" s="16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hidden="1" x14ac:dyDescent="0.25">
      <c r="A125" s="31"/>
      <c r="B125" s="31"/>
      <c r="C125" s="3"/>
      <c r="D125" s="3"/>
      <c r="E125" s="2"/>
      <c r="F125" s="3"/>
      <c r="G125" s="3"/>
      <c r="H125" s="16"/>
      <c r="I125" s="16"/>
      <c r="J125" s="3"/>
      <c r="K125" s="17"/>
      <c r="L125" s="16"/>
      <c r="M125" s="3"/>
      <c r="N125" s="3"/>
      <c r="O125" s="2"/>
      <c r="P125" s="3"/>
      <c r="Q125" s="3"/>
      <c r="R125" s="3"/>
      <c r="S125" s="16"/>
      <c r="T125" s="3"/>
      <c r="U125" s="3"/>
      <c r="V125" s="3"/>
      <c r="W125" s="16"/>
      <c r="X125" s="16"/>
      <c r="Y125" s="3"/>
      <c r="Z125" s="18"/>
      <c r="AA125" s="3"/>
      <c r="AB125" s="16"/>
      <c r="AC125" s="16"/>
      <c r="AD125" s="16"/>
      <c r="AE125" s="9"/>
      <c r="AF125" s="16"/>
      <c r="AG125" s="16"/>
      <c r="AH125" s="16"/>
      <c r="AI125" s="16"/>
      <c r="AJ125" s="16"/>
      <c r="AK125" s="16"/>
      <c r="AL125" s="16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hidden="1" x14ac:dyDescent="0.25">
      <c r="A126" s="31"/>
      <c r="B126" s="31"/>
      <c r="C126" s="3"/>
      <c r="D126" s="3"/>
      <c r="E126" s="2"/>
      <c r="F126" s="3"/>
      <c r="G126" s="3"/>
      <c r="H126" s="16"/>
      <c r="I126" s="16"/>
      <c r="J126" s="3"/>
      <c r="K126" s="17"/>
      <c r="L126" s="16"/>
      <c r="M126" s="3"/>
      <c r="N126" s="3"/>
      <c r="O126" s="2"/>
      <c r="P126" s="3"/>
      <c r="Q126" s="3"/>
      <c r="R126" s="3"/>
      <c r="S126" s="16"/>
      <c r="T126" s="3"/>
      <c r="U126" s="3"/>
      <c r="V126" s="3"/>
      <c r="W126" s="16"/>
      <c r="X126" s="16"/>
      <c r="Y126" s="3"/>
      <c r="Z126" s="18"/>
      <c r="AA126" s="3"/>
      <c r="AB126" s="16"/>
      <c r="AC126" s="16"/>
      <c r="AD126" s="16"/>
      <c r="AE126" s="9"/>
      <c r="AF126" s="16"/>
      <c r="AG126" s="16"/>
      <c r="AH126" s="16"/>
      <c r="AI126" s="16"/>
      <c r="AJ126" s="16"/>
      <c r="AK126" s="16"/>
      <c r="AL126" s="16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1:48" x14ac:dyDescent="0.25">
      <c r="A127" s="15">
        <f>1+A123</f>
        <v>32</v>
      </c>
      <c r="B127" s="15"/>
      <c r="C127" s="2"/>
      <c r="D127" s="2"/>
      <c r="E127" s="24" t="str">
        <f>+AQ127</f>
        <v/>
      </c>
      <c r="F127" s="30"/>
      <c r="G127" s="24" t="str">
        <f>+AV127</f>
        <v>300100</v>
      </c>
      <c r="H127" s="16">
        <f>+AK127</f>
        <v>0</v>
      </c>
      <c r="I127" s="16">
        <f>+ROUND(AD127,2)</f>
        <v>0</v>
      </c>
      <c r="J127" s="2"/>
      <c r="K127" s="17">
        <f>+AE127</f>
        <v>0</v>
      </c>
      <c r="L127" s="16">
        <f>+AJ127</f>
        <v>0</v>
      </c>
      <c r="M127" s="32" t="s">
        <v>5</v>
      </c>
      <c r="N127" s="30"/>
      <c r="O127" s="2"/>
      <c r="P127" s="30"/>
      <c r="Q127" s="32" t="s">
        <v>0</v>
      </c>
      <c r="R127" s="24"/>
      <c r="S127" s="24" t="str">
        <f>+RIGHT(O127,7)</f>
        <v/>
      </c>
      <c r="T127" s="2"/>
      <c r="U127" s="3" t="s">
        <v>1</v>
      </c>
      <c r="V127" s="3" t="s">
        <v>3</v>
      </c>
      <c r="W127" s="16">
        <f>+AI127</f>
        <v>0</v>
      </c>
      <c r="X127" s="16">
        <f>+AJ127</f>
        <v>0</v>
      </c>
      <c r="Y127" s="3" t="s">
        <v>4</v>
      </c>
      <c r="Z127" s="18">
        <f>+F127</f>
        <v>0</v>
      </c>
      <c r="AA127" s="61"/>
      <c r="AB127" s="65"/>
      <c r="AC127" s="16">
        <f>+AB127*0.18</f>
        <v>0</v>
      </c>
      <c r="AD127" s="16">
        <f>+AB127+AC127</f>
        <v>0</v>
      </c>
      <c r="AE127" s="68"/>
      <c r="AF127" s="16">
        <f>+AB127*AE127</f>
        <v>0</v>
      </c>
      <c r="AG127" s="16">
        <f>+AC127*AE127</f>
        <v>0</v>
      </c>
      <c r="AH127" s="16">
        <f>+AD127*AE127</f>
        <v>0</v>
      </c>
      <c r="AI127" s="16">
        <f>+ROUND(AF127,2)</f>
        <v>0</v>
      </c>
      <c r="AJ127" s="16">
        <f>+ROUND(AG127,2)</f>
        <v>0</v>
      </c>
      <c r="AK127" s="16">
        <f>+AI127+AJ127</f>
        <v>0</v>
      </c>
      <c r="AL127" s="16">
        <f>+AI127+AJ127-AK127</f>
        <v>0</v>
      </c>
      <c r="AM127" s="44"/>
      <c r="AN127" s="41" t="str">
        <f>+LEFT(AM127,2)</f>
        <v/>
      </c>
      <c r="AO127" s="41" t="str">
        <f>+MID(AM127,4,2)</f>
        <v/>
      </c>
      <c r="AP127" s="41" t="str">
        <f>+RIGHT(AM127,2)</f>
        <v/>
      </c>
      <c r="AQ127" s="41" t="str">
        <f>+CONCATENATE(AN127,AO127,AP127)</f>
        <v/>
      </c>
      <c r="AR127" s="45">
        <f>+AM127+30</f>
        <v>30</v>
      </c>
      <c r="AS127" s="46">
        <f>+DAY(AR127)</f>
        <v>30</v>
      </c>
      <c r="AT127" s="41">
        <f>+MONTH(AR127)</f>
        <v>1</v>
      </c>
      <c r="AU127" s="41">
        <f>+YEAR(AR127)</f>
        <v>1900</v>
      </c>
      <c r="AV127" s="41" t="str">
        <f>+CONCATENATE(TEXT(AS127,"00"),TEXT(AT127,"00"),RIGHT(AU127,2))</f>
        <v>300100</v>
      </c>
    </row>
    <row r="128" spans="1:48" hidden="1" x14ac:dyDescent="0.25">
      <c r="A128" s="31"/>
      <c r="B128" s="31"/>
      <c r="C128" s="3"/>
      <c r="D128" s="3"/>
      <c r="E128" s="2"/>
      <c r="F128" s="3"/>
      <c r="G128" s="3"/>
      <c r="H128" s="16"/>
      <c r="I128" s="16"/>
      <c r="J128" s="3"/>
      <c r="K128" s="17"/>
      <c r="L128" s="16"/>
      <c r="M128" s="3"/>
      <c r="N128" s="3"/>
      <c r="O128" s="2"/>
      <c r="P128" s="3"/>
      <c r="Q128" s="3"/>
      <c r="R128" s="3"/>
      <c r="S128" s="16"/>
      <c r="T128" s="3"/>
      <c r="U128" s="3"/>
      <c r="V128" s="3"/>
      <c r="W128" s="16"/>
      <c r="X128" s="16"/>
      <c r="Y128" s="3"/>
      <c r="Z128" s="18"/>
      <c r="AA128" s="3"/>
      <c r="AB128" s="16"/>
      <c r="AC128" s="16"/>
      <c r="AD128" s="16"/>
      <c r="AE128" s="9"/>
      <c r="AF128" s="16"/>
      <c r="AG128" s="16"/>
      <c r="AH128" s="16"/>
      <c r="AI128" s="16"/>
      <c r="AJ128" s="16"/>
      <c r="AK128" s="16"/>
      <c r="AL128" s="16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1:48" hidden="1" x14ac:dyDescent="0.25">
      <c r="A129" s="31"/>
      <c r="B129" s="31"/>
      <c r="C129" s="3"/>
      <c r="D129" s="3"/>
      <c r="E129" s="2"/>
      <c r="F129" s="3"/>
      <c r="G129" s="3"/>
      <c r="H129" s="16"/>
      <c r="I129" s="16"/>
      <c r="J129" s="3"/>
      <c r="K129" s="17"/>
      <c r="L129" s="16"/>
      <c r="M129" s="3"/>
      <c r="N129" s="3"/>
      <c r="O129" s="2"/>
      <c r="P129" s="3"/>
      <c r="Q129" s="3"/>
      <c r="R129" s="3"/>
      <c r="S129" s="16"/>
      <c r="T129" s="3"/>
      <c r="U129" s="3"/>
      <c r="V129" s="3"/>
      <c r="W129" s="16"/>
      <c r="X129" s="16"/>
      <c r="Y129" s="3"/>
      <c r="Z129" s="18"/>
      <c r="AA129" s="3"/>
      <c r="AB129" s="16"/>
      <c r="AC129" s="16"/>
      <c r="AD129" s="16"/>
      <c r="AE129" s="9"/>
      <c r="AF129" s="16"/>
      <c r="AG129" s="16"/>
      <c r="AH129" s="16"/>
      <c r="AI129" s="16"/>
      <c r="AJ129" s="16"/>
      <c r="AK129" s="16"/>
      <c r="AL129" s="16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hidden="1" x14ac:dyDescent="0.25">
      <c r="A130" s="31"/>
      <c r="B130" s="31"/>
      <c r="C130" s="3"/>
      <c r="D130" s="3"/>
      <c r="E130" s="2"/>
      <c r="F130" s="3"/>
      <c r="G130" s="3"/>
      <c r="H130" s="16"/>
      <c r="I130" s="16"/>
      <c r="J130" s="3"/>
      <c r="K130" s="17"/>
      <c r="L130" s="16"/>
      <c r="M130" s="3"/>
      <c r="N130" s="3"/>
      <c r="O130" s="2"/>
      <c r="P130" s="3"/>
      <c r="Q130" s="3"/>
      <c r="R130" s="3"/>
      <c r="S130" s="16"/>
      <c r="T130" s="3"/>
      <c r="U130" s="3"/>
      <c r="V130" s="3"/>
      <c r="W130" s="16"/>
      <c r="X130" s="16"/>
      <c r="Y130" s="3"/>
      <c r="Z130" s="18"/>
      <c r="AA130" s="3"/>
      <c r="AB130" s="16"/>
      <c r="AC130" s="16"/>
      <c r="AD130" s="16"/>
      <c r="AE130" s="9"/>
      <c r="AF130" s="16"/>
      <c r="AG130" s="16"/>
      <c r="AH130" s="16"/>
      <c r="AI130" s="16"/>
      <c r="AJ130" s="16"/>
      <c r="AK130" s="16"/>
      <c r="AL130" s="16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1:48" x14ac:dyDescent="0.25">
      <c r="A131" s="15">
        <f>1+A127</f>
        <v>33</v>
      </c>
      <c r="B131" s="15"/>
      <c r="C131" s="2"/>
      <c r="D131" s="2"/>
      <c r="E131" s="24" t="str">
        <f>+AQ131</f>
        <v/>
      </c>
      <c r="F131" s="30"/>
      <c r="G131" s="24" t="str">
        <f>+AV131</f>
        <v>300100</v>
      </c>
      <c r="H131" s="16">
        <f>+AK131</f>
        <v>0</v>
      </c>
      <c r="I131" s="16">
        <f>+ROUND(AD131,2)</f>
        <v>0</v>
      </c>
      <c r="J131" s="2"/>
      <c r="K131" s="17">
        <f>+AE131</f>
        <v>0</v>
      </c>
      <c r="L131" s="16">
        <f>+AJ131</f>
        <v>0</v>
      </c>
      <c r="M131" s="32" t="s">
        <v>5</v>
      </c>
      <c r="N131" s="30"/>
      <c r="O131" s="2"/>
      <c r="P131" s="30"/>
      <c r="Q131" s="32" t="s">
        <v>0</v>
      </c>
      <c r="R131" s="24"/>
      <c r="S131" s="24" t="str">
        <f>+RIGHT(O131,7)</f>
        <v/>
      </c>
      <c r="T131" s="2"/>
      <c r="U131" s="3" t="s">
        <v>1</v>
      </c>
      <c r="V131" s="3" t="s">
        <v>3</v>
      </c>
      <c r="W131" s="16">
        <f>+AI131</f>
        <v>0</v>
      </c>
      <c r="X131" s="16">
        <f>+AJ131</f>
        <v>0</v>
      </c>
      <c r="Y131" s="3" t="s">
        <v>4</v>
      </c>
      <c r="Z131" s="18">
        <f>+F131</f>
        <v>0</v>
      </c>
      <c r="AA131" s="61"/>
      <c r="AB131" s="65"/>
      <c r="AC131" s="16">
        <f>+AB131*0.18</f>
        <v>0</v>
      </c>
      <c r="AD131" s="16">
        <f>+AB131+AC131</f>
        <v>0</v>
      </c>
      <c r="AE131" s="68"/>
      <c r="AF131" s="16">
        <f>+AB131*AE131</f>
        <v>0</v>
      </c>
      <c r="AG131" s="16">
        <f>+AC131*AE131</f>
        <v>0</v>
      </c>
      <c r="AH131" s="16">
        <f>+AD131*AE131</f>
        <v>0</v>
      </c>
      <c r="AI131" s="16">
        <f>+ROUND(AF131,2)</f>
        <v>0</v>
      </c>
      <c r="AJ131" s="16">
        <f>+ROUND(AG131,2)</f>
        <v>0</v>
      </c>
      <c r="AK131" s="16">
        <f>+AI131+AJ131</f>
        <v>0</v>
      </c>
      <c r="AL131" s="16">
        <f>+AI131+AJ131-AK131</f>
        <v>0</v>
      </c>
      <c r="AM131" s="44"/>
      <c r="AN131" s="41" t="str">
        <f>+LEFT(AM131,2)</f>
        <v/>
      </c>
      <c r="AO131" s="41" t="str">
        <f>+MID(AM131,4,2)</f>
        <v/>
      </c>
      <c r="AP131" s="41" t="str">
        <f>+RIGHT(AM131,2)</f>
        <v/>
      </c>
      <c r="AQ131" s="41" t="str">
        <f>+CONCATENATE(AN131,AO131,AP131)</f>
        <v/>
      </c>
      <c r="AR131" s="45">
        <f>+AM131+30</f>
        <v>30</v>
      </c>
      <c r="AS131" s="46">
        <f>+DAY(AR131)</f>
        <v>30</v>
      </c>
      <c r="AT131" s="41">
        <f>+MONTH(AR131)</f>
        <v>1</v>
      </c>
      <c r="AU131" s="41">
        <f>+YEAR(AR131)</f>
        <v>1900</v>
      </c>
      <c r="AV131" s="41" t="str">
        <f>+CONCATENATE(TEXT(AS131,"00"),TEXT(AT131,"00"),RIGHT(AU131,2))</f>
        <v>300100</v>
      </c>
    </row>
    <row r="132" spans="1:48" hidden="1" x14ac:dyDescent="0.25">
      <c r="A132" s="31"/>
      <c r="B132" s="31"/>
      <c r="C132" s="3"/>
      <c r="D132" s="3"/>
      <c r="E132" s="2"/>
      <c r="F132" s="3"/>
      <c r="G132" s="3"/>
      <c r="H132" s="16"/>
      <c r="I132" s="16"/>
      <c r="J132" s="3"/>
      <c r="K132" s="17"/>
      <c r="L132" s="16"/>
      <c r="M132" s="3"/>
      <c r="N132" s="3"/>
      <c r="O132" s="2"/>
      <c r="P132" s="3"/>
      <c r="Q132" s="3"/>
      <c r="R132" s="3"/>
      <c r="S132" s="16"/>
      <c r="T132" s="3"/>
      <c r="U132" s="3"/>
      <c r="V132" s="3"/>
      <c r="W132" s="16"/>
      <c r="X132" s="16"/>
      <c r="Y132" s="3"/>
      <c r="Z132" s="18"/>
      <c r="AA132" s="3"/>
      <c r="AB132" s="16"/>
      <c r="AC132" s="16"/>
      <c r="AD132" s="16"/>
      <c r="AE132" s="9"/>
      <c r="AF132" s="16"/>
      <c r="AG132" s="16"/>
      <c r="AH132" s="16"/>
      <c r="AI132" s="16"/>
      <c r="AJ132" s="16"/>
      <c r="AK132" s="16"/>
      <c r="AL132" s="16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hidden="1" x14ac:dyDescent="0.25">
      <c r="A133" s="31"/>
      <c r="B133" s="31"/>
      <c r="C133" s="3"/>
      <c r="D133" s="3"/>
      <c r="E133" s="2"/>
      <c r="F133" s="3"/>
      <c r="G133" s="3"/>
      <c r="H133" s="16"/>
      <c r="I133" s="16"/>
      <c r="J133" s="3"/>
      <c r="K133" s="17"/>
      <c r="L133" s="16"/>
      <c r="M133" s="3"/>
      <c r="N133" s="3"/>
      <c r="O133" s="2"/>
      <c r="P133" s="3"/>
      <c r="Q133" s="3"/>
      <c r="R133" s="3"/>
      <c r="S133" s="16"/>
      <c r="T133" s="3"/>
      <c r="U133" s="3"/>
      <c r="V133" s="3"/>
      <c r="W133" s="16"/>
      <c r="X133" s="16"/>
      <c r="Y133" s="3"/>
      <c r="Z133" s="18"/>
      <c r="AA133" s="3"/>
      <c r="AB133" s="16"/>
      <c r="AC133" s="16"/>
      <c r="AD133" s="16"/>
      <c r="AE133" s="9"/>
      <c r="AF133" s="16"/>
      <c r="AG133" s="16"/>
      <c r="AH133" s="16"/>
      <c r="AI133" s="16"/>
      <c r="AJ133" s="16"/>
      <c r="AK133" s="16"/>
      <c r="AL133" s="16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1:48" hidden="1" x14ac:dyDescent="0.25">
      <c r="A134" s="31"/>
      <c r="B134" s="31"/>
      <c r="C134" s="3"/>
      <c r="D134" s="3"/>
      <c r="E134" s="2"/>
      <c r="F134" s="3"/>
      <c r="G134" s="3"/>
      <c r="H134" s="16"/>
      <c r="I134" s="16"/>
      <c r="J134" s="3"/>
      <c r="K134" s="17"/>
      <c r="L134" s="16"/>
      <c r="M134" s="3"/>
      <c r="N134" s="3"/>
      <c r="O134" s="2"/>
      <c r="P134" s="3"/>
      <c r="Q134" s="3"/>
      <c r="R134" s="3"/>
      <c r="S134" s="16"/>
      <c r="T134" s="3"/>
      <c r="U134" s="3"/>
      <c r="V134" s="3"/>
      <c r="W134" s="16"/>
      <c r="X134" s="16"/>
      <c r="Y134" s="3"/>
      <c r="Z134" s="18"/>
      <c r="AA134" s="3"/>
      <c r="AB134" s="16"/>
      <c r="AC134" s="16"/>
      <c r="AD134" s="16"/>
      <c r="AE134" s="9"/>
      <c r="AF134" s="16"/>
      <c r="AG134" s="16"/>
      <c r="AH134" s="16"/>
      <c r="AI134" s="16"/>
      <c r="AJ134" s="16"/>
      <c r="AK134" s="16"/>
      <c r="AL134" s="16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1:48" x14ac:dyDescent="0.25">
      <c r="A135" s="15">
        <f>1+A131</f>
        <v>34</v>
      </c>
      <c r="B135" s="15"/>
      <c r="C135" s="2"/>
      <c r="D135" s="2"/>
      <c r="E135" s="24" t="str">
        <f>+AQ135</f>
        <v/>
      </c>
      <c r="F135" s="30"/>
      <c r="G135" s="24" t="str">
        <f>+AV135</f>
        <v>300100</v>
      </c>
      <c r="H135" s="16">
        <f>+AK135</f>
        <v>0</v>
      </c>
      <c r="I135" s="16">
        <f>+ROUND(AD135,2)</f>
        <v>0</v>
      </c>
      <c r="J135" s="2"/>
      <c r="K135" s="17">
        <f>+AE135</f>
        <v>0</v>
      </c>
      <c r="L135" s="16">
        <f>+AJ135</f>
        <v>0</v>
      </c>
      <c r="M135" s="32" t="s">
        <v>5</v>
      </c>
      <c r="N135" s="30"/>
      <c r="O135" s="2"/>
      <c r="P135" s="30"/>
      <c r="Q135" s="32" t="s">
        <v>0</v>
      </c>
      <c r="R135" s="24"/>
      <c r="S135" s="24" t="str">
        <f>+RIGHT(O135,7)</f>
        <v/>
      </c>
      <c r="T135" s="2"/>
      <c r="U135" s="3" t="s">
        <v>1</v>
      </c>
      <c r="V135" s="3" t="s">
        <v>3</v>
      </c>
      <c r="W135" s="16">
        <f>+AI135</f>
        <v>0</v>
      </c>
      <c r="X135" s="16">
        <f>+AJ135</f>
        <v>0</v>
      </c>
      <c r="Y135" s="3" t="s">
        <v>4</v>
      </c>
      <c r="Z135" s="18">
        <f>+F135</f>
        <v>0</v>
      </c>
      <c r="AA135" s="61"/>
      <c r="AB135" s="65"/>
      <c r="AC135" s="16">
        <f>+AB135*0.18</f>
        <v>0</v>
      </c>
      <c r="AD135" s="16">
        <f>+AB135+AC135</f>
        <v>0</v>
      </c>
      <c r="AE135" s="68"/>
      <c r="AF135" s="16">
        <f>+AB135*AE135</f>
        <v>0</v>
      </c>
      <c r="AG135" s="16">
        <f>+AC135*AE135</f>
        <v>0</v>
      </c>
      <c r="AH135" s="16">
        <f>+AD135*AE135</f>
        <v>0</v>
      </c>
      <c r="AI135" s="16">
        <f>+ROUND(AF135,2)</f>
        <v>0</v>
      </c>
      <c r="AJ135" s="16">
        <f>+ROUND(AG135,2)</f>
        <v>0</v>
      </c>
      <c r="AK135" s="16">
        <f>+AI135+AJ135</f>
        <v>0</v>
      </c>
      <c r="AL135" s="16">
        <f>+AI135+AJ135-AK135</f>
        <v>0</v>
      </c>
      <c r="AM135" s="44"/>
      <c r="AN135" s="41" t="str">
        <f>+LEFT(AM135,2)</f>
        <v/>
      </c>
      <c r="AO135" s="41" t="str">
        <f>+MID(AM135,4,2)</f>
        <v/>
      </c>
      <c r="AP135" s="41" t="str">
        <f>+RIGHT(AM135,2)</f>
        <v/>
      </c>
      <c r="AQ135" s="41" t="str">
        <f>+CONCATENATE(AN135,AO135,AP135)</f>
        <v/>
      </c>
      <c r="AR135" s="45">
        <f>+AM135+30</f>
        <v>30</v>
      </c>
      <c r="AS135" s="46">
        <f>+DAY(AR135)</f>
        <v>30</v>
      </c>
      <c r="AT135" s="41">
        <f>+MONTH(AR135)</f>
        <v>1</v>
      </c>
      <c r="AU135" s="41">
        <f>+YEAR(AR135)</f>
        <v>1900</v>
      </c>
      <c r="AV135" s="41" t="str">
        <f>+CONCATENATE(TEXT(AS135,"00"),TEXT(AT135,"00"),RIGHT(AU135,2))</f>
        <v>300100</v>
      </c>
    </row>
    <row r="136" spans="1:48" hidden="1" x14ac:dyDescent="0.25">
      <c r="A136" s="31"/>
      <c r="B136" s="31"/>
      <c r="C136" s="3"/>
      <c r="D136" s="3"/>
      <c r="E136" s="2"/>
      <c r="F136" s="3"/>
      <c r="G136" s="3"/>
      <c r="H136" s="16"/>
      <c r="I136" s="16"/>
      <c r="J136" s="3"/>
      <c r="K136" s="17"/>
      <c r="L136" s="16"/>
      <c r="M136" s="3"/>
      <c r="N136" s="3"/>
      <c r="O136" s="2"/>
      <c r="P136" s="3"/>
      <c r="Q136" s="3"/>
      <c r="R136" s="3"/>
      <c r="S136" s="16"/>
      <c r="T136" s="3"/>
      <c r="U136" s="3"/>
      <c r="V136" s="3"/>
      <c r="W136" s="16"/>
      <c r="X136" s="16"/>
      <c r="Y136" s="3"/>
      <c r="Z136" s="18"/>
      <c r="AA136" s="3"/>
      <c r="AB136" s="16"/>
      <c r="AC136" s="16"/>
      <c r="AD136" s="16"/>
      <c r="AE136" s="9"/>
      <c r="AF136" s="16"/>
      <c r="AG136" s="16"/>
      <c r="AH136" s="16"/>
      <c r="AI136" s="16"/>
      <c r="AJ136" s="16"/>
      <c r="AK136" s="16"/>
      <c r="AL136" s="16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hidden="1" x14ac:dyDescent="0.25">
      <c r="A137" s="31"/>
      <c r="B137" s="31"/>
      <c r="C137" s="3"/>
      <c r="D137" s="3"/>
      <c r="E137" s="2"/>
      <c r="F137" s="3"/>
      <c r="G137" s="3"/>
      <c r="H137" s="16"/>
      <c r="I137" s="16"/>
      <c r="J137" s="3"/>
      <c r="K137" s="17"/>
      <c r="L137" s="16"/>
      <c r="M137" s="3"/>
      <c r="N137" s="3"/>
      <c r="O137" s="2"/>
      <c r="P137" s="3"/>
      <c r="Q137" s="3"/>
      <c r="R137" s="3"/>
      <c r="S137" s="16"/>
      <c r="T137" s="3"/>
      <c r="U137" s="3"/>
      <c r="V137" s="3"/>
      <c r="W137" s="16"/>
      <c r="X137" s="16"/>
      <c r="Y137" s="3"/>
      <c r="Z137" s="18"/>
      <c r="AA137" s="3"/>
      <c r="AB137" s="16"/>
      <c r="AC137" s="16"/>
      <c r="AD137" s="16"/>
      <c r="AE137" s="9"/>
      <c r="AF137" s="16"/>
      <c r="AG137" s="16"/>
      <c r="AH137" s="16"/>
      <c r="AI137" s="16"/>
      <c r="AJ137" s="16"/>
      <c r="AK137" s="16"/>
      <c r="AL137" s="16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1:48" hidden="1" x14ac:dyDescent="0.25">
      <c r="A138" s="31"/>
      <c r="B138" s="31"/>
      <c r="C138" s="3"/>
      <c r="D138" s="3"/>
      <c r="E138" s="2"/>
      <c r="F138" s="3"/>
      <c r="G138" s="3"/>
      <c r="H138" s="16"/>
      <c r="I138" s="16"/>
      <c r="J138" s="3"/>
      <c r="K138" s="17"/>
      <c r="L138" s="16"/>
      <c r="M138" s="3"/>
      <c r="N138" s="3"/>
      <c r="O138" s="2"/>
      <c r="P138" s="3"/>
      <c r="Q138" s="3"/>
      <c r="R138" s="3"/>
      <c r="S138" s="16"/>
      <c r="T138" s="3"/>
      <c r="U138" s="3"/>
      <c r="V138" s="3"/>
      <c r="W138" s="16"/>
      <c r="X138" s="16"/>
      <c r="Y138" s="3"/>
      <c r="Z138" s="18"/>
      <c r="AA138" s="3"/>
      <c r="AB138" s="16"/>
      <c r="AC138" s="16"/>
      <c r="AD138" s="16"/>
      <c r="AE138" s="9"/>
      <c r="AF138" s="16"/>
      <c r="AG138" s="16"/>
      <c r="AH138" s="16"/>
      <c r="AI138" s="16"/>
      <c r="AJ138" s="16"/>
      <c r="AK138" s="16"/>
      <c r="AL138" s="16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x14ac:dyDescent="0.25">
      <c r="A139" s="15">
        <f>1+A135</f>
        <v>35</v>
      </c>
      <c r="B139" s="15"/>
      <c r="C139" s="2"/>
      <c r="D139" s="2"/>
      <c r="E139" s="24" t="str">
        <f>+AQ139</f>
        <v/>
      </c>
      <c r="F139" s="30"/>
      <c r="G139" s="24" t="str">
        <f>+AV139</f>
        <v>300100</v>
      </c>
      <c r="H139" s="16">
        <f>+AK139</f>
        <v>0</v>
      </c>
      <c r="I139" s="16">
        <f>+ROUND(AD139,2)</f>
        <v>0</v>
      </c>
      <c r="J139" s="2"/>
      <c r="K139" s="17">
        <f>+AE139</f>
        <v>0</v>
      </c>
      <c r="L139" s="16">
        <f>+AJ139</f>
        <v>0</v>
      </c>
      <c r="M139" s="32" t="s">
        <v>5</v>
      </c>
      <c r="N139" s="30"/>
      <c r="O139" s="2"/>
      <c r="P139" s="30"/>
      <c r="Q139" s="32" t="s">
        <v>0</v>
      </c>
      <c r="R139" s="24"/>
      <c r="S139" s="24" t="str">
        <f>+RIGHT(O139,7)</f>
        <v/>
      </c>
      <c r="T139" s="2"/>
      <c r="U139" s="3" t="s">
        <v>1</v>
      </c>
      <c r="V139" s="3" t="s">
        <v>3</v>
      </c>
      <c r="W139" s="16">
        <f>+AI139</f>
        <v>0</v>
      </c>
      <c r="X139" s="16">
        <f>+AJ139</f>
        <v>0</v>
      </c>
      <c r="Y139" s="3" t="s">
        <v>4</v>
      </c>
      <c r="Z139" s="18">
        <f>+F139</f>
        <v>0</v>
      </c>
      <c r="AA139" s="61"/>
      <c r="AB139" s="65"/>
      <c r="AC139" s="16">
        <f>+AB139*0.18</f>
        <v>0</v>
      </c>
      <c r="AD139" s="16">
        <f>+AB139+AC139</f>
        <v>0</v>
      </c>
      <c r="AE139" s="68"/>
      <c r="AF139" s="16">
        <f>+AB139*AE139</f>
        <v>0</v>
      </c>
      <c r="AG139" s="16">
        <f>+AC139*AE139</f>
        <v>0</v>
      </c>
      <c r="AH139" s="16">
        <f>+AD139*AE139</f>
        <v>0</v>
      </c>
      <c r="AI139" s="16">
        <f>+ROUND(AF139,2)</f>
        <v>0</v>
      </c>
      <c r="AJ139" s="16">
        <f>+ROUND(AG139,2)</f>
        <v>0</v>
      </c>
      <c r="AK139" s="16">
        <f>+AI139+AJ139</f>
        <v>0</v>
      </c>
      <c r="AL139" s="16">
        <f>+AI139+AJ139-AK139</f>
        <v>0</v>
      </c>
      <c r="AM139" s="44"/>
      <c r="AN139" s="41" t="str">
        <f>+LEFT(AM139,2)</f>
        <v/>
      </c>
      <c r="AO139" s="41" t="str">
        <f>+MID(AM139,4,2)</f>
        <v/>
      </c>
      <c r="AP139" s="41" t="str">
        <f>+RIGHT(AM139,2)</f>
        <v/>
      </c>
      <c r="AQ139" s="41" t="str">
        <f>+CONCATENATE(AN139,AO139,AP139)</f>
        <v/>
      </c>
      <c r="AR139" s="45">
        <f>+AM139+30</f>
        <v>30</v>
      </c>
      <c r="AS139" s="46">
        <f>+DAY(AR139)</f>
        <v>30</v>
      </c>
      <c r="AT139" s="41">
        <f>+MONTH(AR139)</f>
        <v>1</v>
      </c>
      <c r="AU139" s="41">
        <f>+YEAR(AR139)</f>
        <v>1900</v>
      </c>
      <c r="AV139" s="41" t="str">
        <f>+CONCATENATE(TEXT(AS139,"00"),TEXT(AT139,"00"),RIGHT(AU139,2))</f>
        <v>300100</v>
      </c>
    </row>
    <row r="140" spans="1:48" hidden="1" x14ac:dyDescent="0.25">
      <c r="A140" s="31"/>
      <c r="B140" s="31"/>
      <c r="C140" s="3"/>
      <c r="D140" s="3"/>
      <c r="E140" s="2"/>
      <c r="F140" s="3"/>
      <c r="G140" s="3"/>
      <c r="H140" s="16"/>
      <c r="I140" s="16"/>
      <c r="J140" s="3"/>
      <c r="K140" s="17"/>
      <c r="L140" s="16"/>
      <c r="M140" s="3"/>
      <c r="N140" s="3"/>
      <c r="O140" s="2"/>
      <c r="P140" s="3"/>
      <c r="Q140" s="3"/>
      <c r="R140" s="3"/>
      <c r="S140" s="16"/>
      <c r="T140" s="3"/>
      <c r="U140" s="3"/>
      <c r="V140" s="3"/>
      <c r="W140" s="16"/>
      <c r="X140" s="16"/>
      <c r="Y140" s="3"/>
      <c r="Z140" s="18"/>
      <c r="AA140" s="3"/>
      <c r="AB140" s="16"/>
      <c r="AC140" s="16"/>
      <c r="AD140" s="16"/>
      <c r="AE140" s="9"/>
      <c r="AF140" s="16"/>
      <c r="AG140" s="16"/>
      <c r="AH140" s="16"/>
      <c r="AI140" s="16"/>
      <c r="AJ140" s="16"/>
      <c r="AK140" s="16"/>
      <c r="AL140" s="16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1:48" hidden="1" x14ac:dyDescent="0.25">
      <c r="A141" s="31"/>
      <c r="B141" s="31"/>
      <c r="C141" s="3"/>
      <c r="D141" s="3"/>
      <c r="E141" s="2"/>
      <c r="F141" s="3"/>
      <c r="G141" s="3"/>
      <c r="H141" s="16"/>
      <c r="I141" s="16"/>
      <c r="J141" s="3"/>
      <c r="K141" s="17"/>
      <c r="L141" s="16"/>
      <c r="M141" s="3"/>
      <c r="N141" s="3"/>
      <c r="O141" s="2"/>
      <c r="P141" s="3"/>
      <c r="Q141" s="3"/>
      <c r="R141" s="3"/>
      <c r="S141" s="16"/>
      <c r="T141" s="3"/>
      <c r="U141" s="3"/>
      <c r="V141" s="3"/>
      <c r="W141" s="16"/>
      <c r="X141" s="16"/>
      <c r="Y141" s="3"/>
      <c r="Z141" s="18"/>
      <c r="AA141" s="3"/>
      <c r="AB141" s="16"/>
      <c r="AC141" s="16"/>
      <c r="AD141" s="16"/>
      <c r="AE141" s="9"/>
      <c r="AF141" s="16"/>
      <c r="AG141" s="16"/>
      <c r="AH141" s="16"/>
      <c r="AI141" s="16"/>
      <c r="AJ141" s="16"/>
      <c r="AK141" s="16"/>
      <c r="AL141" s="16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1:48" hidden="1" x14ac:dyDescent="0.25">
      <c r="A142" s="31"/>
      <c r="B142" s="31"/>
      <c r="C142" s="3"/>
      <c r="D142" s="3"/>
      <c r="E142" s="2"/>
      <c r="F142" s="3"/>
      <c r="G142" s="3"/>
      <c r="H142" s="16"/>
      <c r="I142" s="16"/>
      <c r="J142" s="3"/>
      <c r="K142" s="17"/>
      <c r="L142" s="16"/>
      <c r="M142" s="3"/>
      <c r="N142" s="3"/>
      <c r="O142" s="2"/>
      <c r="P142" s="3"/>
      <c r="Q142" s="3"/>
      <c r="R142" s="3"/>
      <c r="S142" s="16"/>
      <c r="T142" s="3"/>
      <c r="U142" s="3"/>
      <c r="V142" s="3"/>
      <c r="W142" s="16"/>
      <c r="X142" s="16"/>
      <c r="Y142" s="3"/>
      <c r="Z142" s="18"/>
      <c r="AA142" s="3"/>
      <c r="AB142" s="16"/>
      <c r="AC142" s="16"/>
      <c r="AD142" s="16"/>
      <c r="AE142" s="9"/>
      <c r="AF142" s="16"/>
      <c r="AG142" s="16"/>
      <c r="AH142" s="16"/>
      <c r="AI142" s="16"/>
      <c r="AJ142" s="16"/>
      <c r="AK142" s="16"/>
      <c r="AL142" s="16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1:48" x14ac:dyDescent="0.25">
      <c r="A143" s="15">
        <f>1+A139</f>
        <v>36</v>
      </c>
      <c r="B143" s="15"/>
      <c r="C143" s="2"/>
      <c r="D143" s="2"/>
      <c r="E143" s="24" t="str">
        <f>+AQ143</f>
        <v/>
      </c>
      <c r="F143" s="30"/>
      <c r="G143" s="24" t="str">
        <f>+AV143</f>
        <v>300100</v>
      </c>
      <c r="H143" s="16">
        <f>+AK143</f>
        <v>0</v>
      </c>
      <c r="I143" s="16">
        <f>+ROUND(AD143,2)</f>
        <v>0</v>
      </c>
      <c r="J143" s="2"/>
      <c r="K143" s="17">
        <f>+AE143</f>
        <v>0</v>
      </c>
      <c r="L143" s="16">
        <f>+AJ143</f>
        <v>0</v>
      </c>
      <c r="M143" s="32" t="s">
        <v>5</v>
      </c>
      <c r="N143" s="30"/>
      <c r="O143" s="2"/>
      <c r="P143" s="30"/>
      <c r="Q143" s="32" t="s">
        <v>0</v>
      </c>
      <c r="R143" s="24"/>
      <c r="S143" s="24" t="str">
        <f>+RIGHT(O143,7)</f>
        <v/>
      </c>
      <c r="T143" s="2"/>
      <c r="U143" s="3" t="s">
        <v>1</v>
      </c>
      <c r="V143" s="3" t="s">
        <v>3</v>
      </c>
      <c r="W143" s="16">
        <f>+AI143</f>
        <v>0</v>
      </c>
      <c r="X143" s="16">
        <f>+AJ143</f>
        <v>0</v>
      </c>
      <c r="Y143" s="3" t="s">
        <v>4</v>
      </c>
      <c r="Z143" s="18">
        <f>+F143</f>
        <v>0</v>
      </c>
      <c r="AA143" s="61"/>
      <c r="AB143" s="65"/>
      <c r="AC143" s="16">
        <f>+AB143*0.18</f>
        <v>0</v>
      </c>
      <c r="AD143" s="16">
        <f>+AB143+AC143</f>
        <v>0</v>
      </c>
      <c r="AE143" s="68"/>
      <c r="AF143" s="16">
        <f>+AB143*AE143</f>
        <v>0</v>
      </c>
      <c r="AG143" s="16">
        <f>+AC143*AE143</f>
        <v>0</v>
      </c>
      <c r="AH143" s="16">
        <f>+AD143*AE143</f>
        <v>0</v>
      </c>
      <c r="AI143" s="16">
        <f>+ROUND(AF143,2)</f>
        <v>0</v>
      </c>
      <c r="AJ143" s="16">
        <f>+ROUND(AG143,2)</f>
        <v>0</v>
      </c>
      <c r="AK143" s="16">
        <f>+AI143+AJ143</f>
        <v>0</v>
      </c>
      <c r="AL143" s="16">
        <f>+AI143+AJ143-AK143</f>
        <v>0</v>
      </c>
      <c r="AM143" s="44"/>
      <c r="AN143" s="41" t="str">
        <f>+LEFT(AM143,2)</f>
        <v/>
      </c>
      <c r="AO143" s="41" t="str">
        <f>+MID(AM143,4,2)</f>
        <v/>
      </c>
      <c r="AP143" s="41" t="str">
        <f>+RIGHT(AM143,2)</f>
        <v/>
      </c>
      <c r="AQ143" s="41" t="str">
        <f>+CONCATENATE(AN143,AO143,AP143)</f>
        <v/>
      </c>
      <c r="AR143" s="45">
        <f>+AM143+30</f>
        <v>30</v>
      </c>
      <c r="AS143" s="46">
        <f>+DAY(AR143)</f>
        <v>30</v>
      </c>
      <c r="AT143" s="41">
        <f>+MONTH(AR143)</f>
        <v>1</v>
      </c>
      <c r="AU143" s="41">
        <f>+YEAR(AR143)</f>
        <v>1900</v>
      </c>
      <c r="AV143" s="41" t="str">
        <f>+CONCATENATE(TEXT(AS143,"00"),TEXT(AT143,"00"),RIGHT(AU143,2))</f>
        <v>300100</v>
      </c>
    </row>
    <row r="144" spans="1:48" hidden="1" x14ac:dyDescent="0.25">
      <c r="A144" s="31"/>
      <c r="B144" s="31"/>
      <c r="C144" s="3"/>
      <c r="D144" s="3"/>
      <c r="E144" s="2"/>
      <c r="F144" s="3"/>
      <c r="G144" s="3"/>
      <c r="H144" s="16"/>
      <c r="I144" s="16"/>
      <c r="J144" s="3"/>
      <c r="K144" s="17"/>
      <c r="L144" s="16"/>
      <c r="M144" s="3"/>
      <c r="N144" s="3"/>
      <c r="O144" s="2"/>
      <c r="P144" s="3"/>
      <c r="Q144" s="3"/>
      <c r="R144" s="3"/>
      <c r="S144" s="16"/>
      <c r="T144" s="3"/>
      <c r="U144" s="3"/>
      <c r="V144" s="3"/>
      <c r="W144" s="16"/>
      <c r="X144" s="16"/>
      <c r="Y144" s="3"/>
      <c r="Z144" s="18"/>
      <c r="AA144" s="3"/>
      <c r="AB144" s="16"/>
      <c r="AC144" s="16"/>
      <c r="AD144" s="16"/>
      <c r="AE144" s="9"/>
      <c r="AF144" s="16"/>
      <c r="AG144" s="16"/>
      <c r="AH144" s="16"/>
      <c r="AI144" s="16"/>
      <c r="AJ144" s="16"/>
      <c r="AK144" s="16"/>
      <c r="AL144" s="16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1:48" hidden="1" x14ac:dyDescent="0.25">
      <c r="A145" s="31"/>
      <c r="B145" s="31"/>
      <c r="C145" s="3"/>
      <c r="D145" s="3"/>
      <c r="E145" s="2"/>
      <c r="F145" s="3"/>
      <c r="G145" s="3"/>
      <c r="H145" s="16"/>
      <c r="I145" s="16"/>
      <c r="J145" s="3"/>
      <c r="K145" s="17"/>
      <c r="L145" s="16"/>
      <c r="M145" s="3"/>
      <c r="N145" s="3"/>
      <c r="O145" s="2"/>
      <c r="P145" s="3"/>
      <c r="Q145" s="3"/>
      <c r="R145" s="3"/>
      <c r="S145" s="16"/>
      <c r="T145" s="3"/>
      <c r="U145" s="3"/>
      <c r="V145" s="3"/>
      <c r="W145" s="16"/>
      <c r="X145" s="16"/>
      <c r="Y145" s="3"/>
      <c r="Z145" s="18"/>
      <c r="AA145" s="3"/>
      <c r="AB145" s="16"/>
      <c r="AC145" s="16"/>
      <c r="AD145" s="16"/>
      <c r="AE145" s="9"/>
      <c r="AF145" s="16"/>
      <c r="AG145" s="16"/>
      <c r="AH145" s="16"/>
      <c r="AI145" s="16"/>
      <c r="AJ145" s="16"/>
      <c r="AK145" s="16"/>
      <c r="AL145" s="16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1:48" hidden="1" x14ac:dyDescent="0.25">
      <c r="A146" s="31"/>
      <c r="B146" s="31"/>
      <c r="C146" s="3"/>
      <c r="D146" s="3"/>
      <c r="E146" s="2"/>
      <c r="F146" s="3"/>
      <c r="G146" s="3"/>
      <c r="H146" s="16"/>
      <c r="I146" s="16"/>
      <c r="J146" s="3"/>
      <c r="K146" s="17"/>
      <c r="L146" s="16"/>
      <c r="M146" s="3"/>
      <c r="N146" s="3"/>
      <c r="O146" s="2"/>
      <c r="P146" s="3"/>
      <c r="Q146" s="3"/>
      <c r="R146" s="3"/>
      <c r="S146" s="16"/>
      <c r="T146" s="3"/>
      <c r="U146" s="3"/>
      <c r="V146" s="3"/>
      <c r="W146" s="16"/>
      <c r="X146" s="16"/>
      <c r="Y146" s="3"/>
      <c r="Z146" s="18"/>
      <c r="AA146" s="3"/>
      <c r="AB146" s="16"/>
      <c r="AC146" s="16"/>
      <c r="AD146" s="16"/>
      <c r="AE146" s="9"/>
      <c r="AF146" s="16"/>
      <c r="AG146" s="16"/>
      <c r="AH146" s="16"/>
      <c r="AI146" s="16"/>
      <c r="AJ146" s="16"/>
      <c r="AK146" s="16"/>
      <c r="AL146" s="16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1:48" x14ac:dyDescent="0.25">
      <c r="A147" s="15">
        <f>1+A143</f>
        <v>37</v>
      </c>
      <c r="B147" s="15"/>
      <c r="C147" s="2"/>
      <c r="D147" s="2"/>
      <c r="E147" s="24" t="str">
        <f>+AQ147</f>
        <v/>
      </c>
      <c r="F147" s="30"/>
      <c r="G147" s="24" t="str">
        <f>+AV147</f>
        <v>300100</v>
      </c>
      <c r="H147" s="16">
        <f>+AK147</f>
        <v>0</v>
      </c>
      <c r="I147" s="16">
        <f>+ROUND(AD147,2)</f>
        <v>0</v>
      </c>
      <c r="J147" s="2"/>
      <c r="K147" s="17">
        <f>+AE147</f>
        <v>0</v>
      </c>
      <c r="L147" s="16">
        <f>+AJ147</f>
        <v>0</v>
      </c>
      <c r="M147" s="32" t="s">
        <v>5</v>
      </c>
      <c r="N147" s="30"/>
      <c r="O147" s="2"/>
      <c r="P147" s="30"/>
      <c r="Q147" s="32" t="s">
        <v>0</v>
      </c>
      <c r="R147" s="24"/>
      <c r="S147" s="24" t="str">
        <f>+RIGHT(O147,7)</f>
        <v/>
      </c>
      <c r="T147" s="2"/>
      <c r="U147" s="3" t="s">
        <v>1</v>
      </c>
      <c r="V147" s="3" t="s">
        <v>3</v>
      </c>
      <c r="W147" s="16">
        <f>+AI147</f>
        <v>0</v>
      </c>
      <c r="X147" s="16">
        <f>+AJ147</f>
        <v>0</v>
      </c>
      <c r="Y147" s="3" t="s">
        <v>4</v>
      </c>
      <c r="Z147" s="18">
        <f>+F147</f>
        <v>0</v>
      </c>
      <c r="AA147" s="61"/>
      <c r="AB147" s="65"/>
      <c r="AC147" s="16">
        <f>+AB147*0.18</f>
        <v>0</v>
      </c>
      <c r="AD147" s="16">
        <f>+AB147+AC147</f>
        <v>0</v>
      </c>
      <c r="AE147" s="68"/>
      <c r="AF147" s="16">
        <f>+AB147*AE147</f>
        <v>0</v>
      </c>
      <c r="AG147" s="16">
        <f>+AC147*AE147</f>
        <v>0</v>
      </c>
      <c r="AH147" s="16">
        <f>+AD147*AE147</f>
        <v>0</v>
      </c>
      <c r="AI147" s="16">
        <f>+ROUND(AF147,2)</f>
        <v>0</v>
      </c>
      <c r="AJ147" s="16">
        <f>+ROUND(AG147,2)</f>
        <v>0</v>
      </c>
      <c r="AK147" s="16">
        <f>+AI147+AJ147</f>
        <v>0</v>
      </c>
      <c r="AL147" s="16">
        <f>+AI147+AJ147-AK147</f>
        <v>0</v>
      </c>
      <c r="AM147" s="44"/>
      <c r="AN147" s="41" t="str">
        <f>+LEFT(AM147,2)</f>
        <v/>
      </c>
      <c r="AO147" s="41" t="str">
        <f>+MID(AM147,4,2)</f>
        <v/>
      </c>
      <c r="AP147" s="41" t="str">
        <f>+RIGHT(AM147,2)</f>
        <v/>
      </c>
      <c r="AQ147" s="41" t="str">
        <f>+CONCATENATE(AN147,AO147,AP147)</f>
        <v/>
      </c>
      <c r="AR147" s="45">
        <f>+AM147+30</f>
        <v>30</v>
      </c>
      <c r="AS147" s="46">
        <f>+DAY(AR147)</f>
        <v>30</v>
      </c>
      <c r="AT147" s="41">
        <f>+MONTH(AR147)</f>
        <v>1</v>
      </c>
      <c r="AU147" s="41">
        <f>+YEAR(AR147)</f>
        <v>1900</v>
      </c>
      <c r="AV147" s="41" t="str">
        <f>+CONCATENATE(TEXT(AS147,"00"),TEXT(AT147,"00"),RIGHT(AU147,2))</f>
        <v>300100</v>
      </c>
    </row>
    <row r="148" spans="1:48" hidden="1" x14ac:dyDescent="0.25">
      <c r="A148" s="31"/>
      <c r="B148" s="31"/>
      <c r="C148" s="3"/>
      <c r="D148" s="3"/>
      <c r="E148" s="2"/>
      <c r="F148" s="3"/>
      <c r="G148" s="3"/>
      <c r="H148" s="16"/>
      <c r="I148" s="16"/>
      <c r="J148" s="3"/>
      <c r="K148" s="17"/>
      <c r="L148" s="16"/>
      <c r="M148" s="3"/>
      <c r="N148" s="3"/>
      <c r="O148" s="2"/>
      <c r="P148" s="3"/>
      <c r="Q148" s="3"/>
      <c r="R148" s="3"/>
      <c r="S148" s="16"/>
      <c r="T148" s="3"/>
      <c r="U148" s="3"/>
      <c r="V148" s="3"/>
      <c r="W148" s="16"/>
      <c r="X148" s="16"/>
      <c r="Y148" s="3"/>
      <c r="Z148" s="18"/>
      <c r="AA148" s="3"/>
      <c r="AB148" s="16"/>
      <c r="AC148" s="16"/>
      <c r="AD148" s="16"/>
      <c r="AE148" s="9"/>
      <c r="AF148" s="16"/>
      <c r="AG148" s="16"/>
      <c r="AH148" s="16"/>
      <c r="AI148" s="16"/>
      <c r="AJ148" s="16"/>
      <c r="AK148" s="16"/>
      <c r="AL148" s="16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hidden="1" x14ac:dyDescent="0.25">
      <c r="A149" s="31"/>
      <c r="B149" s="31"/>
      <c r="C149" s="3"/>
      <c r="D149" s="3"/>
      <c r="E149" s="2"/>
      <c r="F149" s="3"/>
      <c r="G149" s="3"/>
      <c r="H149" s="16"/>
      <c r="I149" s="16"/>
      <c r="J149" s="3"/>
      <c r="K149" s="17"/>
      <c r="L149" s="16"/>
      <c r="M149" s="3"/>
      <c r="N149" s="3"/>
      <c r="O149" s="2"/>
      <c r="P149" s="3"/>
      <c r="Q149" s="3"/>
      <c r="R149" s="3"/>
      <c r="S149" s="16"/>
      <c r="T149" s="3"/>
      <c r="U149" s="3"/>
      <c r="V149" s="3"/>
      <c r="W149" s="16"/>
      <c r="X149" s="16"/>
      <c r="Y149" s="3"/>
      <c r="Z149" s="18"/>
      <c r="AA149" s="3"/>
      <c r="AB149" s="16"/>
      <c r="AC149" s="16"/>
      <c r="AD149" s="16"/>
      <c r="AE149" s="9"/>
      <c r="AF149" s="16"/>
      <c r="AG149" s="16"/>
      <c r="AH149" s="16"/>
      <c r="AI149" s="16"/>
      <c r="AJ149" s="16"/>
      <c r="AK149" s="16"/>
      <c r="AL149" s="16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1:48" hidden="1" x14ac:dyDescent="0.25">
      <c r="A150" s="31"/>
      <c r="B150" s="31"/>
      <c r="C150" s="3"/>
      <c r="D150" s="3"/>
      <c r="E150" s="2"/>
      <c r="F150" s="3"/>
      <c r="G150" s="3"/>
      <c r="H150" s="16"/>
      <c r="I150" s="16"/>
      <c r="J150" s="3"/>
      <c r="K150" s="17"/>
      <c r="L150" s="16"/>
      <c r="M150" s="3"/>
      <c r="N150" s="3"/>
      <c r="O150" s="2"/>
      <c r="P150" s="3"/>
      <c r="Q150" s="3"/>
      <c r="R150" s="3"/>
      <c r="S150" s="16"/>
      <c r="T150" s="3"/>
      <c r="U150" s="3"/>
      <c r="V150" s="3"/>
      <c r="W150" s="16"/>
      <c r="X150" s="16"/>
      <c r="Y150" s="3"/>
      <c r="Z150" s="18"/>
      <c r="AA150" s="3"/>
      <c r="AB150" s="16"/>
      <c r="AC150" s="16"/>
      <c r="AD150" s="16"/>
      <c r="AE150" s="9"/>
      <c r="AF150" s="16"/>
      <c r="AG150" s="16"/>
      <c r="AH150" s="16"/>
      <c r="AI150" s="16"/>
      <c r="AJ150" s="16"/>
      <c r="AK150" s="16"/>
      <c r="AL150" s="16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1:48" x14ac:dyDescent="0.25">
      <c r="A151" s="15">
        <f>1+A147</f>
        <v>38</v>
      </c>
      <c r="B151" s="15"/>
      <c r="C151" s="2"/>
      <c r="D151" s="2"/>
      <c r="E151" s="24" t="str">
        <f>+AQ151</f>
        <v/>
      </c>
      <c r="F151" s="30"/>
      <c r="G151" s="24" t="str">
        <f>+AV151</f>
        <v>300100</v>
      </c>
      <c r="H151" s="16">
        <f>+AK151</f>
        <v>0</v>
      </c>
      <c r="I151" s="16">
        <f>+ROUND(AD151,2)</f>
        <v>0</v>
      </c>
      <c r="J151" s="2"/>
      <c r="K151" s="17">
        <f>+AE151</f>
        <v>0</v>
      </c>
      <c r="L151" s="16">
        <f>+AJ151</f>
        <v>0</v>
      </c>
      <c r="M151" s="32" t="s">
        <v>5</v>
      </c>
      <c r="N151" s="30"/>
      <c r="O151" s="2"/>
      <c r="P151" s="30"/>
      <c r="Q151" s="32" t="s">
        <v>0</v>
      </c>
      <c r="R151" s="24"/>
      <c r="S151" s="24" t="str">
        <f>+RIGHT(O151,7)</f>
        <v/>
      </c>
      <c r="T151" s="2"/>
      <c r="U151" s="3" t="s">
        <v>1</v>
      </c>
      <c r="V151" s="3" t="s">
        <v>3</v>
      </c>
      <c r="W151" s="16">
        <f>+AI151</f>
        <v>0</v>
      </c>
      <c r="X151" s="16">
        <f>+AJ151</f>
        <v>0</v>
      </c>
      <c r="Y151" s="3" t="s">
        <v>4</v>
      </c>
      <c r="Z151" s="18">
        <f>+F151</f>
        <v>0</v>
      </c>
      <c r="AA151" s="61"/>
      <c r="AB151" s="65"/>
      <c r="AC151" s="16">
        <f>+AB151*0.18</f>
        <v>0</v>
      </c>
      <c r="AD151" s="16">
        <f>+AB151+AC151</f>
        <v>0</v>
      </c>
      <c r="AE151" s="68"/>
      <c r="AF151" s="16">
        <f>+AB151*AE151</f>
        <v>0</v>
      </c>
      <c r="AG151" s="16">
        <f>+AC151*AE151</f>
        <v>0</v>
      </c>
      <c r="AH151" s="16">
        <f>+AD151*AE151</f>
        <v>0</v>
      </c>
      <c r="AI151" s="16">
        <f>+ROUND(AF151,2)</f>
        <v>0</v>
      </c>
      <c r="AJ151" s="16">
        <f>+ROUND(AG151,2)</f>
        <v>0</v>
      </c>
      <c r="AK151" s="16">
        <f>+AI151+AJ151</f>
        <v>0</v>
      </c>
      <c r="AL151" s="16">
        <f>+AI151+AJ151-AK151</f>
        <v>0</v>
      </c>
      <c r="AM151" s="44"/>
      <c r="AN151" s="41" t="str">
        <f>+LEFT(AM151,2)</f>
        <v/>
      </c>
      <c r="AO151" s="41" t="str">
        <f>+MID(AM151,4,2)</f>
        <v/>
      </c>
      <c r="AP151" s="41" t="str">
        <f>+RIGHT(AM151,2)</f>
        <v/>
      </c>
      <c r="AQ151" s="41" t="str">
        <f>+CONCATENATE(AN151,AO151,AP151)</f>
        <v/>
      </c>
      <c r="AR151" s="45">
        <f>+AM151+30</f>
        <v>30</v>
      </c>
      <c r="AS151" s="46">
        <f>+DAY(AR151)</f>
        <v>30</v>
      </c>
      <c r="AT151" s="41">
        <f>+MONTH(AR151)</f>
        <v>1</v>
      </c>
      <c r="AU151" s="41">
        <f>+YEAR(AR151)</f>
        <v>1900</v>
      </c>
      <c r="AV151" s="41" t="str">
        <f>+CONCATENATE(TEXT(AS151,"00"),TEXT(AT151,"00"),RIGHT(AU151,2))</f>
        <v>300100</v>
      </c>
    </row>
    <row r="152" spans="1:48" hidden="1" x14ac:dyDescent="0.25">
      <c r="A152" s="31"/>
      <c r="B152" s="31"/>
      <c r="C152" s="3"/>
      <c r="D152" s="3"/>
      <c r="E152" s="2"/>
      <c r="F152" s="3"/>
      <c r="G152" s="3"/>
      <c r="H152" s="16"/>
      <c r="I152" s="16"/>
      <c r="J152" s="3"/>
      <c r="K152" s="17"/>
      <c r="L152" s="16"/>
      <c r="M152" s="3"/>
      <c r="N152" s="3"/>
      <c r="O152" s="2"/>
      <c r="P152" s="3"/>
      <c r="Q152" s="3"/>
      <c r="R152" s="3"/>
      <c r="S152" s="16"/>
      <c r="T152" s="3"/>
      <c r="U152" s="3"/>
      <c r="V152" s="3"/>
      <c r="W152" s="16"/>
      <c r="X152" s="16"/>
      <c r="Y152" s="3"/>
      <c r="Z152" s="18"/>
      <c r="AA152" s="3"/>
      <c r="AB152" s="16"/>
      <c r="AC152" s="16"/>
      <c r="AD152" s="16"/>
      <c r="AE152" s="9"/>
      <c r="AF152" s="16"/>
      <c r="AG152" s="16"/>
      <c r="AH152" s="16"/>
      <c r="AI152" s="16"/>
      <c r="AJ152" s="16"/>
      <c r="AK152" s="16"/>
      <c r="AL152" s="16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1:48" hidden="1" x14ac:dyDescent="0.25">
      <c r="A153" s="31"/>
      <c r="B153" s="31"/>
      <c r="C153" s="3"/>
      <c r="D153" s="3"/>
      <c r="E153" s="2"/>
      <c r="F153" s="3"/>
      <c r="G153" s="3"/>
      <c r="H153" s="16"/>
      <c r="I153" s="16"/>
      <c r="J153" s="3"/>
      <c r="K153" s="17"/>
      <c r="L153" s="16"/>
      <c r="M153" s="3"/>
      <c r="N153" s="3"/>
      <c r="O153" s="2"/>
      <c r="P153" s="3"/>
      <c r="Q153" s="3"/>
      <c r="R153" s="3"/>
      <c r="S153" s="16"/>
      <c r="T153" s="3"/>
      <c r="U153" s="3"/>
      <c r="V153" s="3"/>
      <c r="W153" s="16"/>
      <c r="X153" s="16"/>
      <c r="Y153" s="3"/>
      <c r="Z153" s="18"/>
      <c r="AA153" s="3"/>
      <c r="AB153" s="16"/>
      <c r="AC153" s="16"/>
      <c r="AD153" s="16"/>
      <c r="AE153" s="9"/>
      <c r="AF153" s="16"/>
      <c r="AG153" s="16"/>
      <c r="AH153" s="16"/>
      <c r="AI153" s="16"/>
      <c r="AJ153" s="16"/>
      <c r="AK153" s="16"/>
      <c r="AL153" s="16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1:48" hidden="1" x14ac:dyDescent="0.25">
      <c r="A154" s="31"/>
      <c r="B154" s="31"/>
      <c r="C154" s="3"/>
      <c r="D154" s="3"/>
      <c r="E154" s="2"/>
      <c r="F154" s="3"/>
      <c r="G154" s="3"/>
      <c r="H154" s="16"/>
      <c r="I154" s="16"/>
      <c r="J154" s="3"/>
      <c r="K154" s="17"/>
      <c r="L154" s="16"/>
      <c r="M154" s="3"/>
      <c r="N154" s="3"/>
      <c r="O154" s="2"/>
      <c r="P154" s="3"/>
      <c r="Q154" s="3"/>
      <c r="R154" s="3"/>
      <c r="S154" s="16"/>
      <c r="T154" s="3"/>
      <c r="U154" s="3"/>
      <c r="V154" s="3"/>
      <c r="W154" s="16"/>
      <c r="X154" s="16"/>
      <c r="Y154" s="3"/>
      <c r="Z154" s="18"/>
      <c r="AA154" s="3"/>
      <c r="AB154" s="16"/>
      <c r="AC154" s="16"/>
      <c r="AD154" s="16"/>
      <c r="AE154" s="9"/>
      <c r="AF154" s="16"/>
      <c r="AG154" s="16"/>
      <c r="AH154" s="16"/>
      <c r="AI154" s="16"/>
      <c r="AJ154" s="16"/>
      <c r="AK154" s="16"/>
      <c r="AL154" s="16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1:48" x14ac:dyDescent="0.25">
      <c r="A155" s="15">
        <f>1+A151</f>
        <v>39</v>
      </c>
      <c r="B155" s="15"/>
      <c r="C155" s="2"/>
      <c r="D155" s="2"/>
      <c r="E155" s="24" t="str">
        <f>+AQ155</f>
        <v/>
      </c>
      <c r="F155" s="30"/>
      <c r="G155" s="24" t="str">
        <f>+AV155</f>
        <v>300100</v>
      </c>
      <c r="H155" s="16">
        <f>+AK155</f>
        <v>0</v>
      </c>
      <c r="I155" s="16">
        <f>+ROUND(AD155,2)</f>
        <v>0</v>
      </c>
      <c r="J155" s="2"/>
      <c r="K155" s="17">
        <f>+AE155</f>
        <v>0</v>
      </c>
      <c r="L155" s="16">
        <f>+AJ155</f>
        <v>0</v>
      </c>
      <c r="M155" s="32" t="s">
        <v>5</v>
      </c>
      <c r="N155" s="30"/>
      <c r="O155" s="2"/>
      <c r="P155" s="30"/>
      <c r="Q155" s="32" t="s">
        <v>0</v>
      </c>
      <c r="R155" s="24"/>
      <c r="S155" s="24" t="str">
        <f>+RIGHT(O155,7)</f>
        <v/>
      </c>
      <c r="T155" s="2"/>
      <c r="U155" s="3" t="s">
        <v>1</v>
      </c>
      <c r="V155" s="3" t="s">
        <v>3</v>
      </c>
      <c r="W155" s="16">
        <f>+AI155</f>
        <v>0</v>
      </c>
      <c r="X155" s="16">
        <f>+AJ155</f>
        <v>0</v>
      </c>
      <c r="Y155" s="3" t="s">
        <v>4</v>
      </c>
      <c r="Z155" s="18">
        <f>+F155</f>
        <v>0</v>
      </c>
      <c r="AA155" s="61"/>
      <c r="AB155" s="65"/>
      <c r="AC155" s="16">
        <f>+AB155*0.18</f>
        <v>0</v>
      </c>
      <c r="AD155" s="16">
        <f>+AB155+AC155</f>
        <v>0</v>
      </c>
      <c r="AE155" s="68"/>
      <c r="AF155" s="16">
        <f>+AB155*AE155</f>
        <v>0</v>
      </c>
      <c r="AG155" s="16">
        <f>+AC155*AE155</f>
        <v>0</v>
      </c>
      <c r="AH155" s="16">
        <f>+AD155*AE155</f>
        <v>0</v>
      </c>
      <c r="AI155" s="16">
        <f>+ROUND(AF155,2)</f>
        <v>0</v>
      </c>
      <c r="AJ155" s="16">
        <f>+ROUND(AG155,2)</f>
        <v>0</v>
      </c>
      <c r="AK155" s="16">
        <f>+AI155+AJ155</f>
        <v>0</v>
      </c>
      <c r="AL155" s="16">
        <f>+AI155+AJ155-AK155</f>
        <v>0</v>
      </c>
      <c r="AM155" s="44"/>
      <c r="AN155" s="41" t="str">
        <f>+LEFT(AM155,2)</f>
        <v/>
      </c>
      <c r="AO155" s="41" t="str">
        <f>+MID(AM155,4,2)</f>
        <v/>
      </c>
      <c r="AP155" s="41" t="str">
        <f>+RIGHT(AM155,2)</f>
        <v/>
      </c>
      <c r="AQ155" s="41" t="str">
        <f>+CONCATENATE(AN155,AO155,AP155)</f>
        <v/>
      </c>
      <c r="AR155" s="45">
        <f>+AM155+30</f>
        <v>30</v>
      </c>
      <c r="AS155" s="46">
        <f>+DAY(AR155)</f>
        <v>30</v>
      </c>
      <c r="AT155" s="41">
        <f>+MONTH(AR155)</f>
        <v>1</v>
      </c>
      <c r="AU155" s="41">
        <f>+YEAR(AR155)</f>
        <v>1900</v>
      </c>
      <c r="AV155" s="41" t="str">
        <f>+CONCATENATE(TEXT(AS155,"00"),TEXT(AT155,"00"),RIGHT(AU155,2))</f>
        <v>300100</v>
      </c>
    </row>
    <row r="156" spans="1:48" hidden="1" x14ac:dyDescent="0.25">
      <c r="A156" s="31"/>
      <c r="B156" s="31"/>
      <c r="C156" s="3"/>
      <c r="D156" s="3"/>
      <c r="E156" s="2"/>
      <c r="F156" s="3"/>
      <c r="G156" s="3"/>
      <c r="H156" s="16"/>
      <c r="I156" s="16"/>
      <c r="J156" s="3"/>
      <c r="K156" s="17"/>
      <c r="L156" s="16"/>
      <c r="M156" s="3"/>
      <c r="N156" s="3"/>
      <c r="O156" s="2"/>
      <c r="P156" s="3"/>
      <c r="Q156" s="3"/>
      <c r="R156" s="3"/>
      <c r="S156" s="16"/>
      <c r="T156" s="3"/>
      <c r="U156" s="3"/>
      <c r="V156" s="3"/>
      <c r="W156" s="16"/>
      <c r="X156" s="16"/>
      <c r="Y156" s="3"/>
      <c r="Z156" s="18"/>
      <c r="AA156" s="3"/>
      <c r="AB156" s="16"/>
      <c r="AC156" s="16"/>
      <c r="AD156" s="16"/>
      <c r="AE156" s="9"/>
      <c r="AF156" s="16"/>
      <c r="AG156" s="16"/>
      <c r="AH156" s="16"/>
      <c r="AI156" s="16"/>
      <c r="AJ156" s="16"/>
      <c r="AK156" s="16"/>
      <c r="AL156" s="16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1:48" hidden="1" x14ac:dyDescent="0.25">
      <c r="A157" s="31"/>
      <c r="B157" s="31"/>
      <c r="C157" s="3"/>
      <c r="D157" s="3"/>
      <c r="E157" s="2"/>
      <c r="F157" s="3"/>
      <c r="G157" s="3"/>
      <c r="H157" s="16"/>
      <c r="I157" s="16"/>
      <c r="J157" s="3"/>
      <c r="K157" s="17"/>
      <c r="L157" s="16"/>
      <c r="M157" s="3"/>
      <c r="N157" s="3"/>
      <c r="O157" s="2"/>
      <c r="P157" s="3"/>
      <c r="Q157" s="3"/>
      <c r="R157" s="3"/>
      <c r="S157" s="16"/>
      <c r="T157" s="3"/>
      <c r="U157" s="3"/>
      <c r="V157" s="3"/>
      <c r="W157" s="16"/>
      <c r="X157" s="16"/>
      <c r="Y157" s="3"/>
      <c r="Z157" s="18"/>
      <c r="AA157" s="3"/>
      <c r="AB157" s="16"/>
      <c r="AC157" s="16"/>
      <c r="AD157" s="16"/>
      <c r="AE157" s="9"/>
      <c r="AF157" s="16"/>
      <c r="AG157" s="16"/>
      <c r="AH157" s="16"/>
      <c r="AI157" s="16"/>
      <c r="AJ157" s="16"/>
      <c r="AK157" s="16"/>
      <c r="AL157" s="16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1:48" hidden="1" x14ac:dyDescent="0.25">
      <c r="A158" s="31"/>
      <c r="B158" s="31"/>
      <c r="C158" s="3"/>
      <c r="D158" s="3"/>
      <c r="E158" s="2"/>
      <c r="F158" s="3"/>
      <c r="G158" s="3"/>
      <c r="H158" s="16"/>
      <c r="I158" s="16"/>
      <c r="J158" s="3"/>
      <c r="K158" s="17"/>
      <c r="L158" s="16"/>
      <c r="M158" s="3"/>
      <c r="N158" s="3"/>
      <c r="O158" s="2"/>
      <c r="P158" s="3"/>
      <c r="Q158" s="3"/>
      <c r="R158" s="3"/>
      <c r="S158" s="16"/>
      <c r="T158" s="3"/>
      <c r="U158" s="3"/>
      <c r="V158" s="3"/>
      <c r="W158" s="16"/>
      <c r="X158" s="16"/>
      <c r="Y158" s="3"/>
      <c r="Z158" s="18"/>
      <c r="AA158" s="3"/>
      <c r="AB158" s="16"/>
      <c r="AC158" s="16"/>
      <c r="AD158" s="16"/>
      <c r="AE158" s="9"/>
      <c r="AF158" s="16"/>
      <c r="AG158" s="16"/>
      <c r="AH158" s="16"/>
      <c r="AI158" s="16"/>
      <c r="AJ158" s="16"/>
      <c r="AK158" s="16"/>
      <c r="AL158" s="16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x14ac:dyDescent="0.25">
      <c r="A159" s="15">
        <f>1+A155</f>
        <v>40</v>
      </c>
      <c r="B159" s="15"/>
      <c r="C159" s="2"/>
      <c r="D159" s="2"/>
      <c r="E159" s="24" t="str">
        <f>+AQ159</f>
        <v/>
      </c>
      <c r="F159" s="30"/>
      <c r="G159" s="24" t="str">
        <f>+AV159</f>
        <v>300100</v>
      </c>
      <c r="H159" s="16">
        <f>+AK159</f>
        <v>0</v>
      </c>
      <c r="I159" s="16">
        <f>+ROUND(AD159,2)</f>
        <v>0</v>
      </c>
      <c r="J159" s="2"/>
      <c r="K159" s="17">
        <f>+AE159</f>
        <v>0</v>
      </c>
      <c r="L159" s="16">
        <f>+AJ159</f>
        <v>0</v>
      </c>
      <c r="M159" s="32" t="s">
        <v>5</v>
      </c>
      <c r="N159" s="30"/>
      <c r="O159" s="2"/>
      <c r="P159" s="30"/>
      <c r="Q159" s="32" t="s">
        <v>0</v>
      </c>
      <c r="R159" s="24"/>
      <c r="S159" s="24" t="str">
        <f>+RIGHT(O159,7)</f>
        <v/>
      </c>
      <c r="T159" s="2"/>
      <c r="U159" s="3" t="s">
        <v>1</v>
      </c>
      <c r="V159" s="3" t="s">
        <v>3</v>
      </c>
      <c r="W159" s="16">
        <f>+AI159</f>
        <v>0</v>
      </c>
      <c r="X159" s="16">
        <f>+AJ159</f>
        <v>0</v>
      </c>
      <c r="Y159" s="3" t="s">
        <v>4</v>
      </c>
      <c r="Z159" s="18">
        <f>+F159</f>
        <v>0</v>
      </c>
      <c r="AA159" s="61"/>
      <c r="AB159" s="65"/>
      <c r="AC159" s="16">
        <f>+AB159*0.18</f>
        <v>0</v>
      </c>
      <c r="AD159" s="16">
        <f>+AB159+AC159</f>
        <v>0</v>
      </c>
      <c r="AE159" s="68"/>
      <c r="AF159" s="16">
        <f>+AB159*AE159</f>
        <v>0</v>
      </c>
      <c r="AG159" s="16">
        <f>+AC159*AE159</f>
        <v>0</v>
      </c>
      <c r="AH159" s="16">
        <f>+AD159*AE159</f>
        <v>0</v>
      </c>
      <c r="AI159" s="16">
        <f>+ROUND(AF159,2)</f>
        <v>0</v>
      </c>
      <c r="AJ159" s="16">
        <f>+ROUND(AG159,2)</f>
        <v>0</v>
      </c>
      <c r="AK159" s="16">
        <f>+AI159+AJ159</f>
        <v>0</v>
      </c>
      <c r="AL159" s="16">
        <f>+AI159+AJ159-AK159</f>
        <v>0</v>
      </c>
      <c r="AM159" s="44"/>
      <c r="AN159" s="41" t="str">
        <f>+LEFT(AM159,2)</f>
        <v/>
      </c>
      <c r="AO159" s="41" t="str">
        <f>+MID(AM159,4,2)</f>
        <v/>
      </c>
      <c r="AP159" s="41" t="str">
        <f>+RIGHT(AM159,2)</f>
        <v/>
      </c>
      <c r="AQ159" s="41" t="str">
        <f>+CONCATENATE(AN159,AO159,AP159)</f>
        <v/>
      </c>
      <c r="AR159" s="45">
        <f>+AM159+30</f>
        <v>30</v>
      </c>
      <c r="AS159" s="46">
        <f>+DAY(AR159)</f>
        <v>30</v>
      </c>
      <c r="AT159" s="41">
        <f>+MONTH(AR159)</f>
        <v>1</v>
      </c>
      <c r="AU159" s="41">
        <f>+YEAR(AR159)</f>
        <v>1900</v>
      </c>
      <c r="AV159" s="41" t="str">
        <f>+CONCATENATE(TEXT(AS159,"00"),TEXT(AT159,"00"),RIGHT(AU159,2))</f>
        <v>300100</v>
      </c>
    </row>
    <row r="160" spans="1:48" hidden="1" x14ac:dyDescent="0.25">
      <c r="A160" s="31"/>
      <c r="B160" s="31"/>
      <c r="C160" s="3"/>
      <c r="D160" s="3"/>
      <c r="E160" s="2"/>
      <c r="F160" s="3"/>
      <c r="G160" s="3"/>
      <c r="H160" s="16"/>
      <c r="I160" s="16"/>
      <c r="J160" s="3"/>
      <c r="K160" s="17"/>
      <c r="L160" s="16"/>
      <c r="M160" s="3"/>
      <c r="N160" s="3"/>
      <c r="O160" s="2"/>
      <c r="P160" s="3"/>
      <c r="Q160" s="3"/>
      <c r="R160" s="3"/>
      <c r="S160" s="16"/>
      <c r="T160" s="3"/>
      <c r="U160" s="3"/>
      <c r="V160" s="3"/>
      <c r="W160" s="16"/>
      <c r="X160" s="16"/>
      <c r="Y160" s="3"/>
      <c r="Z160" s="18"/>
      <c r="AA160" s="3"/>
      <c r="AB160" s="16"/>
      <c r="AC160" s="16"/>
      <c r="AD160" s="16"/>
      <c r="AE160" s="9"/>
      <c r="AF160" s="16"/>
      <c r="AG160" s="16"/>
      <c r="AH160" s="16"/>
      <c r="AI160" s="16"/>
      <c r="AJ160" s="16"/>
      <c r="AK160" s="16"/>
      <c r="AL160" s="16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1:48" hidden="1" x14ac:dyDescent="0.25">
      <c r="A161" s="31"/>
      <c r="B161" s="31"/>
      <c r="C161" s="3"/>
      <c r="D161" s="3"/>
      <c r="E161" s="2"/>
      <c r="F161" s="3"/>
      <c r="G161" s="3"/>
      <c r="H161" s="16"/>
      <c r="I161" s="16"/>
      <c r="J161" s="3"/>
      <c r="K161" s="17"/>
      <c r="L161" s="16"/>
      <c r="M161" s="3"/>
      <c r="N161" s="3"/>
      <c r="O161" s="2"/>
      <c r="P161" s="3"/>
      <c r="Q161" s="3"/>
      <c r="R161" s="3"/>
      <c r="S161" s="16"/>
      <c r="T161" s="3"/>
      <c r="U161" s="3"/>
      <c r="V161" s="3"/>
      <c r="W161" s="16"/>
      <c r="X161" s="16"/>
      <c r="Y161" s="3"/>
      <c r="Z161" s="18"/>
      <c r="AA161" s="3"/>
      <c r="AB161" s="16"/>
      <c r="AC161" s="16"/>
      <c r="AD161" s="16"/>
      <c r="AE161" s="9"/>
      <c r="AF161" s="16"/>
      <c r="AG161" s="16"/>
      <c r="AH161" s="16"/>
      <c r="AI161" s="16"/>
      <c r="AJ161" s="16"/>
      <c r="AK161" s="16"/>
      <c r="AL161" s="16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1:48" hidden="1" x14ac:dyDescent="0.25">
      <c r="A162" s="31"/>
      <c r="B162" s="31"/>
      <c r="C162" s="3"/>
      <c r="D162" s="3"/>
      <c r="E162" s="2"/>
      <c r="F162" s="3"/>
      <c r="G162" s="3"/>
      <c r="H162" s="16"/>
      <c r="I162" s="16"/>
      <c r="J162" s="3"/>
      <c r="K162" s="17"/>
      <c r="L162" s="16"/>
      <c r="M162" s="3"/>
      <c r="N162" s="3"/>
      <c r="O162" s="2"/>
      <c r="P162" s="3"/>
      <c r="Q162" s="3"/>
      <c r="R162" s="3"/>
      <c r="S162" s="16"/>
      <c r="T162" s="3"/>
      <c r="U162" s="3"/>
      <c r="V162" s="3"/>
      <c r="W162" s="16"/>
      <c r="X162" s="16"/>
      <c r="Y162" s="3"/>
      <c r="Z162" s="18"/>
      <c r="AA162" s="3"/>
      <c r="AB162" s="16"/>
      <c r="AC162" s="16"/>
      <c r="AD162" s="16"/>
      <c r="AE162" s="9"/>
      <c r="AF162" s="16"/>
      <c r="AG162" s="16"/>
      <c r="AH162" s="16"/>
      <c r="AI162" s="16"/>
      <c r="AJ162" s="16"/>
      <c r="AK162" s="16"/>
      <c r="AL162" s="16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1:48" x14ac:dyDescent="0.25">
      <c r="A163" s="15">
        <f>1+A159</f>
        <v>41</v>
      </c>
      <c r="B163" s="15"/>
      <c r="C163" s="2"/>
      <c r="D163" s="2"/>
      <c r="E163" s="24" t="str">
        <f>+AQ163</f>
        <v/>
      </c>
      <c r="F163" s="30"/>
      <c r="G163" s="24" t="str">
        <f>+AV163</f>
        <v>300100</v>
      </c>
      <c r="H163" s="16">
        <f>+AK163</f>
        <v>0</v>
      </c>
      <c r="I163" s="16">
        <f>+ROUND(AD163,2)</f>
        <v>0</v>
      </c>
      <c r="J163" s="2"/>
      <c r="K163" s="17">
        <f>+AE163</f>
        <v>0</v>
      </c>
      <c r="L163" s="16">
        <f>+AJ163</f>
        <v>0</v>
      </c>
      <c r="M163" s="32" t="s">
        <v>5</v>
      </c>
      <c r="N163" s="30"/>
      <c r="O163" s="2"/>
      <c r="P163" s="30"/>
      <c r="Q163" s="32" t="s">
        <v>0</v>
      </c>
      <c r="R163" s="24"/>
      <c r="S163" s="24" t="str">
        <f>+RIGHT(O163,7)</f>
        <v/>
      </c>
      <c r="T163" s="2"/>
      <c r="U163" s="3" t="s">
        <v>1</v>
      </c>
      <c r="V163" s="3" t="s">
        <v>3</v>
      </c>
      <c r="W163" s="16">
        <f>+AI163</f>
        <v>0</v>
      </c>
      <c r="X163" s="16">
        <f>+AJ163</f>
        <v>0</v>
      </c>
      <c r="Y163" s="3" t="s">
        <v>4</v>
      </c>
      <c r="Z163" s="18">
        <f>+F163</f>
        <v>0</v>
      </c>
      <c r="AA163" s="61"/>
      <c r="AB163" s="65"/>
      <c r="AC163" s="16">
        <f>+AB163*0.18</f>
        <v>0</v>
      </c>
      <c r="AD163" s="16">
        <f>+AB163+AC163</f>
        <v>0</v>
      </c>
      <c r="AE163" s="68"/>
      <c r="AF163" s="16">
        <f>+AB163*AE163</f>
        <v>0</v>
      </c>
      <c r="AG163" s="16">
        <f>+AC163*AE163</f>
        <v>0</v>
      </c>
      <c r="AH163" s="16">
        <f>+AD163*AE163</f>
        <v>0</v>
      </c>
      <c r="AI163" s="16">
        <f>+ROUND(AF163,2)</f>
        <v>0</v>
      </c>
      <c r="AJ163" s="16">
        <f>+ROUND(AG163,2)</f>
        <v>0</v>
      </c>
      <c r="AK163" s="16">
        <f>+AI163+AJ163</f>
        <v>0</v>
      </c>
      <c r="AL163" s="16">
        <f>+AI163+AJ163-AK163</f>
        <v>0</v>
      </c>
      <c r="AM163" s="44"/>
      <c r="AN163" s="41" t="str">
        <f>+LEFT(AM163,2)</f>
        <v/>
      </c>
      <c r="AO163" s="41" t="str">
        <f>+MID(AM163,4,2)</f>
        <v/>
      </c>
      <c r="AP163" s="41" t="str">
        <f>+RIGHT(AM163,2)</f>
        <v/>
      </c>
      <c r="AQ163" s="41" t="str">
        <f>+CONCATENATE(AN163,AO163,AP163)</f>
        <v/>
      </c>
      <c r="AR163" s="45">
        <f>+AM163+30</f>
        <v>30</v>
      </c>
      <c r="AS163" s="46">
        <f>+DAY(AR163)</f>
        <v>30</v>
      </c>
      <c r="AT163" s="41">
        <f>+MONTH(AR163)</f>
        <v>1</v>
      </c>
      <c r="AU163" s="41">
        <f>+YEAR(AR163)</f>
        <v>1900</v>
      </c>
      <c r="AV163" s="41" t="str">
        <f>+CONCATENATE(TEXT(AS163,"00"),TEXT(AT163,"00"),RIGHT(AU163,2))</f>
        <v>300100</v>
      </c>
    </row>
    <row r="164" spans="1:48" hidden="1" x14ac:dyDescent="0.25">
      <c r="A164" s="31"/>
      <c r="B164" s="31"/>
      <c r="C164" s="3"/>
      <c r="D164" s="3"/>
      <c r="E164" s="2"/>
      <c r="F164" s="3"/>
      <c r="G164" s="3"/>
      <c r="H164" s="16"/>
      <c r="I164" s="16"/>
      <c r="J164" s="3"/>
      <c r="K164" s="17"/>
      <c r="L164" s="16"/>
      <c r="M164" s="3"/>
      <c r="N164" s="3"/>
      <c r="O164" s="2"/>
      <c r="P164" s="3"/>
      <c r="Q164" s="3"/>
      <c r="R164" s="3"/>
      <c r="S164" s="16"/>
      <c r="T164" s="3"/>
      <c r="U164" s="3"/>
      <c r="V164" s="3"/>
      <c r="W164" s="16"/>
      <c r="X164" s="16"/>
      <c r="Y164" s="3"/>
      <c r="Z164" s="18"/>
      <c r="AA164" s="3"/>
      <c r="AB164" s="16"/>
      <c r="AC164" s="16"/>
      <c r="AD164" s="16"/>
      <c r="AE164" s="9"/>
      <c r="AF164" s="16"/>
      <c r="AG164" s="16"/>
      <c r="AH164" s="16"/>
      <c r="AI164" s="16"/>
      <c r="AJ164" s="16"/>
      <c r="AK164" s="16"/>
      <c r="AL164" s="16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1:48" hidden="1" x14ac:dyDescent="0.25">
      <c r="A165" s="31"/>
      <c r="B165" s="31"/>
      <c r="C165" s="3"/>
      <c r="D165" s="3"/>
      <c r="E165" s="2"/>
      <c r="F165" s="3"/>
      <c r="G165" s="3"/>
      <c r="H165" s="16"/>
      <c r="I165" s="16"/>
      <c r="J165" s="3"/>
      <c r="K165" s="17"/>
      <c r="L165" s="16"/>
      <c r="M165" s="3"/>
      <c r="N165" s="3"/>
      <c r="O165" s="2"/>
      <c r="P165" s="3"/>
      <c r="Q165" s="3"/>
      <c r="R165" s="3"/>
      <c r="S165" s="16"/>
      <c r="T165" s="3"/>
      <c r="U165" s="3"/>
      <c r="V165" s="3"/>
      <c r="W165" s="16"/>
      <c r="X165" s="16"/>
      <c r="Y165" s="3"/>
      <c r="Z165" s="18"/>
      <c r="AA165" s="3"/>
      <c r="AB165" s="16"/>
      <c r="AC165" s="16"/>
      <c r="AD165" s="16"/>
      <c r="AE165" s="9"/>
      <c r="AF165" s="16"/>
      <c r="AG165" s="16"/>
      <c r="AH165" s="16"/>
      <c r="AI165" s="16"/>
      <c r="AJ165" s="16"/>
      <c r="AK165" s="16"/>
      <c r="AL165" s="16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1:48" hidden="1" x14ac:dyDescent="0.25">
      <c r="A166" s="31"/>
      <c r="B166" s="31"/>
      <c r="C166" s="3"/>
      <c r="D166" s="3"/>
      <c r="E166" s="2"/>
      <c r="F166" s="3"/>
      <c r="G166" s="3"/>
      <c r="H166" s="16"/>
      <c r="I166" s="16"/>
      <c r="J166" s="3"/>
      <c r="K166" s="17"/>
      <c r="L166" s="16"/>
      <c r="M166" s="3"/>
      <c r="N166" s="3"/>
      <c r="O166" s="2"/>
      <c r="P166" s="3"/>
      <c r="Q166" s="3"/>
      <c r="R166" s="3"/>
      <c r="S166" s="16"/>
      <c r="T166" s="3"/>
      <c r="U166" s="3"/>
      <c r="V166" s="3"/>
      <c r="W166" s="16"/>
      <c r="X166" s="16"/>
      <c r="Y166" s="3"/>
      <c r="Z166" s="18"/>
      <c r="AA166" s="3"/>
      <c r="AB166" s="16"/>
      <c r="AC166" s="16"/>
      <c r="AD166" s="16"/>
      <c r="AE166" s="9"/>
      <c r="AF166" s="16"/>
      <c r="AG166" s="16"/>
      <c r="AH166" s="16"/>
      <c r="AI166" s="16"/>
      <c r="AJ166" s="16"/>
      <c r="AK166" s="16"/>
      <c r="AL166" s="16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1:48" x14ac:dyDescent="0.25">
      <c r="A167" s="15">
        <f>1+A163</f>
        <v>42</v>
      </c>
      <c r="B167" s="15"/>
      <c r="C167" s="2"/>
      <c r="D167" s="2"/>
      <c r="E167" s="24" t="str">
        <f>+AQ167</f>
        <v/>
      </c>
      <c r="F167" s="30"/>
      <c r="G167" s="24" t="str">
        <f>+AV167</f>
        <v>300100</v>
      </c>
      <c r="H167" s="16">
        <f>+AK167</f>
        <v>0</v>
      </c>
      <c r="I167" s="16">
        <f>+ROUND(AD167,2)</f>
        <v>0</v>
      </c>
      <c r="J167" s="2"/>
      <c r="K167" s="17">
        <f>+AE167</f>
        <v>0</v>
      </c>
      <c r="L167" s="16">
        <f>+AJ167</f>
        <v>0</v>
      </c>
      <c r="M167" s="32" t="s">
        <v>5</v>
      </c>
      <c r="N167" s="30"/>
      <c r="O167" s="2"/>
      <c r="P167" s="30"/>
      <c r="Q167" s="32" t="s">
        <v>0</v>
      </c>
      <c r="R167" s="24"/>
      <c r="S167" s="24" t="str">
        <f>+RIGHT(O167,7)</f>
        <v/>
      </c>
      <c r="T167" s="2"/>
      <c r="U167" s="3" t="s">
        <v>1</v>
      </c>
      <c r="V167" s="3" t="s">
        <v>3</v>
      </c>
      <c r="W167" s="16">
        <f>+AI167</f>
        <v>0</v>
      </c>
      <c r="X167" s="16">
        <f>+AJ167</f>
        <v>0</v>
      </c>
      <c r="Y167" s="3" t="s">
        <v>4</v>
      </c>
      <c r="Z167" s="18">
        <f>+F167</f>
        <v>0</v>
      </c>
      <c r="AA167" s="61"/>
      <c r="AB167" s="65"/>
      <c r="AC167" s="16">
        <f>+AB167*0.18</f>
        <v>0</v>
      </c>
      <c r="AD167" s="16">
        <f>+AB167+AC167</f>
        <v>0</v>
      </c>
      <c r="AE167" s="68"/>
      <c r="AF167" s="16">
        <f>+AB167*AE167</f>
        <v>0</v>
      </c>
      <c r="AG167" s="16">
        <f>+AC167*AE167</f>
        <v>0</v>
      </c>
      <c r="AH167" s="16">
        <f>+AD167*AE167</f>
        <v>0</v>
      </c>
      <c r="AI167" s="16">
        <f>+ROUND(AF167,2)</f>
        <v>0</v>
      </c>
      <c r="AJ167" s="16">
        <f>+ROUND(AG167,2)</f>
        <v>0</v>
      </c>
      <c r="AK167" s="16">
        <f>+AI167+AJ167</f>
        <v>0</v>
      </c>
      <c r="AL167" s="16">
        <f>+AI167+AJ167-AK167</f>
        <v>0</v>
      </c>
      <c r="AM167" s="44"/>
      <c r="AN167" s="41" t="str">
        <f>+LEFT(AM167,2)</f>
        <v/>
      </c>
      <c r="AO167" s="41" t="str">
        <f>+MID(AM167,4,2)</f>
        <v/>
      </c>
      <c r="AP167" s="41" t="str">
        <f>+RIGHT(AM167,2)</f>
        <v/>
      </c>
      <c r="AQ167" s="41" t="str">
        <f>+CONCATENATE(AN167,AO167,AP167)</f>
        <v/>
      </c>
      <c r="AR167" s="45">
        <f>+AM167+30</f>
        <v>30</v>
      </c>
      <c r="AS167" s="46">
        <f>+DAY(AR167)</f>
        <v>30</v>
      </c>
      <c r="AT167" s="41">
        <f>+MONTH(AR167)</f>
        <v>1</v>
      </c>
      <c r="AU167" s="41">
        <f>+YEAR(AR167)</f>
        <v>1900</v>
      </c>
      <c r="AV167" s="41" t="str">
        <f>+CONCATENATE(TEXT(AS167,"00"),TEXT(AT167,"00"),RIGHT(AU167,2))</f>
        <v>300100</v>
      </c>
    </row>
    <row r="168" spans="1:48" hidden="1" x14ac:dyDescent="0.25">
      <c r="A168" s="31"/>
      <c r="B168" s="31"/>
      <c r="C168" s="3"/>
      <c r="D168" s="3"/>
      <c r="E168" s="2"/>
      <c r="F168" s="3"/>
      <c r="G168" s="3"/>
      <c r="H168" s="16"/>
      <c r="I168" s="16"/>
      <c r="J168" s="3"/>
      <c r="K168" s="17"/>
      <c r="L168" s="16"/>
      <c r="M168" s="3"/>
      <c r="N168" s="3"/>
      <c r="O168" s="2"/>
      <c r="P168" s="3"/>
      <c r="Q168" s="3"/>
      <c r="R168" s="3"/>
      <c r="S168" s="16"/>
      <c r="T168" s="3"/>
      <c r="U168" s="3"/>
      <c r="V168" s="3"/>
      <c r="W168" s="16"/>
      <c r="X168" s="16"/>
      <c r="Y168" s="3"/>
      <c r="Z168" s="18"/>
      <c r="AA168" s="3"/>
      <c r="AB168" s="16"/>
      <c r="AC168" s="16"/>
      <c r="AD168" s="16"/>
      <c r="AE168" s="9"/>
      <c r="AF168" s="16"/>
      <c r="AG168" s="16"/>
      <c r="AH168" s="16"/>
      <c r="AI168" s="16"/>
      <c r="AJ168" s="16"/>
      <c r="AK168" s="16"/>
      <c r="AL168" s="16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1:48" hidden="1" x14ac:dyDescent="0.25">
      <c r="A169" s="31"/>
      <c r="B169" s="31"/>
      <c r="C169" s="3"/>
      <c r="D169" s="3"/>
      <c r="E169" s="2"/>
      <c r="F169" s="3"/>
      <c r="G169" s="3"/>
      <c r="H169" s="16"/>
      <c r="I169" s="16"/>
      <c r="J169" s="3"/>
      <c r="K169" s="17"/>
      <c r="L169" s="16"/>
      <c r="M169" s="3"/>
      <c r="N169" s="3"/>
      <c r="O169" s="2"/>
      <c r="P169" s="3"/>
      <c r="Q169" s="3"/>
      <c r="R169" s="3"/>
      <c r="S169" s="16"/>
      <c r="T169" s="3"/>
      <c r="U169" s="3"/>
      <c r="V169" s="3"/>
      <c r="W169" s="16"/>
      <c r="X169" s="16"/>
      <c r="Y169" s="3"/>
      <c r="Z169" s="18"/>
      <c r="AA169" s="3"/>
      <c r="AB169" s="16"/>
      <c r="AC169" s="16"/>
      <c r="AD169" s="16"/>
      <c r="AE169" s="9"/>
      <c r="AF169" s="16"/>
      <c r="AG169" s="16"/>
      <c r="AH169" s="16"/>
      <c r="AI169" s="16"/>
      <c r="AJ169" s="16"/>
      <c r="AK169" s="16"/>
      <c r="AL169" s="16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1:48" hidden="1" x14ac:dyDescent="0.25">
      <c r="A170" s="31"/>
      <c r="B170" s="31"/>
      <c r="C170" s="3"/>
      <c r="D170" s="3"/>
      <c r="E170" s="2"/>
      <c r="F170" s="3"/>
      <c r="G170" s="3"/>
      <c r="H170" s="16"/>
      <c r="I170" s="16"/>
      <c r="J170" s="3"/>
      <c r="K170" s="17"/>
      <c r="L170" s="16"/>
      <c r="M170" s="3"/>
      <c r="N170" s="3"/>
      <c r="O170" s="2"/>
      <c r="P170" s="3"/>
      <c r="Q170" s="3"/>
      <c r="R170" s="3"/>
      <c r="S170" s="16"/>
      <c r="T170" s="3"/>
      <c r="U170" s="3"/>
      <c r="V170" s="3"/>
      <c r="W170" s="16"/>
      <c r="X170" s="16"/>
      <c r="Y170" s="3"/>
      <c r="Z170" s="18"/>
      <c r="AA170" s="3"/>
      <c r="AB170" s="16"/>
      <c r="AC170" s="16"/>
      <c r="AD170" s="16"/>
      <c r="AE170" s="9"/>
      <c r="AF170" s="16"/>
      <c r="AG170" s="16"/>
      <c r="AH170" s="16"/>
      <c r="AI170" s="16"/>
      <c r="AJ170" s="16"/>
      <c r="AK170" s="16"/>
      <c r="AL170" s="16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1:48" x14ac:dyDescent="0.25">
      <c r="A171" s="15">
        <f>1+A167</f>
        <v>43</v>
      </c>
      <c r="B171" s="15"/>
      <c r="C171" s="2"/>
      <c r="D171" s="2"/>
      <c r="E171" s="24" t="str">
        <f>+AQ171</f>
        <v/>
      </c>
      <c r="F171" s="30"/>
      <c r="G171" s="24" t="str">
        <f>+AV171</f>
        <v>300100</v>
      </c>
      <c r="H171" s="16">
        <f>+AK171</f>
        <v>0</v>
      </c>
      <c r="I171" s="16">
        <f>+ROUND(AD171,2)</f>
        <v>0</v>
      </c>
      <c r="J171" s="2"/>
      <c r="K171" s="17">
        <f>+AE171</f>
        <v>0</v>
      </c>
      <c r="L171" s="16">
        <f>+AJ171</f>
        <v>0</v>
      </c>
      <c r="M171" s="32" t="s">
        <v>5</v>
      </c>
      <c r="N171" s="30"/>
      <c r="O171" s="2"/>
      <c r="P171" s="30"/>
      <c r="Q171" s="32" t="s">
        <v>0</v>
      </c>
      <c r="R171" s="24"/>
      <c r="S171" s="24" t="str">
        <f>+RIGHT(O171,7)</f>
        <v/>
      </c>
      <c r="T171" s="2"/>
      <c r="U171" s="3" t="s">
        <v>1</v>
      </c>
      <c r="V171" s="3" t="s">
        <v>3</v>
      </c>
      <c r="W171" s="16">
        <f>+AI171</f>
        <v>0</v>
      </c>
      <c r="X171" s="16">
        <f>+AJ171</f>
        <v>0</v>
      </c>
      <c r="Y171" s="3" t="s">
        <v>4</v>
      </c>
      <c r="Z171" s="18">
        <f>+F171</f>
        <v>0</v>
      </c>
      <c r="AA171" s="61"/>
      <c r="AB171" s="65"/>
      <c r="AC171" s="16">
        <f>+AB171*0.18</f>
        <v>0</v>
      </c>
      <c r="AD171" s="16">
        <f>+AB171+AC171</f>
        <v>0</v>
      </c>
      <c r="AE171" s="68"/>
      <c r="AF171" s="16">
        <f>+AB171*AE171</f>
        <v>0</v>
      </c>
      <c r="AG171" s="16">
        <f>+AC171*AE171</f>
        <v>0</v>
      </c>
      <c r="AH171" s="16">
        <f>+AD171*AE171</f>
        <v>0</v>
      </c>
      <c r="AI171" s="16">
        <f>+ROUND(AF171,2)</f>
        <v>0</v>
      </c>
      <c r="AJ171" s="16">
        <f>+ROUND(AG171,2)</f>
        <v>0</v>
      </c>
      <c r="AK171" s="16">
        <f>+AI171+AJ171</f>
        <v>0</v>
      </c>
      <c r="AL171" s="16">
        <f>+AI171+AJ171-AK171</f>
        <v>0</v>
      </c>
      <c r="AM171" s="44"/>
      <c r="AN171" s="41" t="str">
        <f>+LEFT(AM171,2)</f>
        <v/>
      </c>
      <c r="AO171" s="41" t="str">
        <f>+MID(AM171,4,2)</f>
        <v/>
      </c>
      <c r="AP171" s="41" t="str">
        <f>+RIGHT(AM171,2)</f>
        <v/>
      </c>
      <c r="AQ171" s="41" t="str">
        <f>+CONCATENATE(AN171,AO171,AP171)</f>
        <v/>
      </c>
      <c r="AR171" s="45">
        <f>+AM171+30</f>
        <v>30</v>
      </c>
      <c r="AS171" s="46">
        <f>+DAY(AR171)</f>
        <v>30</v>
      </c>
      <c r="AT171" s="41">
        <f>+MONTH(AR171)</f>
        <v>1</v>
      </c>
      <c r="AU171" s="41">
        <f>+YEAR(AR171)</f>
        <v>1900</v>
      </c>
      <c r="AV171" s="41" t="str">
        <f>+CONCATENATE(TEXT(AS171,"00"),TEXT(AT171,"00"),RIGHT(AU171,2))</f>
        <v>300100</v>
      </c>
    </row>
    <row r="172" spans="1:48" hidden="1" x14ac:dyDescent="0.25">
      <c r="A172" s="31"/>
      <c r="B172" s="31"/>
      <c r="C172" s="3"/>
      <c r="D172" s="3"/>
      <c r="E172" s="2"/>
      <c r="F172" s="3"/>
      <c r="G172" s="3"/>
      <c r="H172" s="16"/>
      <c r="I172" s="16"/>
      <c r="J172" s="3"/>
      <c r="K172" s="17"/>
      <c r="L172" s="16"/>
      <c r="M172" s="3"/>
      <c r="N172" s="3"/>
      <c r="O172" s="2"/>
      <c r="P172" s="3"/>
      <c r="Q172" s="3"/>
      <c r="R172" s="3"/>
      <c r="S172" s="16"/>
      <c r="T172" s="3"/>
      <c r="U172" s="3"/>
      <c r="V172" s="3"/>
      <c r="W172" s="16"/>
      <c r="X172" s="16"/>
      <c r="Y172" s="3"/>
      <c r="Z172" s="18"/>
      <c r="AA172" s="3"/>
      <c r="AB172" s="16"/>
      <c r="AC172" s="16"/>
      <c r="AD172" s="16"/>
      <c r="AE172" s="9"/>
      <c r="AF172" s="16"/>
      <c r="AG172" s="16"/>
      <c r="AH172" s="16"/>
      <c r="AI172" s="16"/>
      <c r="AJ172" s="16"/>
      <c r="AK172" s="16"/>
      <c r="AL172" s="16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1:48" hidden="1" x14ac:dyDescent="0.25">
      <c r="A173" s="31"/>
      <c r="B173" s="31"/>
      <c r="C173" s="3"/>
      <c r="D173" s="3"/>
      <c r="E173" s="2"/>
      <c r="F173" s="3"/>
      <c r="G173" s="3"/>
      <c r="H173" s="16"/>
      <c r="I173" s="16"/>
      <c r="J173" s="3"/>
      <c r="K173" s="17"/>
      <c r="L173" s="16"/>
      <c r="M173" s="3"/>
      <c r="N173" s="3"/>
      <c r="O173" s="2"/>
      <c r="P173" s="3"/>
      <c r="Q173" s="3"/>
      <c r="R173" s="3"/>
      <c r="S173" s="16"/>
      <c r="T173" s="3"/>
      <c r="U173" s="3"/>
      <c r="V173" s="3"/>
      <c r="W173" s="16"/>
      <c r="X173" s="16"/>
      <c r="Y173" s="3"/>
      <c r="Z173" s="18"/>
      <c r="AA173" s="3"/>
      <c r="AB173" s="16"/>
      <c r="AC173" s="16"/>
      <c r="AD173" s="16"/>
      <c r="AE173" s="9"/>
      <c r="AF173" s="16"/>
      <c r="AG173" s="16"/>
      <c r="AH173" s="16"/>
      <c r="AI173" s="16"/>
      <c r="AJ173" s="16"/>
      <c r="AK173" s="16"/>
      <c r="AL173" s="16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1:48" hidden="1" x14ac:dyDescent="0.25">
      <c r="A174" s="31"/>
      <c r="B174" s="31"/>
      <c r="C174" s="3"/>
      <c r="D174" s="3"/>
      <c r="E174" s="2"/>
      <c r="F174" s="3"/>
      <c r="G174" s="3"/>
      <c r="H174" s="16"/>
      <c r="I174" s="16"/>
      <c r="J174" s="3"/>
      <c r="K174" s="17"/>
      <c r="L174" s="16"/>
      <c r="M174" s="3"/>
      <c r="N174" s="3"/>
      <c r="O174" s="2"/>
      <c r="P174" s="3"/>
      <c r="Q174" s="3"/>
      <c r="R174" s="3"/>
      <c r="S174" s="16"/>
      <c r="T174" s="3"/>
      <c r="U174" s="3"/>
      <c r="V174" s="3"/>
      <c r="W174" s="16"/>
      <c r="X174" s="16"/>
      <c r="Y174" s="3"/>
      <c r="Z174" s="18"/>
      <c r="AA174" s="3"/>
      <c r="AB174" s="16"/>
      <c r="AC174" s="16"/>
      <c r="AD174" s="16"/>
      <c r="AE174" s="9"/>
      <c r="AF174" s="16"/>
      <c r="AG174" s="16"/>
      <c r="AH174" s="16"/>
      <c r="AI174" s="16"/>
      <c r="AJ174" s="16"/>
      <c r="AK174" s="16"/>
      <c r="AL174" s="16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spans="1:48" x14ac:dyDescent="0.25">
      <c r="A175" s="15">
        <f>1+A171</f>
        <v>44</v>
      </c>
      <c r="B175" s="15"/>
      <c r="C175" s="2"/>
      <c r="D175" s="2"/>
      <c r="E175" s="24" t="str">
        <f>+AQ175</f>
        <v/>
      </c>
      <c r="F175" s="30"/>
      <c r="G175" s="24" t="str">
        <f>+AV175</f>
        <v>300100</v>
      </c>
      <c r="H175" s="16">
        <f>+AK175</f>
        <v>0</v>
      </c>
      <c r="I175" s="16">
        <f>+ROUND(AD175,2)</f>
        <v>0</v>
      </c>
      <c r="J175" s="2"/>
      <c r="K175" s="17">
        <f>+AE175</f>
        <v>0</v>
      </c>
      <c r="L175" s="16">
        <f>+AJ175</f>
        <v>0</v>
      </c>
      <c r="M175" s="32" t="s">
        <v>5</v>
      </c>
      <c r="N175" s="30"/>
      <c r="O175" s="2"/>
      <c r="P175" s="30"/>
      <c r="Q175" s="32" t="s">
        <v>0</v>
      </c>
      <c r="R175" s="24"/>
      <c r="S175" s="24" t="str">
        <f>+RIGHT(O175,7)</f>
        <v/>
      </c>
      <c r="T175" s="2"/>
      <c r="U175" s="3" t="s">
        <v>1</v>
      </c>
      <c r="V175" s="3" t="s">
        <v>3</v>
      </c>
      <c r="W175" s="16">
        <f>+AI175</f>
        <v>0</v>
      </c>
      <c r="X175" s="16">
        <f>+AJ175</f>
        <v>0</v>
      </c>
      <c r="Y175" s="3" t="s">
        <v>4</v>
      </c>
      <c r="Z175" s="18">
        <f>+F175</f>
        <v>0</v>
      </c>
      <c r="AA175" s="61"/>
      <c r="AB175" s="65"/>
      <c r="AC175" s="16">
        <f>+AB175*0.18</f>
        <v>0</v>
      </c>
      <c r="AD175" s="16">
        <f>+AB175+AC175</f>
        <v>0</v>
      </c>
      <c r="AE175" s="68"/>
      <c r="AF175" s="16">
        <f>+AB175*AE175</f>
        <v>0</v>
      </c>
      <c r="AG175" s="16">
        <f>+AC175*AE175</f>
        <v>0</v>
      </c>
      <c r="AH175" s="16">
        <f>+AD175*AE175</f>
        <v>0</v>
      </c>
      <c r="AI175" s="16">
        <f>+ROUND(AF175,2)</f>
        <v>0</v>
      </c>
      <c r="AJ175" s="16">
        <f>+ROUND(AG175,2)</f>
        <v>0</v>
      </c>
      <c r="AK175" s="16">
        <f>+AI175+AJ175</f>
        <v>0</v>
      </c>
      <c r="AL175" s="16">
        <f>+AI175+AJ175-AK175</f>
        <v>0</v>
      </c>
      <c r="AM175" s="44"/>
      <c r="AN175" s="41" t="str">
        <f>+LEFT(AM175,2)</f>
        <v/>
      </c>
      <c r="AO175" s="41" t="str">
        <f>+MID(AM175,4,2)</f>
        <v/>
      </c>
      <c r="AP175" s="41" t="str">
        <f>+RIGHT(AM175,2)</f>
        <v/>
      </c>
      <c r="AQ175" s="41" t="str">
        <f>+CONCATENATE(AN175,AO175,AP175)</f>
        <v/>
      </c>
      <c r="AR175" s="45">
        <f>+AM175+30</f>
        <v>30</v>
      </c>
      <c r="AS175" s="46">
        <f>+DAY(AR175)</f>
        <v>30</v>
      </c>
      <c r="AT175" s="41">
        <f>+MONTH(AR175)</f>
        <v>1</v>
      </c>
      <c r="AU175" s="41">
        <f>+YEAR(AR175)</f>
        <v>1900</v>
      </c>
      <c r="AV175" s="41" t="str">
        <f>+CONCATENATE(TEXT(AS175,"00"),TEXT(AT175,"00"),RIGHT(AU175,2))</f>
        <v>300100</v>
      </c>
    </row>
    <row r="176" spans="1:48" hidden="1" x14ac:dyDescent="0.25">
      <c r="A176" s="31"/>
      <c r="B176" s="31"/>
      <c r="C176" s="3"/>
      <c r="D176" s="3"/>
      <c r="E176" s="2"/>
      <c r="F176" s="3"/>
      <c r="G176" s="3"/>
      <c r="H176" s="16"/>
      <c r="I176" s="16"/>
      <c r="J176" s="3"/>
      <c r="K176" s="17"/>
      <c r="L176" s="16"/>
      <c r="M176" s="3"/>
      <c r="N176" s="3"/>
      <c r="O176" s="2"/>
      <c r="P176" s="3"/>
      <c r="Q176" s="3"/>
      <c r="R176" s="3"/>
      <c r="S176" s="16"/>
      <c r="T176" s="3"/>
      <c r="U176" s="3"/>
      <c r="V176" s="3"/>
      <c r="W176" s="16"/>
      <c r="X176" s="16"/>
      <c r="Y176" s="3"/>
      <c r="Z176" s="18"/>
      <c r="AA176" s="3"/>
      <c r="AB176" s="16"/>
      <c r="AC176" s="16"/>
      <c r="AD176" s="16"/>
      <c r="AE176" s="9"/>
      <c r="AF176" s="16"/>
      <c r="AG176" s="16"/>
      <c r="AH176" s="16"/>
      <c r="AI176" s="16"/>
      <c r="AJ176" s="16"/>
      <c r="AK176" s="16"/>
      <c r="AL176" s="16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hidden="1" x14ac:dyDescent="0.25">
      <c r="A177" s="31"/>
      <c r="B177" s="31"/>
      <c r="C177" s="3"/>
      <c r="D177" s="3"/>
      <c r="E177" s="2"/>
      <c r="F177" s="3"/>
      <c r="G177" s="3"/>
      <c r="H177" s="16"/>
      <c r="I177" s="16"/>
      <c r="J177" s="3"/>
      <c r="K177" s="17"/>
      <c r="L177" s="16"/>
      <c r="M177" s="3"/>
      <c r="N177" s="3"/>
      <c r="O177" s="2"/>
      <c r="P177" s="3"/>
      <c r="Q177" s="3"/>
      <c r="R177" s="3"/>
      <c r="S177" s="16"/>
      <c r="T177" s="3"/>
      <c r="U177" s="3"/>
      <c r="V177" s="3"/>
      <c r="W177" s="16"/>
      <c r="X177" s="16"/>
      <c r="Y177" s="3"/>
      <c r="Z177" s="18"/>
      <c r="AA177" s="3"/>
      <c r="AB177" s="16"/>
      <c r="AC177" s="16"/>
      <c r="AD177" s="16"/>
      <c r="AE177" s="9"/>
      <c r="AF177" s="16"/>
      <c r="AG177" s="16"/>
      <c r="AH177" s="16"/>
      <c r="AI177" s="16"/>
      <c r="AJ177" s="16"/>
      <c r="AK177" s="16"/>
      <c r="AL177" s="16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1:48" hidden="1" x14ac:dyDescent="0.25">
      <c r="A178" s="31"/>
      <c r="B178" s="31"/>
      <c r="C178" s="3"/>
      <c r="D178" s="3"/>
      <c r="E178" s="2"/>
      <c r="F178" s="3"/>
      <c r="G178" s="3"/>
      <c r="H178" s="16"/>
      <c r="I178" s="16"/>
      <c r="J178" s="3"/>
      <c r="K178" s="17"/>
      <c r="L178" s="16"/>
      <c r="M178" s="3"/>
      <c r="N178" s="3"/>
      <c r="O178" s="2"/>
      <c r="P178" s="3"/>
      <c r="Q178" s="3"/>
      <c r="R178" s="3"/>
      <c r="S178" s="16"/>
      <c r="T178" s="3"/>
      <c r="U178" s="3"/>
      <c r="V178" s="3"/>
      <c r="W178" s="16"/>
      <c r="X178" s="16"/>
      <c r="Y178" s="3"/>
      <c r="Z178" s="18"/>
      <c r="AA178" s="3"/>
      <c r="AB178" s="16"/>
      <c r="AC178" s="16"/>
      <c r="AD178" s="16"/>
      <c r="AE178" s="9"/>
      <c r="AF178" s="16"/>
      <c r="AG178" s="16"/>
      <c r="AH178" s="16"/>
      <c r="AI178" s="16"/>
      <c r="AJ178" s="16"/>
      <c r="AK178" s="16"/>
      <c r="AL178" s="16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1:48" x14ac:dyDescent="0.25">
      <c r="A179" s="15">
        <f>1+A175</f>
        <v>45</v>
      </c>
      <c r="B179" s="15"/>
      <c r="C179" s="2"/>
      <c r="D179" s="2"/>
      <c r="E179" s="24" t="str">
        <f>+AQ179</f>
        <v/>
      </c>
      <c r="F179" s="30"/>
      <c r="G179" s="24" t="str">
        <f>+AV179</f>
        <v>300100</v>
      </c>
      <c r="H179" s="16">
        <f>+AK179</f>
        <v>0</v>
      </c>
      <c r="I179" s="16">
        <f>+ROUND(AD179,2)</f>
        <v>0</v>
      </c>
      <c r="J179" s="2"/>
      <c r="K179" s="17">
        <f>+AE179</f>
        <v>0</v>
      </c>
      <c r="L179" s="16">
        <f>+AJ179</f>
        <v>0</v>
      </c>
      <c r="M179" s="32" t="s">
        <v>5</v>
      </c>
      <c r="N179" s="30"/>
      <c r="O179" s="2"/>
      <c r="P179" s="30"/>
      <c r="Q179" s="32" t="s">
        <v>0</v>
      </c>
      <c r="R179" s="24"/>
      <c r="S179" s="24" t="str">
        <f>+RIGHT(O179,7)</f>
        <v/>
      </c>
      <c r="T179" s="2"/>
      <c r="U179" s="3" t="s">
        <v>1</v>
      </c>
      <c r="V179" s="3" t="s">
        <v>3</v>
      </c>
      <c r="W179" s="16">
        <f>+AI179</f>
        <v>0</v>
      </c>
      <c r="X179" s="16">
        <f>+AJ179</f>
        <v>0</v>
      </c>
      <c r="Y179" s="3" t="s">
        <v>4</v>
      </c>
      <c r="Z179" s="18">
        <f>+F179</f>
        <v>0</v>
      </c>
      <c r="AA179" s="61"/>
      <c r="AB179" s="65"/>
      <c r="AC179" s="16">
        <f>+AB179*0.18</f>
        <v>0</v>
      </c>
      <c r="AD179" s="16">
        <f>+AB179+AC179</f>
        <v>0</v>
      </c>
      <c r="AE179" s="68"/>
      <c r="AF179" s="16">
        <f>+AB179*AE179</f>
        <v>0</v>
      </c>
      <c r="AG179" s="16">
        <f>+AC179*AE179</f>
        <v>0</v>
      </c>
      <c r="AH179" s="16">
        <f>+AD179*AE179</f>
        <v>0</v>
      </c>
      <c r="AI179" s="16">
        <f>+ROUND(AF179,2)</f>
        <v>0</v>
      </c>
      <c r="AJ179" s="16">
        <f>+ROUND(AG179,2)</f>
        <v>0</v>
      </c>
      <c r="AK179" s="16">
        <f>+AI179+AJ179</f>
        <v>0</v>
      </c>
      <c r="AL179" s="16">
        <f>+AI179+AJ179-AK179</f>
        <v>0</v>
      </c>
      <c r="AM179" s="44"/>
      <c r="AN179" s="41" t="str">
        <f>+LEFT(AM179,2)</f>
        <v/>
      </c>
      <c r="AO179" s="41" t="str">
        <f>+MID(AM179,4,2)</f>
        <v/>
      </c>
      <c r="AP179" s="41" t="str">
        <f>+RIGHT(AM179,2)</f>
        <v/>
      </c>
      <c r="AQ179" s="41" t="str">
        <f>+CONCATENATE(AN179,AO179,AP179)</f>
        <v/>
      </c>
      <c r="AR179" s="45">
        <f>+AM179+30</f>
        <v>30</v>
      </c>
      <c r="AS179" s="46">
        <f>+DAY(AR179)</f>
        <v>30</v>
      </c>
      <c r="AT179" s="41">
        <f>+MONTH(AR179)</f>
        <v>1</v>
      </c>
      <c r="AU179" s="41">
        <f>+YEAR(AR179)</f>
        <v>1900</v>
      </c>
      <c r="AV179" s="41" t="str">
        <f>+CONCATENATE(TEXT(AS179,"00"),TEXT(AT179,"00"),RIGHT(AU179,2))</f>
        <v>300100</v>
      </c>
    </row>
    <row r="180" spans="1:48" hidden="1" x14ac:dyDescent="0.25">
      <c r="A180" s="31"/>
      <c r="B180" s="31"/>
      <c r="C180" s="3"/>
      <c r="D180" s="3"/>
      <c r="E180" s="2"/>
      <c r="F180" s="3"/>
      <c r="G180" s="3"/>
      <c r="H180" s="16"/>
      <c r="I180" s="16"/>
      <c r="J180" s="3"/>
      <c r="K180" s="17"/>
      <c r="L180" s="16"/>
      <c r="M180" s="3"/>
      <c r="N180" s="3"/>
      <c r="O180" s="2"/>
      <c r="P180" s="3"/>
      <c r="Q180" s="3"/>
      <c r="R180" s="3"/>
      <c r="S180" s="16"/>
      <c r="T180" s="3"/>
      <c r="U180" s="3"/>
      <c r="V180" s="3"/>
      <c r="W180" s="16"/>
      <c r="X180" s="16"/>
      <c r="Y180" s="3"/>
      <c r="Z180" s="18"/>
      <c r="AA180" s="3"/>
      <c r="AB180" s="16"/>
      <c r="AC180" s="16"/>
      <c r="AD180" s="16"/>
      <c r="AE180" s="9"/>
      <c r="AF180" s="16"/>
      <c r="AG180" s="16"/>
      <c r="AH180" s="16"/>
      <c r="AI180" s="16"/>
      <c r="AJ180" s="16"/>
      <c r="AK180" s="16"/>
      <c r="AL180" s="16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hidden="1" x14ac:dyDescent="0.25">
      <c r="A181" s="31"/>
      <c r="B181" s="31"/>
      <c r="C181" s="3"/>
      <c r="D181" s="3"/>
      <c r="E181" s="2"/>
      <c r="F181" s="3"/>
      <c r="G181" s="3"/>
      <c r="H181" s="16"/>
      <c r="I181" s="16"/>
      <c r="J181" s="3"/>
      <c r="K181" s="17"/>
      <c r="L181" s="16"/>
      <c r="M181" s="3"/>
      <c r="N181" s="3"/>
      <c r="O181" s="2"/>
      <c r="P181" s="3"/>
      <c r="Q181" s="3"/>
      <c r="R181" s="3"/>
      <c r="S181" s="16"/>
      <c r="T181" s="3"/>
      <c r="U181" s="3"/>
      <c r="V181" s="3"/>
      <c r="W181" s="16"/>
      <c r="X181" s="16"/>
      <c r="Y181" s="3"/>
      <c r="Z181" s="18"/>
      <c r="AA181" s="3"/>
      <c r="AB181" s="16"/>
      <c r="AC181" s="16"/>
      <c r="AD181" s="16"/>
      <c r="AE181" s="9"/>
      <c r="AF181" s="16"/>
      <c r="AG181" s="16"/>
      <c r="AH181" s="16"/>
      <c r="AI181" s="16"/>
      <c r="AJ181" s="16"/>
      <c r="AK181" s="16"/>
      <c r="AL181" s="16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1:48" hidden="1" x14ac:dyDescent="0.25">
      <c r="A182" s="31"/>
      <c r="B182" s="31"/>
      <c r="C182" s="3"/>
      <c r="D182" s="3"/>
      <c r="E182" s="2"/>
      <c r="F182" s="3"/>
      <c r="G182" s="3"/>
      <c r="H182" s="16"/>
      <c r="I182" s="16"/>
      <c r="J182" s="3"/>
      <c r="K182" s="17"/>
      <c r="L182" s="16"/>
      <c r="M182" s="3"/>
      <c r="N182" s="3"/>
      <c r="O182" s="2"/>
      <c r="P182" s="3"/>
      <c r="Q182" s="3"/>
      <c r="R182" s="3"/>
      <c r="S182" s="16"/>
      <c r="T182" s="3"/>
      <c r="U182" s="3"/>
      <c r="V182" s="3"/>
      <c r="W182" s="16"/>
      <c r="X182" s="16"/>
      <c r="Y182" s="3"/>
      <c r="Z182" s="18"/>
      <c r="AA182" s="3"/>
      <c r="AB182" s="16"/>
      <c r="AC182" s="16"/>
      <c r="AD182" s="16"/>
      <c r="AE182" s="9"/>
      <c r="AF182" s="16"/>
      <c r="AG182" s="16"/>
      <c r="AH182" s="16"/>
      <c r="AI182" s="16"/>
      <c r="AJ182" s="16"/>
      <c r="AK182" s="16"/>
      <c r="AL182" s="16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1:48" x14ac:dyDescent="0.25">
      <c r="A183" s="15">
        <f>1+A179</f>
        <v>46</v>
      </c>
      <c r="B183" s="15"/>
      <c r="C183" s="2"/>
      <c r="D183" s="2"/>
      <c r="E183" s="24" t="str">
        <f>+AQ183</f>
        <v/>
      </c>
      <c r="F183" s="30"/>
      <c r="G183" s="24" t="str">
        <f>+AV183</f>
        <v>300100</v>
      </c>
      <c r="H183" s="16">
        <f>+AK183</f>
        <v>0</v>
      </c>
      <c r="I183" s="16">
        <f>+ROUND(AD183,2)</f>
        <v>0</v>
      </c>
      <c r="J183" s="2"/>
      <c r="K183" s="17">
        <f>+AE183</f>
        <v>0</v>
      </c>
      <c r="L183" s="16">
        <f>+AJ183</f>
        <v>0</v>
      </c>
      <c r="M183" s="32" t="s">
        <v>5</v>
      </c>
      <c r="N183" s="30"/>
      <c r="O183" s="2"/>
      <c r="P183" s="30"/>
      <c r="Q183" s="32" t="s">
        <v>0</v>
      </c>
      <c r="R183" s="24"/>
      <c r="S183" s="24" t="str">
        <f>+RIGHT(O183,7)</f>
        <v/>
      </c>
      <c r="T183" s="2"/>
      <c r="U183" s="3" t="s">
        <v>1</v>
      </c>
      <c r="V183" s="3" t="s">
        <v>3</v>
      </c>
      <c r="W183" s="16">
        <f>+AI183</f>
        <v>0</v>
      </c>
      <c r="X183" s="16">
        <f>+AJ183</f>
        <v>0</v>
      </c>
      <c r="Y183" s="3" t="s">
        <v>4</v>
      </c>
      <c r="Z183" s="18">
        <f>+F183</f>
        <v>0</v>
      </c>
      <c r="AA183" s="61"/>
      <c r="AB183" s="65"/>
      <c r="AC183" s="16">
        <f>+AB183*0.18</f>
        <v>0</v>
      </c>
      <c r="AD183" s="16">
        <f>+AB183+AC183</f>
        <v>0</v>
      </c>
      <c r="AE183" s="68"/>
      <c r="AF183" s="16">
        <f>+AB183*AE183</f>
        <v>0</v>
      </c>
      <c r="AG183" s="16">
        <f>+AC183*AE183</f>
        <v>0</v>
      </c>
      <c r="AH183" s="16">
        <f>+AD183*AE183</f>
        <v>0</v>
      </c>
      <c r="AI183" s="16">
        <f>+ROUND(AF183,2)</f>
        <v>0</v>
      </c>
      <c r="AJ183" s="16">
        <f>+ROUND(AG183,2)</f>
        <v>0</v>
      </c>
      <c r="AK183" s="16">
        <f>+AI183+AJ183</f>
        <v>0</v>
      </c>
      <c r="AL183" s="16">
        <f>+AI183+AJ183-AK183</f>
        <v>0</v>
      </c>
      <c r="AM183" s="44"/>
      <c r="AN183" s="41" t="str">
        <f>+LEFT(AM183,2)</f>
        <v/>
      </c>
      <c r="AO183" s="41" t="str">
        <f>+MID(AM183,4,2)</f>
        <v/>
      </c>
      <c r="AP183" s="41" t="str">
        <f>+RIGHT(AM183,2)</f>
        <v/>
      </c>
      <c r="AQ183" s="41" t="str">
        <f>+CONCATENATE(AN183,AO183,AP183)</f>
        <v/>
      </c>
      <c r="AR183" s="45">
        <f>+AM183+30</f>
        <v>30</v>
      </c>
      <c r="AS183" s="46">
        <f>+DAY(AR183)</f>
        <v>30</v>
      </c>
      <c r="AT183" s="41">
        <f>+MONTH(AR183)</f>
        <v>1</v>
      </c>
      <c r="AU183" s="41">
        <f>+YEAR(AR183)</f>
        <v>1900</v>
      </c>
      <c r="AV183" s="41" t="str">
        <f>+CONCATENATE(TEXT(AS183,"00"),TEXT(AT183,"00"),RIGHT(AU183,2))</f>
        <v>300100</v>
      </c>
    </row>
    <row r="184" spans="1:48" hidden="1" x14ac:dyDescent="0.25">
      <c r="A184" s="31"/>
      <c r="B184" s="31"/>
      <c r="C184" s="3"/>
      <c r="D184" s="3"/>
      <c r="E184" s="2"/>
      <c r="F184" s="3"/>
      <c r="G184" s="3"/>
      <c r="H184" s="16"/>
      <c r="I184" s="16"/>
      <c r="J184" s="3"/>
      <c r="K184" s="17"/>
      <c r="L184" s="16"/>
      <c r="M184" s="3"/>
      <c r="N184" s="3"/>
      <c r="O184" s="2"/>
      <c r="P184" s="3"/>
      <c r="Q184" s="3"/>
      <c r="R184" s="3"/>
      <c r="S184" s="16"/>
      <c r="T184" s="3"/>
      <c r="U184" s="3"/>
      <c r="V184" s="3"/>
      <c r="W184" s="16"/>
      <c r="X184" s="16"/>
      <c r="Y184" s="3"/>
      <c r="Z184" s="18"/>
      <c r="AA184" s="3"/>
      <c r="AB184" s="16"/>
      <c r="AC184" s="16"/>
      <c r="AD184" s="16"/>
      <c r="AE184" s="9"/>
      <c r="AF184" s="16"/>
      <c r="AG184" s="16"/>
      <c r="AH184" s="16"/>
      <c r="AI184" s="16"/>
      <c r="AJ184" s="16"/>
      <c r="AK184" s="16"/>
      <c r="AL184" s="16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hidden="1" x14ac:dyDescent="0.25">
      <c r="A185" s="31"/>
      <c r="B185" s="31"/>
      <c r="C185" s="3"/>
      <c r="D185" s="3"/>
      <c r="E185" s="2"/>
      <c r="F185" s="3"/>
      <c r="G185" s="3"/>
      <c r="H185" s="16"/>
      <c r="I185" s="16"/>
      <c r="J185" s="3"/>
      <c r="K185" s="17"/>
      <c r="L185" s="16"/>
      <c r="M185" s="3"/>
      <c r="N185" s="3"/>
      <c r="O185" s="2"/>
      <c r="P185" s="3"/>
      <c r="Q185" s="3"/>
      <c r="R185" s="3"/>
      <c r="S185" s="16"/>
      <c r="T185" s="3"/>
      <c r="U185" s="3"/>
      <c r="V185" s="3"/>
      <c r="W185" s="16"/>
      <c r="X185" s="16"/>
      <c r="Y185" s="3"/>
      <c r="Z185" s="18"/>
      <c r="AA185" s="3"/>
      <c r="AB185" s="16"/>
      <c r="AC185" s="16"/>
      <c r="AD185" s="16"/>
      <c r="AE185" s="9"/>
      <c r="AF185" s="16"/>
      <c r="AG185" s="16"/>
      <c r="AH185" s="16"/>
      <c r="AI185" s="16"/>
      <c r="AJ185" s="16"/>
      <c r="AK185" s="16"/>
      <c r="AL185" s="16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hidden="1" x14ac:dyDescent="0.25">
      <c r="A186" s="31"/>
      <c r="B186" s="31"/>
      <c r="C186" s="3"/>
      <c r="D186" s="3"/>
      <c r="E186" s="2"/>
      <c r="F186" s="3"/>
      <c r="G186" s="3"/>
      <c r="H186" s="16"/>
      <c r="I186" s="16"/>
      <c r="J186" s="3"/>
      <c r="K186" s="17"/>
      <c r="L186" s="16"/>
      <c r="M186" s="3"/>
      <c r="N186" s="3"/>
      <c r="O186" s="2"/>
      <c r="P186" s="3"/>
      <c r="Q186" s="3"/>
      <c r="R186" s="3"/>
      <c r="S186" s="16"/>
      <c r="T186" s="3"/>
      <c r="U186" s="3"/>
      <c r="V186" s="3"/>
      <c r="W186" s="16"/>
      <c r="X186" s="16"/>
      <c r="Y186" s="3"/>
      <c r="Z186" s="18"/>
      <c r="AA186" s="3"/>
      <c r="AB186" s="16"/>
      <c r="AC186" s="16"/>
      <c r="AD186" s="16"/>
      <c r="AE186" s="9"/>
      <c r="AF186" s="16"/>
      <c r="AG186" s="16"/>
      <c r="AH186" s="16"/>
      <c r="AI186" s="16"/>
      <c r="AJ186" s="16"/>
      <c r="AK186" s="16"/>
      <c r="AL186" s="16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x14ac:dyDescent="0.25">
      <c r="A187" s="15">
        <f>1+A183</f>
        <v>47</v>
      </c>
      <c r="B187" s="15"/>
      <c r="C187" s="2"/>
      <c r="D187" s="2"/>
      <c r="E187" s="24" t="str">
        <f>+AQ187</f>
        <v/>
      </c>
      <c r="F187" s="30"/>
      <c r="G187" s="24" t="str">
        <f>+AV187</f>
        <v>300100</v>
      </c>
      <c r="H187" s="16">
        <f>+AK187</f>
        <v>0</v>
      </c>
      <c r="I187" s="16">
        <f>+ROUND(AD187,2)</f>
        <v>0</v>
      </c>
      <c r="J187" s="2"/>
      <c r="K187" s="17">
        <f>+AE187</f>
        <v>0</v>
      </c>
      <c r="L187" s="16">
        <f>+AJ187</f>
        <v>0</v>
      </c>
      <c r="M187" s="32" t="s">
        <v>5</v>
      </c>
      <c r="N187" s="30"/>
      <c r="O187" s="2"/>
      <c r="P187" s="30"/>
      <c r="Q187" s="32" t="s">
        <v>0</v>
      </c>
      <c r="R187" s="24"/>
      <c r="S187" s="24" t="str">
        <f>+RIGHT(O187,7)</f>
        <v/>
      </c>
      <c r="T187" s="2"/>
      <c r="U187" s="3" t="s">
        <v>1</v>
      </c>
      <c r="V187" s="3" t="s">
        <v>3</v>
      </c>
      <c r="W187" s="16">
        <f>+AI187</f>
        <v>0</v>
      </c>
      <c r="X187" s="16">
        <f>+AJ187</f>
        <v>0</v>
      </c>
      <c r="Y187" s="3" t="s">
        <v>4</v>
      </c>
      <c r="Z187" s="18">
        <f>+F187</f>
        <v>0</v>
      </c>
      <c r="AA187" s="61"/>
      <c r="AB187" s="65"/>
      <c r="AC187" s="16">
        <f>+AB187*0.18</f>
        <v>0</v>
      </c>
      <c r="AD187" s="16">
        <f>+AB187+AC187</f>
        <v>0</v>
      </c>
      <c r="AE187" s="68"/>
      <c r="AF187" s="16">
        <f>+AB187*AE187</f>
        <v>0</v>
      </c>
      <c r="AG187" s="16">
        <f>+AC187*AE187</f>
        <v>0</v>
      </c>
      <c r="AH187" s="16">
        <f>+AD187*AE187</f>
        <v>0</v>
      </c>
      <c r="AI187" s="16">
        <f>+ROUND(AF187,2)</f>
        <v>0</v>
      </c>
      <c r="AJ187" s="16">
        <f>+ROUND(AG187,2)</f>
        <v>0</v>
      </c>
      <c r="AK187" s="16">
        <f>+AI187+AJ187</f>
        <v>0</v>
      </c>
      <c r="AL187" s="16">
        <f>+AI187+AJ187-AK187</f>
        <v>0</v>
      </c>
      <c r="AM187" s="44"/>
      <c r="AN187" s="41" t="str">
        <f>+LEFT(AM187,2)</f>
        <v/>
      </c>
      <c r="AO187" s="41" t="str">
        <f>+MID(AM187,4,2)</f>
        <v/>
      </c>
      <c r="AP187" s="41" t="str">
        <f>+RIGHT(AM187,2)</f>
        <v/>
      </c>
      <c r="AQ187" s="41" t="str">
        <f>+CONCATENATE(AN187,AO187,AP187)</f>
        <v/>
      </c>
      <c r="AR187" s="45">
        <f>+AM187+30</f>
        <v>30</v>
      </c>
      <c r="AS187" s="46">
        <f>+DAY(AR187)</f>
        <v>30</v>
      </c>
      <c r="AT187" s="41">
        <f>+MONTH(AR187)</f>
        <v>1</v>
      </c>
      <c r="AU187" s="41">
        <f>+YEAR(AR187)</f>
        <v>1900</v>
      </c>
      <c r="AV187" s="41" t="str">
        <f>+CONCATENATE(TEXT(AS187,"00"),TEXT(AT187,"00"),RIGHT(AU187,2))</f>
        <v>300100</v>
      </c>
    </row>
    <row r="188" spans="1:48" hidden="1" x14ac:dyDescent="0.25">
      <c r="A188" s="31"/>
      <c r="B188" s="31"/>
      <c r="C188" s="3"/>
      <c r="D188" s="3"/>
      <c r="E188" s="2"/>
      <c r="F188" s="3"/>
      <c r="G188" s="3"/>
      <c r="H188" s="16"/>
      <c r="I188" s="16"/>
      <c r="J188" s="3"/>
      <c r="K188" s="17"/>
      <c r="L188" s="16"/>
      <c r="M188" s="3"/>
      <c r="N188" s="3"/>
      <c r="O188" s="2"/>
      <c r="P188" s="3"/>
      <c r="Q188" s="3"/>
      <c r="R188" s="3"/>
      <c r="S188" s="16"/>
      <c r="T188" s="3"/>
      <c r="U188" s="3"/>
      <c r="V188" s="3"/>
      <c r="W188" s="16"/>
      <c r="X188" s="16"/>
      <c r="Y188" s="3"/>
      <c r="Z188" s="18"/>
      <c r="AA188" s="3"/>
      <c r="AB188" s="16"/>
      <c r="AC188" s="16"/>
      <c r="AD188" s="16"/>
      <c r="AE188" s="9"/>
      <c r="AF188" s="16"/>
      <c r="AG188" s="16"/>
      <c r="AH188" s="16"/>
      <c r="AI188" s="16"/>
      <c r="AJ188" s="16"/>
      <c r="AK188" s="16"/>
      <c r="AL188" s="16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1:48" hidden="1" x14ac:dyDescent="0.25">
      <c r="A189" s="31"/>
      <c r="B189" s="31"/>
      <c r="C189" s="3"/>
      <c r="D189" s="3"/>
      <c r="E189" s="2"/>
      <c r="F189" s="3"/>
      <c r="G189" s="3"/>
      <c r="H189" s="16"/>
      <c r="I189" s="16"/>
      <c r="J189" s="3"/>
      <c r="K189" s="17"/>
      <c r="L189" s="16"/>
      <c r="M189" s="3"/>
      <c r="N189" s="3"/>
      <c r="O189" s="2"/>
      <c r="P189" s="3"/>
      <c r="Q189" s="3"/>
      <c r="R189" s="3"/>
      <c r="S189" s="16"/>
      <c r="T189" s="3"/>
      <c r="U189" s="3"/>
      <c r="V189" s="3"/>
      <c r="W189" s="16"/>
      <c r="X189" s="16"/>
      <c r="Y189" s="3"/>
      <c r="Z189" s="18"/>
      <c r="AA189" s="3"/>
      <c r="AB189" s="16"/>
      <c r="AC189" s="16"/>
      <c r="AD189" s="16"/>
      <c r="AE189" s="9"/>
      <c r="AF189" s="16"/>
      <c r="AG189" s="16"/>
      <c r="AH189" s="16"/>
      <c r="AI189" s="16"/>
      <c r="AJ189" s="16"/>
      <c r="AK189" s="16"/>
      <c r="AL189" s="16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1:48" hidden="1" x14ac:dyDescent="0.25">
      <c r="A190" s="31"/>
      <c r="B190" s="31"/>
      <c r="C190" s="3"/>
      <c r="D190" s="3"/>
      <c r="E190" s="2"/>
      <c r="F190" s="3"/>
      <c r="G190" s="3"/>
      <c r="H190" s="16"/>
      <c r="I190" s="16"/>
      <c r="J190" s="3"/>
      <c r="K190" s="17"/>
      <c r="L190" s="16"/>
      <c r="M190" s="3"/>
      <c r="N190" s="3"/>
      <c r="O190" s="2"/>
      <c r="P190" s="3"/>
      <c r="Q190" s="3"/>
      <c r="R190" s="3"/>
      <c r="S190" s="16"/>
      <c r="T190" s="3"/>
      <c r="U190" s="3"/>
      <c r="V190" s="3"/>
      <c r="W190" s="16"/>
      <c r="X190" s="16"/>
      <c r="Y190" s="3"/>
      <c r="Z190" s="18"/>
      <c r="AA190" s="3"/>
      <c r="AB190" s="16"/>
      <c r="AC190" s="16"/>
      <c r="AD190" s="16"/>
      <c r="AE190" s="9"/>
      <c r="AF190" s="16"/>
      <c r="AG190" s="16"/>
      <c r="AH190" s="16"/>
      <c r="AI190" s="16"/>
      <c r="AJ190" s="16"/>
      <c r="AK190" s="16"/>
      <c r="AL190" s="16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1:48" x14ac:dyDescent="0.25">
      <c r="A191" s="15">
        <f>1+A187</f>
        <v>48</v>
      </c>
      <c r="B191" s="15"/>
      <c r="C191" s="2"/>
      <c r="D191" s="2"/>
      <c r="E191" s="24" t="str">
        <f>+AQ191</f>
        <v/>
      </c>
      <c r="F191" s="30"/>
      <c r="G191" s="24" t="str">
        <f>+AV191</f>
        <v>300100</v>
      </c>
      <c r="H191" s="16">
        <f>+AK191</f>
        <v>0</v>
      </c>
      <c r="I191" s="16">
        <f>+ROUND(AD191,2)</f>
        <v>0</v>
      </c>
      <c r="J191" s="2"/>
      <c r="K191" s="17">
        <f>+AE191</f>
        <v>0</v>
      </c>
      <c r="L191" s="16">
        <f>+AJ191</f>
        <v>0</v>
      </c>
      <c r="M191" s="32" t="s">
        <v>5</v>
      </c>
      <c r="N191" s="30"/>
      <c r="O191" s="2"/>
      <c r="P191" s="30"/>
      <c r="Q191" s="32" t="s">
        <v>0</v>
      </c>
      <c r="R191" s="24"/>
      <c r="S191" s="24" t="str">
        <f>+RIGHT(O191,7)</f>
        <v/>
      </c>
      <c r="T191" s="2"/>
      <c r="U191" s="3" t="s">
        <v>1</v>
      </c>
      <c r="V191" s="3" t="s">
        <v>3</v>
      </c>
      <c r="W191" s="16">
        <f>+AI191</f>
        <v>0</v>
      </c>
      <c r="X191" s="16">
        <f>+AJ191</f>
        <v>0</v>
      </c>
      <c r="Y191" s="3" t="s">
        <v>4</v>
      </c>
      <c r="Z191" s="18">
        <f>+F191</f>
        <v>0</v>
      </c>
      <c r="AA191" s="61"/>
      <c r="AB191" s="65"/>
      <c r="AC191" s="16">
        <f>+AB191*0.18</f>
        <v>0</v>
      </c>
      <c r="AD191" s="16">
        <f>+AB191+AC191</f>
        <v>0</v>
      </c>
      <c r="AE191" s="68"/>
      <c r="AF191" s="16">
        <f>+AB191*AE191</f>
        <v>0</v>
      </c>
      <c r="AG191" s="16">
        <f>+AC191*AE191</f>
        <v>0</v>
      </c>
      <c r="AH191" s="16">
        <f>+AD191*AE191</f>
        <v>0</v>
      </c>
      <c r="AI191" s="16">
        <f>+ROUND(AF191,2)</f>
        <v>0</v>
      </c>
      <c r="AJ191" s="16">
        <f>+ROUND(AG191,2)</f>
        <v>0</v>
      </c>
      <c r="AK191" s="16">
        <f>+AI191+AJ191</f>
        <v>0</v>
      </c>
      <c r="AL191" s="16">
        <f>+AI191+AJ191-AK191</f>
        <v>0</v>
      </c>
      <c r="AM191" s="44"/>
      <c r="AN191" s="41" t="str">
        <f>+LEFT(AM191,2)</f>
        <v/>
      </c>
      <c r="AO191" s="41" t="str">
        <f>+MID(AM191,4,2)</f>
        <v/>
      </c>
      <c r="AP191" s="41" t="str">
        <f>+RIGHT(AM191,2)</f>
        <v/>
      </c>
      <c r="AQ191" s="41" t="str">
        <f>+CONCATENATE(AN191,AO191,AP191)</f>
        <v/>
      </c>
      <c r="AR191" s="45">
        <f>+AM191+30</f>
        <v>30</v>
      </c>
      <c r="AS191" s="46">
        <f>+DAY(AR191)</f>
        <v>30</v>
      </c>
      <c r="AT191" s="41">
        <f>+MONTH(AR191)</f>
        <v>1</v>
      </c>
      <c r="AU191" s="41">
        <f>+YEAR(AR191)</f>
        <v>1900</v>
      </c>
      <c r="AV191" s="41" t="str">
        <f>+CONCATENATE(TEXT(AS191,"00"),TEXT(AT191,"00"),RIGHT(AU191,2))</f>
        <v>300100</v>
      </c>
    </row>
    <row r="192" spans="1:48" hidden="1" x14ac:dyDescent="0.25">
      <c r="A192" s="31"/>
      <c r="B192" s="31"/>
      <c r="C192" s="3"/>
      <c r="D192" s="3"/>
      <c r="E192" s="2"/>
      <c r="F192" s="3"/>
      <c r="G192" s="3"/>
      <c r="H192" s="16"/>
      <c r="I192" s="16"/>
      <c r="J192" s="3"/>
      <c r="K192" s="17"/>
      <c r="L192" s="16"/>
      <c r="M192" s="3"/>
      <c r="N192" s="3"/>
      <c r="O192" s="2"/>
      <c r="P192" s="3"/>
      <c r="Q192" s="3"/>
      <c r="R192" s="3"/>
      <c r="S192" s="16"/>
      <c r="T192" s="3"/>
      <c r="U192" s="3"/>
      <c r="V192" s="3"/>
      <c r="W192" s="16"/>
      <c r="X192" s="16"/>
      <c r="Y192" s="3"/>
      <c r="Z192" s="18"/>
      <c r="AA192" s="3"/>
      <c r="AB192" s="16"/>
      <c r="AC192" s="16"/>
      <c r="AD192" s="16"/>
      <c r="AE192" s="9"/>
      <c r="AF192" s="16"/>
      <c r="AG192" s="16"/>
      <c r="AH192" s="16"/>
      <c r="AI192" s="16"/>
      <c r="AJ192" s="16"/>
      <c r="AK192" s="16"/>
      <c r="AL192" s="16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hidden="1" x14ac:dyDescent="0.25">
      <c r="A193" s="31"/>
      <c r="B193" s="31"/>
      <c r="C193" s="3"/>
      <c r="D193" s="3"/>
      <c r="E193" s="2"/>
      <c r="F193" s="3"/>
      <c r="G193" s="3"/>
      <c r="H193" s="16"/>
      <c r="I193" s="16"/>
      <c r="J193" s="3"/>
      <c r="K193" s="17"/>
      <c r="L193" s="16"/>
      <c r="M193" s="3"/>
      <c r="N193" s="3"/>
      <c r="O193" s="2"/>
      <c r="P193" s="3"/>
      <c r="Q193" s="3"/>
      <c r="R193" s="3"/>
      <c r="S193" s="16"/>
      <c r="T193" s="3"/>
      <c r="U193" s="3"/>
      <c r="V193" s="3"/>
      <c r="W193" s="16"/>
      <c r="X193" s="16"/>
      <c r="Y193" s="3"/>
      <c r="Z193" s="18"/>
      <c r="AA193" s="3"/>
      <c r="AB193" s="16"/>
      <c r="AC193" s="16"/>
      <c r="AD193" s="16"/>
      <c r="AE193" s="9"/>
      <c r="AF193" s="16"/>
      <c r="AG193" s="16"/>
      <c r="AH193" s="16"/>
      <c r="AI193" s="16"/>
      <c r="AJ193" s="16"/>
      <c r="AK193" s="16"/>
      <c r="AL193" s="16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1:48" hidden="1" x14ac:dyDescent="0.25">
      <c r="A194" s="31"/>
      <c r="B194" s="31"/>
      <c r="C194" s="3"/>
      <c r="D194" s="3"/>
      <c r="E194" s="2"/>
      <c r="F194" s="3"/>
      <c r="G194" s="3"/>
      <c r="H194" s="16"/>
      <c r="I194" s="16"/>
      <c r="J194" s="3"/>
      <c r="K194" s="17"/>
      <c r="L194" s="16"/>
      <c r="M194" s="3"/>
      <c r="N194" s="3"/>
      <c r="O194" s="2"/>
      <c r="P194" s="3"/>
      <c r="Q194" s="3"/>
      <c r="R194" s="3"/>
      <c r="S194" s="16"/>
      <c r="T194" s="3"/>
      <c r="U194" s="3"/>
      <c r="V194" s="3"/>
      <c r="W194" s="16"/>
      <c r="X194" s="16"/>
      <c r="Y194" s="3"/>
      <c r="Z194" s="18"/>
      <c r="AA194" s="3"/>
      <c r="AB194" s="16"/>
      <c r="AC194" s="16"/>
      <c r="AD194" s="16"/>
      <c r="AE194" s="9"/>
      <c r="AF194" s="16"/>
      <c r="AG194" s="16"/>
      <c r="AH194" s="16"/>
      <c r="AI194" s="16"/>
      <c r="AJ194" s="16"/>
      <c r="AK194" s="16"/>
      <c r="AL194" s="16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x14ac:dyDescent="0.25">
      <c r="A195" s="15">
        <f>1+A191</f>
        <v>49</v>
      </c>
      <c r="B195" s="15"/>
      <c r="C195" s="2"/>
      <c r="D195" s="2"/>
      <c r="E195" s="24" t="str">
        <f>+AQ195</f>
        <v/>
      </c>
      <c r="F195" s="30"/>
      <c r="G195" s="24" t="str">
        <f>+AV195</f>
        <v>300100</v>
      </c>
      <c r="H195" s="16">
        <f>+AK195</f>
        <v>0</v>
      </c>
      <c r="I195" s="16">
        <f>+ROUND(AD195,2)</f>
        <v>0</v>
      </c>
      <c r="J195" s="2"/>
      <c r="K195" s="17">
        <f>+AE195</f>
        <v>0</v>
      </c>
      <c r="L195" s="16">
        <f>+AJ195</f>
        <v>0</v>
      </c>
      <c r="M195" s="32" t="s">
        <v>5</v>
      </c>
      <c r="N195" s="30"/>
      <c r="O195" s="2"/>
      <c r="P195" s="30"/>
      <c r="Q195" s="32" t="s">
        <v>0</v>
      </c>
      <c r="R195" s="24"/>
      <c r="S195" s="24" t="str">
        <f>+RIGHT(O195,7)</f>
        <v/>
      </c>
      <c r="T195" s="2"/>
      <c r="U195" s="3" t="s">
        <v>1</v>
      </c>
      <c r="V195" s="3" t="s">
        <v>3</v>
      </c>
      <c r="W195" s="16">
        <f>+AI195</f>
        <v>0</v>
      </c>
      <c r="X195" s="16">
        <f>+AJ195</f>
        <v>0</v>
      </c>
      <c r="Y195" s="3" t="s">
        <v>4</v>
      </c>
      <c r="Z195" s="18">
        <f>+F195</f>
        <v>0</v>
      </c>
      <c r="AA195" s="61"/>
      <c r="AB195" s="65"/>
      <c r="AC195" s="16">
        <f>+AB195*0.18</f>
        <v>0</v>
      </c>
      <c r="AD195" s="16">
        <f>+AB195+AC195</f>
        <v>0</v>
      </c>
      <c r="AE195" s="68"/>
      <c r="AF195" s="16">
        <f>+AB195*AE195</f>
        <v>0</v>
      </c>
      <c r="AG195" s="16">
        <f>+AC195*AE195</f>
        <v>0</v>
      </c>
      <c r="AH195" s="16">
        <f>+AD195*AE195</f>
        <v>0</v>
      </c>
      <c r="AI195" s="16">
        <f>+ROUND(AF195,2)</f>
        <v>0</v>
      </c>
      <c r="AJ195" s="16">
        <f>+ROUND(AG195,2)</f>
        <v>0</v>
      </c>
      <c r="AK195" s="16">
        <f>+AI195+AJ195</f>
        <v>0</v>
      </c>
      <c r="AL195" s="16">
        <f>+AI195+AJ195-AK195</f>
        <v>0</v>
      </c>
      <c r="AM195" s="44"/>
      <c r="AN195" s="41" t="str">
        <f>+LEFT(AM195,2)</f>
        <v/>
      </c>
      <c r="AO195" s="41" t="str">
        <f>+MID(AM195,4,2)</f>
        <v/>
      </c>
      <c r="AP195" s="41" t="str">
        <f>+RIGHT(AM195,2)</f>
        <v/>
      </c>
      <c r="AQ195" s="41" t="str">
        <f>+CONCATENATE(AN195,AO195,AP195)</f>
        <v/>
      </c>
      <c r="AR195" s="45">
        <f>+AM195+30</f>
        <v>30</v>
      </c>
      <c r="AS195" s="46">
        <f>+DAY(AR195)</f>
        <v>30</v>
      </c>
      <c r="AT195" s="41">
        <f>+MONTH(AR195)</f>
        <v>1</v>
      </c>
      <c r="AU195" s="41">
        <f>+YEAR(AR195)</f>
        <v>1900</v>
      </c>
      <c r="AV195" s="41" t="str">
        <f>+CONCATENATE(TEXT(AS195,"00"),TEXT(AT195,"00"),RIGHT(AU195,2))</f>
        <v>300100</v>
      </c>
    </row>
    <row r="196" spans="1:48" hidden="1" x14ac:dyDescent="0.25">
      <c r="A196" s="31"/>
      <c r="B196" s="31"/>
      <c r="C196" s="3"/>
      <c r="D196" s="3"/>
      <c r="E196" s="2"/>
      <c r="F196" s="3"/>
      <c r="G196" s="3"/>
      <c r="H196" s="16"/>
      <c r="I196" s="16"/>
      <c r="J196" s="3"/>
      <c r="K196" s="17"/>
      <c r="L196" s="16"/>
      <c r="M196" s="3"/>
      <c r="N196" s="3"/>
      <c r="O196" s="2"/>
      <c r="P196" s="3"/>
      <c r="Q196" s="3"/>
      <c r="R196" s="3"/>
      <c r="S196" s="16"/>
      <c r="T196" s="3"/>
      <c r="U196" s="3"/>
      <c r="V196" s="3"/>
      <c r="W196" s="16"/>
      <c r="X196" s="16"/>
      <c r="Y196" s="3"/>
      <c r="Z196" s="18"/>
      <c r="AA196" s="3"/>
      <c r="AB196" s="16"/>
      <c r="AC196" s="16"/>
      <c r="AD196" s="16"/>
      <c r="AE196" s="9"/>
      <c r="AF196" s="16"/>
      <c r="AG196" s="16"/>
      <c r="AH196" s="16"/>
      <c r="AI196" s="16"/>
      <c r="AJ196" s="16"/>
      <c r="AK196" s="16"/>
      <c r="AL196" s="16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1:48" hidden="1" x14ac:dyDescent="0.25">
      <c r="A197" s="31"/>
      <c r="B197" s="31"/>
      <c r="C197" s="3"/>
      <c r="D197" s="3"/>
      <c r="E197" s="2"/>
      <c r="F197" s="3"/>
      <c r="G197" s="3"/>
      <c r="H197" s="16"/>
      <c r="I197" s="16"/>
      <c r="J197" s="3"/>
      <c r="K197" s="17"/>
      <c r="L197" s="16"/>
      <c r="M197" s="3"/>
      <c r="N197" s="3"/>
      <c r="O197" s="2"/>
      <c r="P197" s="3"/>
      <c r="Q197" s="3"/>
      <c r="R197" s="3"/>
      <c r="S197" s="16"/>
      <c r="T197" s="3"/>
      <c r="U197" s="3"/>
      <c r="V197" s="3"/>
      <c r="W197" s="16"/>
      <c r="X197" s="16"/>
      <c r="Y197" s="3"/>
      <c r="Z197" s="18"/>
      <c r="AA197" s="3"/>
      <c r="AB197" s="16"/>
      <c r="AC197" s="16"/>
      <c r="AD197" s="16"/>
      <c r="AE197" s="9"/>
      <c r="AF197" s="16"/>
      <c r="AG197" s="16"/>
      <c r="AH197" s="16"/>
      <c r="AI197" s="16"/>
      <c r="AJ197" s="16"/>
      <c r="AK197" s="16"/>
      <c r="AL197" s="16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1:48" hidden="1" x14ac:dyDescent="0.25">
      <c r="A198" s="31"/>
      <c r="B198" s="31"/>
      <c r="C198" s="3"/>
      <c r="D198" s="3"/>
      <c r="E198" s="2"/>
      <c r="F198" s="3"/>
      <c r="G198" s="3"/>
      <c r="H198" s="16"/>
      <c r="I198" s="16"/>
      <c r="J198" s="3"/>
      <c r="K198" s="17"/>
      <c r="L198" s="16"/>
      <c r="M198" s="3"/>
      <c r="N198" s="3"/>
      <c r="O198" s="2"/>
      <c r="P198" s="3"/>
      <c r="Q198" s="3"/>
      <c r="R198" s="3"/>
      <c r="S198" s="16"/>
      <c r="T198" s="3"/>
      <c r="U198" s="3"/>
      <c r="V198" s="3"/>
      <c r="W198" s="16"/>
      <c r="X198" s="16"/>
      <c r="Y198" s="3"/>
      <c r="Z198" s="18"/>
      <c r="AA198" s="3"/>
      <c r="AB198" s="16"/>
      <c r="AC198" s="16"/>
      <c r="AD198" s="16"/>
      <c r="AE198" s="9"/>
      <c r="AF198" s="16"/>
      <c r="AG198" s="16"/>
      <c r="AH198" s="16"/>
      <c r="AI198" s="16"/>
      <c r="AJ198" s="16"/>
      <c r="AK198" s="16"/>
      <c r="AL198" s="16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x14ac:dyDescent="0.25">
      <c r="A199" s="15">
        <f>1+A195</f>
        <v>50</v>
      </c>
      <c r="B199" s="15"/>
      <c r="C199" s="2"/>
      <c r="D199" s="2"/>
      <c r="E199" s="24" t="str">
        <f>+AQ199</f>
        <v/>
      </c>
      <c r="F199" s="30"/>
      <c r="G199" s="24" t="str">
        <f>+AV199</f>
        <v>300100</v>
      </c>
      <c r="H199" s="16">
        <f>+AK199</f>
        <v>0</v>
      </c>
      <c r="I199" s="16">
        <f>+ROUND(AD199,2)</f>
        <v>0</v>
      </c>
      <c r="J199" s="2"/>
      <c r="K199" s="17">
        <f>+AE199</f>
        <v>0</v>
      </c>
      <c r="L199" s="16">
        <f>+AJ199</f>
        <v>0</v>
      </c>
      <c r="M199" s="32" t="s">
        <v>5</v>
      </c>
      <c r="N199" s="30"/>
      <c r="O199" s="2"/>
      <c r="P199" s="30"/>
      <c r="Q199" s="32" t="s">
        <v>0</v>
      </c>
      <c r="R199" s="24"/>
      <c r="S199" s="24" t="str">
        <f>+RIGHT(O199,7)</f>
        <v/>
      </c>
      <c r="T199" s="2"/>
      <c r="U199" s="3" t="s">
        <v>1</v>
      </c>
      <c r="V199" s="3" t="s">
        <v>3</v>
      </c>
      <c r="W199" s="16">
        <f>+AI199</f>
        <v>0</v>
      </c>
      <c r="X199" s="16">
        <f>+AJ199</f>
        <v>0</v>
      </c>
      <c r="Y199" s="3" t="s">
        <v>4</v>
      </c>
      <c r="Z199" s="18">
        <f>+F199</f>
        <v>0</v>
      </c>
      <c r="AA199" s="61"/>
      <c r="AB199" s="65"/>
      <c r="AC199" s="16">
        <f>+AB199*0.18</f>
        <v>0</v>
      </c>
      <c r="AD199" s="16">
        <f>+AB199+AC199</f>
        <v>0</v>
      </c>
      <c r="AE199" s="68"/>
      <c r="AF199" s="16">
        <f>+AB199*AE199</f>
        <v>0</v>
      </c>
      <c r="AG199" s="16">
        <f>+AC199*AE199</f>
        <v>0</v>
      </c>
      <c r="AH199" s="16">
        <f>+AD199*AE199</f>
        <v>0</v>
      </c>
      <c r="AI199" s="16">
        <f>+ROUND(AF199,2)</f>
        <v>0</v>
      </c>
      <c r="AJ199" s="16">
        <f>+ROUND(AG199,2)</f>
        <v>0</v>
      </c>
      <c r="AK199" s="16">
        <f>+AI199+AJ199</f>
        <v>0</v>
      </c>
      <c r="AL199" s="16">
        <f>+AI199+AJ199-AK199</f>
        <v>0</v>
      </c>
      <c r="AM199" s="44"/>
      <c r="AN199" s="41" t="str">
        <f>+LEFT(AM199,2)</f>
        <v/>
      </c>
      <c r="AO199" s="41" t="str">
        <f>+MID(AM199,4,2)</f>
        <v/>
      </c>
      <c r="AP199" s="41" t="str">
        <f>+RIGHT(AM199,2)</f>
        <v/>
      </c>
      <c r="AQ199" s="41" t="str">
        <f>+CONCATENATE(AN199,AO199,AP199)</f>
        <v/>
      </c>
      <c r="AR199" s="45">
        <f>+AM199+30</f>
        <v>30</v>
      </c>
      <c r="AS199" s="46">
        <f>+DAY(AR199)</f>
        <v>30</v>
      </c>
      <c r="AT199" s="41">
        <f>+MONTH(AR199)</f>
        <v>1</v>
      </c>
      <c r="AU199" s="41">
        <f>+YEAR(AR199)</f>
        <v>1900</v>
      </c>
      <c r="AV199" s="41" t="str">
        <f>+CONCATENATE(TEXT(AS199,"00"),TEXT(AT199,"00"),RIGHT(AU199,2))</f>
        <v>300100</v>
      </c>
    </row>
    <row r="200" spans="1:48" hidden="1" x14ac:dyDescent="0.25">
      <c r="A200" s="31"/>
      <c r="B200" s="31"/>
      <c r="C200" s="3"/>
      <c r="D200" s="3"/>
      <c r="E200" s="2"/>
      <c r="F200" s="3"/>
      <c r="G200" s="3"/>
      <c r="H200" s="16"/>
      <c r="I200" s="16"/>
      <c r="J200" s="3"/>
      <c r="K200" s="17"/>
      <c r="L200" s="16"/>
      <c r="M200" s="3"/>
      <c r="N200" s="3"/>
      <c r="O200" s="2"/>
      <c r="P200" s="3"/>
      <c r="Q200" s="3"/>
      <c r="R200" s="3"/>
      <c r="S200" s="16"/>
      <c r="T200" s="3"/>
      <c r="U200" s="3"/>
      <c r="V200" s="3"/>
      <c r="W200" s="16"/>
      <c r="X200" s="16"/>
      <c r="Y200" s="3"/>
      <c r="Z200" s="18"/>
      <c r="AA200" s="3"/>
      <c r="AB200" s="16"/>
      <c r="AC200" s="16"/>
      <c r="AD200" s="16"/>
      <c r="AE200" s="9"/>
      <c r="AF200" s="16"/>
      <c r="AG200" s="16"/>
      <c r="AH200" s="16"/>
      <c r="AI200" s="16"/>
      <c r="AJ200" s="16"/>
      <c r="AK200" s="16"/>
      <c r="AL200" s="16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1:48" hidden="1" x14ac:dyDescent="0.25">
      <c r="A201" s="31"/>
      <c r="B201" s="31"/>
      <c r="C201" s="3"/>
      <c r="D201" s="3"/>
      <c r="E201" s="2"/>
      <c r="F201" s="3"/>
      <c r="G201" s="3"/>
      <c r="H201" s="16"/>
      <c r="I201" s="16"/>
      <c r="J201" s="3"/>
      <c r="K201" s="17"/>
      <c r="L201" s="16"/>
      <c r="M201" s="3"/>
      <c r="N201" s="3"/>
      <c r="O201" s="2"/>
      <c r="P201" s="3"/>
      <c r="Q201" s="3"/>
      <c r="R201" s="3"/>
      <c r="S201" s="16"/>
      <c r="T201" s="3"/>
      <c r="U201" s="3"/>
      <c r="V201" s="3"/>
      <c r="W201" s="16"/>
      <c r="X201" s="16"/>
      <c r="Y201" s="3"/>
      <c r="Z201" s="18"/>
      <c r="AA201" s="3"/>
      <c r="AB201" s="16"/>
      <c r="AC201" s="16"/>
      <c r="AD201" s="16"/>
      <c r="AE201" s="9"/>
      <c r="AF201" s="16"/>
      <c r="AG201" s="16"/>
      <c r="AH201" s="16"/>
      <c r="AI201" s="16"/>
      <c r="AJ201" s="16"/>
      <c r="AK201" s="16"/>
      <c r="AL201" s="16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1:48" hidden="1" x14ac:dyDescent="0.25">
      <c r="A202" s="31"/>
      <c r="B202" s="31"/>
      <c r="C202" s="3"/>
      <c r="D202" s="3"/>
      <c r="E202" s="2"/>
      <c r="F202" s="3"/>
      <c r="G202" s="3"/>
      <c r="H202" s="16"/>
      <c r="I202" s="16"/>
      <c r="J202" s="3"/>
      <c r="K202" s="17"/>
      <c r="L202" s="16"/>
      <c r="M202" s="3"/>
      <c r="N202" s="3"/>
      <c r="O202" s="2"/>
      <c r="P202" s="3"/>
      <c r="Q202" s="3"/>
      <c r="R202" s="3"/>
      <c r="S202" s="16"/>
      <c r="T202" s="3"/>
      <c r="U202" s="3"/>
      <c r="V202" s="3"/>
      <c r="W202" s="16"/>
      <c r="X202" s="16"/>
      <c r="Y202" s="3"/>
      <c r="Z202" s="18"/>
      <c r="AA202" s="3"/>
      <c r="AB202" s="16"/>
      <c r="AC202" s="16"/>
      <c r="AD202" s="16"/>
      <c r="AE202" s="9"/>
      <c r="AF202" s="16"/>
      <c r="AG202" s="16"/>
      <c r="AH202" s="16"/>
      <c r="AI202" s="16"/>
      <c r="AJ202" s="16"/>
      <c r="AK202" s="16"/>
      <c r="AL202" s="16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x14ac:dyDescent="0.25">
      <c r="A203" s="15">
        <f>1+A199</f>
        <v>51</v>
      </c>
      <c r="B203" s="15"/>
      <c r="C203" s="2"/>
      <c r="D203" s="2"/>
      <c r="E203" s="24" t="str">
        <f>+AQ203</f>
        <v/>
      </c>
      <c r="F203" s="30"/>
      <c r="G203" s="24" t="str">
        <f>+AV203</f>
        <v>300100</v>
      </c>
      <c r="H203" s="16">
        <f>+AK203</f>
        <v>0</v>
      </c>
      <c r="I203" s="16">
        <f>+ROUND(AD203,2)</f>
        <v>0</v>
      </c>
      <c r="J203" s="2"/>
      <c r="K203" s="17">
        <f>+AE203</f>
        <v>0</v>
      </c>
      <c r="L203" s="16">
        <f>+AJ203</f>
        <v>0</v>
      </c>
      <c r="M203" s="32" t="s">
        <v>5</v>
      </c>
      <c r="N203" s="30"/>
      <c r="O203" s="2"/>
      <c r="P203" s="30"/>
      <c r="Q203" s="32" t="s">
        <v>0</v>
      </c>
      <c r="R203" s="24"/>
      <c r="S203" s="24" t="str">
        <f>+RIGHT(O203,7)</f>
        <v/>
      </c>
      <c r="T203" s="2"/>
      <c r="U203" s="3" t="s">
        <v>1</v>
      </c>
      <c r="V203" s="3" t="s">
        <v>3</v>
      </c>
      <c r="W203" s="16">
        <f>+AI203</f>
        <v>0</v>
      </c>
      <c r="X203" s="16">
        <f>+AJ203</f>
        <v>0</v>
      </c>
      <c r="Y203" s="3" t="s">
        <v>4</v>
      </c>
      <c r="Z203" s="18">
        <f>+F203</f>
        <v>0</v>
      </c>
      <c r="AA203" s="61"/>
      <c r="AB203" s="65"/>
      <c r="AC203" s="16">
        <f>+AB203*0.18</f>
        <v>0</v>
      </c>
      <c r="AD203" s="16">
        <f>+AB203+AC203</f>
        <v>0</v>
      </c>
      <c r="AE203" s="68"/>
      <c r="AF203" s="16">
        <f>+AB203*AE203</f>
        <v>0</v>
      </c>
      <c r="AG203" s="16">
        <f>+AC203*AE203</f>
        <v>0</v>
      </c>
      <c r="AH203" s="16">
        <f>+AD203*AE203</f>
        <v>0</v>
      </c>
      <c r="AI203" s="16">
        <f>+ROUND(AF203,2)</f>
        <v>0</v>
      </c>
      <c r="AJ203" s="16">
        <f>+ROUND(AG203,2)</f>
        <v>0</v>
      </c>
      <c r="AK203" s="16">
        <f>+AI203+AJ203</f>
        <v>0</v>
      </c>
      <c r="AL203" s="16">
        <f>+AI203+AJ203-AK203</f>
        <v>0</v>
      </c>
      <c r="AM203" s="44"/>
      <c r="AN203" s="41" t="str">
        <f>+LEFT(AM203,2)</f>
        <v/>
      </c>
      <c r="AO203" s="41" t="str">
        <f>+MID(AM203,4,2)</f>
        <v/>
      </c>
      <c r="AP203" s="41" t="str">
        <f>+RIGHT(AM203,2)</f>
        <v/>
      </c>
      <c r="AQ203" s="41" t="str">
        <f>+CONCATENATE(AN203,AO203,AP203)</f>
        <v/>
      </c>
      <c r="AR203" s="45">
        <f>+AM203+30</f>
        <v>30</v>
      </c>
      <c r="AS203" s="46">
        <f>+DAY(AR203)</f>
        <v>30</v>
      </c>
      <c r="AT203" s="41">
        <f>+MONTH(AR203)</f>
        <v>1</v>
      </c>
      <c r="AU203" s="41">
        <f>+YEAR(AR203)</f>
        <v>1900</v>
      </c>
      <c r="AV203" s="41" t="str">
        <f>+CONCATENATE(TEXT(AS203,"00"),TEXT(AT203,"00"),RIGHT(AU203,2))</f>
        <v>300100</v>
      </c>
    </row>
    <row r="204" spans="1:48" hidden="1" x14ac:dyDescent="0.25">
      <c r="A204" s="31"/>
      <c r="B204" s="31"/>
      <c r="C204" s="3"/>
      <c r="D204" s="3"/>
      <c r="E204" s="2"/>
      <c r="F204" s="3"/>
      <c r="G204" s="3"/>
      <c r="H204" s="16"/>
      <c r="I204" s="16"/>
      <c r="J204" s="3"/>
      <c r="K204" s="17"/>
      <c r="L204" s="16"/>
      <c r="M204" s="3"/>
      <c r="N204" s="3"/>
      <c r="O204" s="2"/>
      <c r="P204" s="3"/>
      <c r="Q204" s="3"/>
      <c r="R204" s="3"/>
      <c r="S204" s="16"/>
      <c r="T204" s="3"/>
      <c r="U204" s="3"/>
      <c r="V204" s="3"/>
      <c r="W204" s="16"/>
      <c r="X204" s="16"/>
      <c r="Y204" s="3"/>
      <c r="Z204" s="18"/>
      <c r="AA204" s="3"/>
      <c r="AB204" s="16"/>
      <c r="AC204" s="16"/>
      <c r="AD204" s="16"/>
      <c r="AE204" s="9"/>
      <c r="AF204" s="16"/>
      <c r="AG204" s="16"/>
      <c r="AH204" s="16"/>
      <c r="AI204" s="16"/>
      <c r="AJ204" s="16"/>
      <c r="AK204" s="16"/>
      <c r="AL204" s="16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hidden="1" x14ac:dyDescent="0.25">
      <c r="A205" s="31"/>
      <c r="B205" s="31"/>
      <c r="C205" s="3"/>
      <c r="D205" s="3"/>
      <c r="E205" s="2"/>
      <c r="F205" s="3"/>
      <c r="G205" s="3"/>
      <c r="H205" s="16"/>
      <c r="I205" s="16"/>
      <c r="J205" s="3"/>
      <c r="K205" s="17"/>
      <c r="L205" s="16"/>
      <c r="M205" s="3"/>
      <c r="N205" s="3"/>
      <c r="O205" s="2"/>
      <c r="P205" s="3"/>
      <c r="Q205" s="3"/>
      <c r="R205" s="3"/>
      <c r="S205" s="16"/>
      <c r="T205" s="3"/>
      <c r="U205" s="3"/>
      <c r="V205" s="3"/>
      <c r="W205" s="16"/>
      <c r="X205" s="16"/>
      <c r="Y205" s="3"/>
      <c r="Z205" s="18"/>
      <c r="AA205" s="3"/>
      <c r="AB205" s="16"/>
      <c r="AC205" s="16"/>
      <c r="AD205" s="16"/>
      <c r="AE205" s="9"/>
      <c r="AF205" s="16"/>
      <c r="AG205" s="16"/>
      <c r="AH205" s="16"/>
      <c r="AI205" s="16"/>
      <c r="AJ205" s="16"/>
      <c r="AK205" s="16"/>
      <c r="AL205" s="16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hidden="1" x14ac:dyDescent="0.25">
      <c r="A206" s="31"/>
      <c r="B206" s="31"/>
      <c r="C206" s="3"/>
      <c r="D206" s="3"/>
      <c r="E206" s="2"/>
      <c r="F206" s="3"/>
      <c r="G206" s="3"/>
      <c r="H206" s="16"/>
      <c r="I206" s="16"/>
      <c r="J206" s="3"/>
      <c r="K206" s="17"/>
      <c r="L206" s="16"/>
      <c r="M206" s="3"/>
      <c r="N206" s="3"/>
      <c r="O206" s="2"/>
      <c r="P206" s="3"/>
      <c r="Q206" s="3"/>
      <c r="R206" s="3"/>
      <c r="S206" s="16"/>
      <c r="T206" s="3"/>
      <c r="U206" s="3"/>
      <c r="V206" s="3"/>
      <c r="W206" s="16"/>
      <c r="X206" s="16"/>
      <c r="Y206" s="3"/>
      <c r="Z206" s="18"/>
      <c r="AA206" s="3"/>
      <c r="AB206" s="16"/>
      <c r="AC206" s="16"/>
      <c r="AD206" s="16"/>
      <c r="AE206" s="9"/>
      <c r="AF206" s="16"/>
      <c r="AG206" s="16"/>
      <c r="AH206" s="16"/>
      <c r="AI206" s="16"/>
      <c r="AJ206" s="16"/>
      <c r="AK206" s="16"/>
      <c r="AL206" s="16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1:48" x14ac:dyDescent="0.25">
      <c r="A207" s="15">
        <f>1+A203</f>
        <v>52</v>
      </c>
      <c r="B207" s="15"/>
      <c r="C207" s="2"/>
      <c r="D207" s="2"/>
      <c r="E207" s="24" t="str">
        <f>+AQ207</f>
        <v/>
      </c>
      <c r="F207" s="30"/>
      <c r="G207" s="24" t="str">
        <f>+AV207</f>
        <v>300100</v>
      </c>
      <c r="H207" s="16">
        <f>+AK207</f>
        <v>0</v>
      </c>
      <c r="I207" s="16">
        <f>+ROUND(AD207,2)</f>
        <v>0</v>
      </c>
      <c r="J207" s="2"/>
      <c r="K207" s="17">
        <f>+AE207</f>
        <v>0</v>
      </c>
      <c r="L207" s="16">
        <f>+AJ207</f>
        <v>0</v>
      </c>
      <c r="M207" s="32" t="s">
        <v>5</v>
      </c>
      <c r="N207" s="30"/>
      <c r="O207" s="2"/>
      <c r="P207" s="30"/>
      <c r="Q207" s="32" t="s">
        <v>0</v>
      </c>
      <c r="R207" s="24"/>
      <c r="S207" s="24" t="str">
        <f>+RIGHT(O207,7)</f>
        <v/>
      </c>
      <c r="T207" s="2"/>
      <c r="U207" s="3" t="s">
        <v>1</v>
      </c>
      <c r="V207" s="3" t="s">
        <v>3</v>
      </c>
      <c r="W207" s="16">
        <f>+AI207</f>
        <v>0</v>
      </c>
      <c r="X207" s="16">
        <f>+AJ207</f>
        <v>0</v>
      </c>
      <c r="Y207" s="3" t="s">
        <v>4</v>
      </c>
      <c r="Z207" s="18">
        <f>+F207</f>
        <v>0</v>
      </c>
      <c r="AA207" s="61"/>
      <c r="AB207" s="65"/>
      <c r="AC207" s="16">
        <f>+AB207*0.18</f>
        <v>0</v>
      </c>
      <c r="AD207" s="16">
        <f>+AB207+AC207</f>
        <v>0</v>
      </c>
      <c r="AE207" s="68"/>
      <c r="AF207" s="16">
        <f>+AB207*AE207</f>
        <v>0</v>
      </c>
      <c r="AG207" s="16">
        <f>+AC207*AE207</f>
        <v>0</v>
      </c>
      <c r="AH207" s="16">
        <f>+AD207*AE207</f>
        <v>0</v>
      </c>
      <c r="AI207" s="16">
        <f>+ROUND(AF207,2)</f>
        <v>0</v>
      </c>
      <c r="AJ207" s="16">
        <f>+ROUND(AG207,2)</f>
        <v>0</v>
      </c>
      <c r="AK207" s="16">
        <f>+AI207+AJ207</f>
        <v>0</v>
      </c>
      <c r="AL207" s="16">
        <f>+AI207+AJ207-AK207</f>
        <v>0</v>
      </c>
      <c r="AM207" s="44"/>
      <c r="AN207" s="41" t="str">
        <f>+LEFT(AM207,2)</f>
        <v/>
      </c>
      <c r="AO207" s="41" t="str">
        <f>+MID(AM207,4,2)</f>
        <v/>
      </c>
      <c r="AP207" s="41" t="str">
        <f>+RIGHT(AM207,2)</f>
        <v/>
      </c>
      <c r="AQ207" s="41" t="str">
        <f>+CONCATENATE(AN207,AO207,AP207)</f>
        <v/>
      </c>
      <c r="AR207" s="45">
        <f>+AM207+30</f>
        <v>30</v>
      </c>
      <c r="AS207" s="46">
        <f>+DAY(AR207)</f>
        <v>30</v>
      </c>
      <c r="AT207" s="41">
        <f>+MONTH(AR207)</f>
        <v>1</v>
      </c>
      <c r="AU207" s="41">
        <f>+YEAR(AR207)</f>
        <v>1900</v>
      </c>
      <c r="AV207" s="41" t="str">
        <f>+CONCATENATE(TEXT(AS207,"00"),TEXT(AT207,"00"),RIGHT(AU207,2))</f>
        <v>300100</v>
      </c>
    </row>
    <row r="208" spans="1:48" hidden="1" x14ac:dyDescent="0.25">
      <c r="A208" s="31"/>
      <c r="B208" s="31"/>
      <c r="C208" s="3"/>
      <c r="D208" s="3"/>
      <c r="E208" s="2"/>
      <c r="F208" s="3"/>
      <c r="G208" s="3"/>
      <c r="H208" s="16"/>
      <c r="I208" s="16"/>
      <c r="J208" s="3"/>
      <c r="K208" s="17"/>
      <c r="L208" s="16"/>
      <c r="M208" s="3"/>
      <c r="N208" s="3"/>
      <c r="O208" s="2"/>
      <c r="P208" s="3"/>
      <c r="Q208" s="3"/>
      <c r="R208" s="3"/>
      <c r="S208" s="16"/>
      <c r="T208" s="3"/>
      <c r="U208" s="3"/>
      <c r="V208" s="3"/>
      <c r="W208" s="16"/>
      <c r="X208" s="16"/>
      <c r="Y208" s="3"/>
      <c r="Z208" s="18"/>
      <c r="AA208" s="3"/>
      <c r="AB208" s="16"/>
      <c r="AC208" s="16"/>
      <c r="AD208" s="16"/>
      <c r="AE208" s="9"/>
      <c r="AF208" s="16"/>
      <c r="AG208" s="16"/>
      <c r="AH208" s="16"/>
      <c r="AI208" s="16"/>
      <c r="AJ208" s="16"/>
      <c r="AK208" s="16"/>
      <c r="AL208" s="16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hidden="1" x14ac:dyDescent="0.25">
      <c r="A209" s="31"/>
      <c r="B209" s="31"/>
      <c r="C209" s="3"/>
      <c r="D209" s="3"/>
      <c r="E209" s="2"/>
      <c r="F209" s="3"/>
      <c r="G209" s="3"/>
      <c r="H209" s="16"/>
      <c r="I209" s="16"/>
      <c r="J209" s="3"/>
      <c r="K209" s="17"/>
      <c r="L209" s="16"/>
      <c r="M209" s="3"/>
      <c r="N209" s="3"/>
      <c r="O209" s="2"/>
      <c r="P209" s="3"/>
      <c r="Q209" s="3"/>
      <c r="R209" s="3"/>
      <c r="S209" s="16"/>
      <c r="T209" s="3"/>
      <c r="U209" s="3"/>
      <c r="V209" s="3"/>
      <c r="W209" s="16"/>
      <c r="X209" s="16"/>
      <c r="Y209" s="3"/>
      <c r="Z209" s="18"/>
      <c r="AA209" s="3"/>
      <c r="AB209" s="16"/>
      <c r="AC209" s="16"/>
      <c r="AD209" s="16"/>
      <c r="AE209" s="9"/>
      <c r="AF209" s="16"/>
      <c r="AG209" s="16"/>
      <c r="AH209" s="16"/>
      <c r="AI209" s="16"/>
      <c r="AJ209" s="16"/>
      <c r="AK209" s="16"/>
      <c r="AL209" s="16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hidden="1" x14ac:dyDescent="0.25">
      <c r="A210" s="31"/>
      <c r="B210" s="31"/>
      <c r="C210" s="3"/>
      <c r="D210" s="3"/>
      <c r="E210" s="2"/>
      <c r="F210" s="3"/>
      <c r="G210" s="3"/>
      <c r="H210" s="16"/>
      <c r="I210" s="16"/>
      <c r="J210" s="3"/>
      <c r="K210" s="17"/>
      <c r="L210" s="16"/>
      <c r="M210" s="3"/>
      <c r="N210" s="3"/>
      <c r="O210" s="2"/>
      <c r="P210" s="3"/>
      <c r="Q210" s="3"/>
      <c r="R210" s="3"/>
      <c r="S210" s="16"/>
      <c r="T210" s="3"/>
      <c r="U210" s="3"/>
      <c r="V210" s="3"/>
      <c r="W210" s="16"/>
      <c r="X210" s="16"/>
      <c r="Y210" s="3"/>
      <c r="Z210" s="18"/>
      <c r="AA210" s="3"/>
      <c r="AB210" s="16"/>
      <c r="AC210" s="16"/>
      <c r="AD210" s="16"/>
      <c r="AE210" s="9"/>
      <c r="AF210" s="16"/>
      <c r="AG210" s="16"/>
      <c r="AH210" s="16"/>
      <c r="AI210" s="16"/>
      <c r="AJ210" s="16"/>
      <c r="AK210" s="16"/>
      <c r="AL210" s="16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x14ac:dyDescent="0.25">
      <c r="A211" s="15">
        <f>1+A207</f>
        <v>53</v>
      </c>
      <c r="B211" s="15"/>
      <c r="C211" s="2"/>
      <c r="D211" s="2"/>
      <c r="E211" s="24" t="str">
        <f>+AQ211</f>
        <v/>
      </c>
      <c r="F211" s="30"/>
      <c r="G211" s="24" t="str">
        <f>+AV211</f>
        <v>300100</v>
      </c>
      <c r="H211" s="16">
        <f>+AK211</f>
        <v>0</v>
      </c>
      <c r="I211" s="16">
        <f>+ROUND(AD211,2)</f>
        <v>0</v>
      </c>
      <c r="J211" s="2"/>
      <c r="K211" s="17">
        <f>+AE211</f>
        <v>0</v>
      </c>
      <c r="L211" s="16">
        <f>+AJ211</f>
        <v>0</v>
      </c>
      <c r="M211" s="32" t="s">
        <v>5</v>
      </c>
      <c r="N211" s="30"/>
      <c r="O211" s="2"/>
      <c r="P211" s="30"/>
      <c r="Q211" s="32" t="s">
        <v>0</v>
      </c>
      <c r="R211" s="24"/>
      <c r="S211" s="24" t="str">
        <f>+RIGHT(O211,7)</f>
        <v/>
      </c>
      <c r="T211" s="2"/>
      <c r="U211" s="3" t="s">
        <v>1</v>
      </c>
      <c r="V211" s="3" t="s">
        <v>3</v>
      </c>
      <c r="W211" s="16">
        <f>+AI211</f>
        <v>0</v>
      </c>
      <c r="X211" s="16">
        <f>+AJ211</f>
        <v>0</v>
      </c>
      <c r="Y211" s="3" t="s">
        <v>4</v>
      </c>
      <c r="Z211" s="18">
        <f>+F211</f>
        <v>0</v>
      </c>
      <c r="AA211" s="61"/>
      <c r="AB211" s="65"/>
      <c r="AC211" s="16">
        <f>+AB211*0.18</f>
        <v>0</v>
      </c>
      <c r="AD211" s="16">
        <f>+AB211+AC211</f>
        <v>0</v>
      </c>
      <c r="AE211" s="68"/>
      <c r="AF211" s="16">
        <f>+AB211*AE211</f>
        <v>0</v>
      </c>
      <c r="AG211" s="16">
        <f>+AC211*AE211</f>
        <v>0</v>
      </c>
      <c r="AH211" s="16">
        <f>+AD211*AE211</f>
        <v>0</v>
      </c>
      <c r="AI211" s="16">
        <f>+ROUND(AF211,2)</f>
        <v>0</v>
      </c>
      <c r="AJ211" s="16">
        <f>+ROUND(AG211,2)</f>
        <v>0</v>
      </c>
      <c r="AK211" s="16">
        <f>+AI211+AJ211</f>
        <v>0</v>
      </c>
      <c r="AL211" s="16">
        <f>+AI211+AJ211-AK211</f>
        <v>0</v>
      </c>
      <c r="AM211" s="44"/>
      <c r="AN211" s="41" t="str">
        <f>+LEFT(AM211,2)</f>
        <v/>
      </c>
      <c r="AO211" s="41" t="str">
        <f>+MID(AM211,4,2)</f>
        <v/>
      </c>
      <c r="AP211" s="41" t="str">
        <f>+RIGHT(AM211,2)</f>
        <v/>
      </c>
      <c r="AQ211" s="41" t="str">
        <f>+CONCATENATE(AN211,AO211,AP211)</f>
        <v/>
      </c>
      <c r="AR211" s="45">
        <f>+AM211+30</f>
        <v>30</v>
      </c>
      <c r="AS211" s="46">
        <f>+DAY(AR211)</f>
        <v>30</v>
      </c>
      <c r="AT211" s="41">
        <f>+MONTH(AR211)</f>
        <v>1</v>
      </c>
      <c r="AU211" s="41">
        <f>+YEAR(AR211)</f>
        <v>1900</v>
      </c>
      <c r="AV211" s="41" t="str">
        <f>+CONCATENATE(TEXT(AS211,"00"),TEXT(AT211,"00"),RIGHT(AU211,2))</f>
        <v>300100</v>
      </c>
    </row>
    <row r="212" spans="1:48" hidden="1" x14ac:dyDescent="0.25">
      <c r="A212" s="31"/>
      <c r="B212" s="31"/>
      <c r="C212" s="3"/>
      <c r="D212" s="3"/>
      <c r="E212" s="2"/>
      <c r="F212" s="3"/>
      <c r="G212" s="3"/>
      <c r="H212" s="16"/>
      <c r="I212" s="16"/>
      <c r="J212" s="3"/>
      <c r="K212" s="17"/>
      <c r="L212" s="16"/>
      <c r="M212" s="3"/>
      <c r="N212" s="3"/>
      <c r="O212" s="2"/>
      <c r="P212" s="3"/>
      <c r="Q212" s="3"/>
      <c r="R212" s="3"/>
      <c r="S212" s="16"/>
      <c r="T212" s="3"/>
      <c r="U212" s="3"/>
      <c r="V212" s="3"/>
      <c r="W212" s="16"/>
      <c r="X212" s="16"/>
      <c r="Y212" s="3"/>
      <c r="Z212" s="18"/>
      <c r="AA212" s="3"/>
      <c r="AB212" s="16"/>
      <c r="AC212" s="16"/>
      <c r="AD212" s="16"/>
      <c r="AE212" s="9"/>
      <c r="AF212" s="16"/>
      <c r="AG212" s="16"/>
      <c r="AH212" s="16"/>
      <c r="AI212" s="16"/>
      <c r="AJ212" s="16"/>
      <c r="AK212" s="16"/>
      <c r="AL212" s="16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1:48" hidden="1" x14ac:dyDescent="0.25">
      <c r="A213" s="31"/>
      <c r="B213" s="31"/>
      <c r="C213" s="3"/>
      <c r="D213" s="3"/>
      <c r="E213" s="2"/>
      <c r="F213" s="3"/>
      <c r="G213" s="3"/>
      <c r="H213" s="16"/>
      <c r="I213" s="16"/>
      <c r="J213" s="3"/>
      <c r="K213" s="17"/>
      <c r="L213" s="16"/>
      <c r="M213" s="3"/>
      <c r="N213" s="3"/>
      <c r="O213" s="2"/>
      <c r="P213" s="3"/>
      <c r="Q213" s="3"/>
      <c r="R213" s="3"/>
      <c r="S213" s="16"/>
      <c r="T213" s="3"/>
      <c r="U213" s="3"/>
      <c r="V213" s="3"/>
      <c r="W213" s="16"/>
      <c r="X213" s="16"/>
      <c r="Y213" s="3"/>
      <c r="Z213" s="18"/>
      <c r="AA213" s="3"/>
      <c r="AB213" s="16"/>
      <c r="AC213" s="16"/>
      <c r="AD213" s="16"/>
      <c r="AE213" s="9"/>
      <c r="AF213" s="16"/>
      <c r="AG213" s="16"/>
      <c r="AH213" s="16"/>
      <c r="AI213" s="16"/>
      <c r="AJ213" s="16"/>
      <c r="AK213" s="16"/>
      <c r="AL213" s="16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hidden="1" x14ac:dyDescent="0.25">
      <c r="A214" s="31"/>
      <c r="B214" s="31"/>
      <c r="C214" s="3"/>
      <c r="D214" s="3"/>
      <c r="E214" s="2"/>
      <c r="F214" s="3"/>
      <c r="G214" s="3"/>
      <c r="H214" s="16"/>
      <c r="I214" s="16"/>
      <c r="J214" s="3"/>
      <c r="K214" s="17"/>
      <c r="L214" s="16"/>
      <c r="M214" s="3"/>
      <c r="N214" s="3"/>
      <c r="O214" s="2"/>
      <c r="P214" s="3"/>
      <c r="Q214" s="3"/>
      <c r="R214" s="3"/>
      <c r="S214" s="16"/>
      <c r="T214" s="3"/>
      <c r="U214" s="3"/>
      <c r="V214" s="3"/>
      <c r="W214" s="16"/>
      <c r="X214" s="16"/>
      <c r="Y214" s="3"/>
      <c r="Z214" s="18"/>
      <c r="AA214" s="3"/>
      <c r="AB214" s="16"/>
      <c r="AC214" s="16"/>
      <c r="AD214" s="16"/>
      <c r="AE214" s="9"/>
      <c r="AF214" s="16"/>
      <c r="AG214" s="16"/>
      <c r="AH214" s="16"/>
      <c r="AI214" s="16"/>
      <c r="AJ214" s="16"/>
      <c r="AK214" s="16"/>
      <c r="AL214" s="16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1:48" x14ac:dyDescent="0.25">
      <c r="A215" s="15">
        <f>1+A211</f>
        <v>54</v>
      </c>
      <c r="B215" s="15"/>
      <c r="C215" s="2"/>
      <c r="D215" s="2"/>
      <c r="E215" s="24" t="str">
        <f>+AQ215</f>
        <v/>
      </c>
      <c r="F215" s="30"/>
      <c r="G215" s="24" t="str">
        <f>+AV215</f>
        <v>300100</v>
      </c>
      <c r="H215" s="16">
        <f>+AK215</f>
        <v>0</v>
      </c>
      <c r="I215" s="16">
        <f>+ROUND(AD215,2)</f>
        <v>0</v>
      </c>
      <c r="J215" s="2"/>
      <c r="K215" s="17">
        <f>+AE215</f>
        <v>0</v>
      </c>
      <c r="L215" s="16">
        <f>+AJ215</f>
        <v>0</v>
      </c>
      <c r="M215" s="32" t="s">
        <v>5</v>
      </c>
      <c r="N215" s="30"/>
      <c r="O215" s="2"/>
      <c r="P215" s="30"/>
      <c r="Q215" s="32" t="s">
        <v>0</v>
      </c>
      <c r="R215" s="24"/>
      <c r="S215" s="24" t="str">
        <f>+RIGHT(O215,7)</f>
        <v/>
      </c>
      <c r="T215" s="2"/>
      <c r="U215" s="3" t="s">
        <v>1</v>
      </c>
      <c r="V215" s="3" t="s">
        <v>3</v>
      </c>
      <c r="W215" s="16">
        <f>+AI215</f>
        <v>0</v>
      </c>
      <c r="X215" s="16">
        <f>+AJ215</f>
        <v>0</v>
      </c>
      <c r="Y215" s="3" t="s">
        <v>4</v>
      </c>
      <c r="Z215" s="18">
        <f>+F215</f>
        <v>0</v>
      </c>
      <c r="AA215" s="61"/>
      <c r="AB215" s="65"/>
      <c r="AC215" s="16">
        <f>+AB215*0.18</f>
        <v>0</v>
      </c>
      <c r="AD215" s="16">
        <f>+AB215+AC215</f>
        <v>0</v>
      </c>
      <c r="AE215" s="68"/>
      <c r="AF215" s="16">
        <f>+AB215*AE215</f>
        <v>0</v>
      </c>
      <c r="AG215" s="16">
        <f>+AC215*AE215</f>
        <v>0</v>
      </c>
      <c r="AH215" s="16">
        <f>+AD215*AE215</f>
        <v>0</v>
      </c>
      <c r="AI215" s="16">
        <f>+ROUND(AF215,2)</f>
        <v>0</v>
      </c>
      <c r="AJ215" s="16">
        <f>+ROUND(AG215,2)</f>
        <v>0</v>
      </c>
      <c r="AK215" s="16">
        <f>+AI215+AJ215</f>
        <v>0</v>
      </c>
      <c r="AL215" s="16">
        <f>+AI215+AJ215-AK215</f>
        <v>0</v>
      </c>
      <c r="AM215" s="44"/>
      <c r="AN215" s="41" t="str">
        <f>+LEFT(AM215,2)</f>
        <v/>
      </c>
      <c r="AO215" s="41" t="str">
        <f>+MID(AM215,4,2)</f>
        <v/>
      </c>
      <c r="AP215" s="41" t="str">
        <f>+RIGHT(AM215,2)</f>
        <v/>
      </c>
      <c r="AQ215" s="41" t="str">
        <f>+CONCATENATE(AN215,AO215,AP215)</f>
        <v/>
      </c>
      <c r="AR215" s="45">
        <f>+AM215+30</f>
        <v>30</v>
      </c>
      <c r="AS215" s="46">
        <f>+DAY(AR215)</f>
        <v>30</v>
      </c>
      <c r="AT215" s="41">
        <f>+MONTH(AR215)</f>
        <v>1</v>
      </c>
      <c r="AU215" s="41">
        <f>+YEAR(AR215)</f>
        <v>1900</v>
      </c>
      <c r="AV215" s="41" t="str">
        <f>+CONCATENATE(TEXT(AS215,"00"),TEXT(AT215,"00"),RIGHT(AU215,2))</f>
        <v>300100</v>
      </c>
    </row>
    <row r="216" spans="1:48" hidden="1" x14ac:dyDescent="0.25">
      <c r="A216" s="31"/>
      <c r="B216" s="31"/>
      <c r="C216" s="3"/>
      <c r="D216" s="3"/>
      <c r="E216" s="2"/>
      <c r="F216" s="3"/>
      <c r="G216" s="3"/>
      <c r="H216" s="16"/>
      <c r="I216" s="16"/>
      <c r="J216" s="3"/>
      <c r="K216" s="17"/>
      <c r="L216" s="16"/>
      <c r="M216" s="3"/>
      <c r="N216" s="3"/>
      <c r="O216" s="2"/>
      <c r="P216" s="3" t="s">
        <v>54</v>
      </c>
      <c r="Q216" s="3"/>
      <c r="R216" s="3"/>
      <c r="S216" s="16"/>
      <c r="T216" s="3"/>
      <c r="U216" s="3"/>
      <c r="V216" s="3"/>
      <c r="W216" s="16"/>
      <c r="X216" s="16"/>
      <c r="Y216" s="3"/>
      <c r="Z216" s="18"/>
      <c r="AA216" s="3"/>
      <c r="AB216" s="16"/>
      <c r="AC216" s="16"/>
      <c r="AD216" s="16"/>
      <c r="AE216" s="9"/>
      <c r="AF216" s="16"/>
      <c r="AG216" s="16"/>
      <c r="AH216" s="16"/>
      <c r="AI216" s="16"/>
      <c r="AJ216" s="16"/>
      <c r="AK216" s="16"/>
      <c r="AL216" s="16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hidden="1" x14ac:dyDescent="0.25">
      <c r="A217" s="31"/>
      <c r="B217" s="31"/>
      <c r="C217" s="3"/>
      <c r="D217" s="3"/>
      <c r="E217" s="2"/>
      <c r="F217" s="3"/>
      <c r="G217" s="3"/>
      <c r="H217" s="16"/>
      <c r="I217" s="16"/>
      <c r="J217" s="3"/>
      <c r="K217" s="17"/>
      <c r="L217" s="16"/>
      <c r="M217" s="3"/>
      <c r="N217" s="3"/>
      <c r="O217" s="2"/>
      <c r="P217" s="3" t="s">
        <v>54</v>
      </c>
      <c r="Q217" s="3"/>
      <c r="R217" s="3"/>
      <c r="S217" s="16"/>
      <c r="T217" s="3"/>
      <c r="U217" s="3"/>
      <c r="V217" s="3"/>
      <c r="W217" s="16"/>
      <c r="X217" s="16"/>
      <c r="Y217" s="3"/>
      <c r="Z217" s="18"/>
      <c r="AA217" s="3"/>
      <c r="AB217" s="16"/>
      <c r="AC217" s="16"/>
      <c r="AD217" s="16"/>
      <c r="AE217" s="9"/>
      <c r="AF217" s="16"/>
      <c r="AG217" s="16"/>
      <c r="AH217" s="16"/>
      <c r="AI217" s="16"/>
      <c r="AJ217" s="16"/>
      <c r="AK217" s="16"/>
      <c r="AL217" s="16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1:48" hidden="1" x14ac:dyDescent="0.25">
      <c r="A218" s="31"/>
      <c r="B218" s="31"/>
      <c r="C218" s="3"/>
      <c r="D218" s="3"/>
      <c r="E218" s="2"/>
      <c r="F218" s="3"/>
      <c r="G218" s="3"/>
      <c r="H218" s="16"/>
      <c r="I218" s="16"/>
      <c r="J218" s="3"/>
      <c r="K218" s="17"/>
      <c r="L218" s="16"/>
      <c r="M218" s="3"/>
      <c r="N218" s="3"/>
      <c r="O218" s="2"/>
      <c r="P218" s="3" t="s">
        <v>54</v>
      </c>
      <c r="Q218" s="3"/>
      <c r="R218" s="3"/>
      <c r="S218" s="16"/>
      <c r="T218" s="3"/>
      <c r="U218" s="3"/>
      <c r="V218" s="3"/>
      <c r="W218" s="16"/>
      <c r="X218" s="16"/>
      <c r="Y218" s="3"/>
      <c r="Z218" s="18"/>
      <c r="AA218" s="3"/>
      <c r="AB218" s="16"/>
      <c r="AC218" s="16"/>
      <c r="AD218" s="16"/>
      <c r="AE218" s="9"/>
      <c r="AF218" s="16"/>
      <c r="AG218" s="16"/>
      <c r="AH218" s="16"/>
      <c r="AI218" s="16"/>
      <c r="AJ218" s="16"/>
      <c r="AK218" s="16"/>
      <c r="AL218" s="16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1:48" x14ac:dyDescent="0.25">
      <c r="A219" s="15">
        <f t="shared" ref="A219" si="0">1+A215</f>
        <v>55</v>
      </c>
      <c r="B219" s="15"/>
      <c r="C219" s="2"/>
      <c r="D219" s="2"/>
      <c r="E219" s="24" t="str">
        <f t="shared" ref="E219" si="1">+AQ219</f>
        <v/>
      </c>
      <c r="F219" s="30"/>
      <c r="G219" s="24" t="str">
        <f t="shared" ref="G219" si="2">+AV219</f>
        <v>300100</v>
      </c>
      <c r="H219" s="16">
        <f t="shared" ref="H219" si="3">+AK219</f>
        <v>0</v>
      </c>
      <c r="I219" s="16">
        <f t="shared" ref="I219" si="4">+ROUND(AD219,2)</f>
        <v>0</v>
      </c>
      <c r="J219" s="2"/>
      <c r="K219" s="17">
        <f t="shared" ref="K219" si="5">+AE219</f>
        <v>0</v>
      </c>
      <c r="L219" s="16">
        <f t="shared" ref="L219" si="6">+AJ219</f>
        <v>0</v>
      </c>
      <c r="M219" s="32" t="s">
        <v>5</v>
      </c>
      <c r="N219" s="30"/>
      <c r="O219" s="2"/>
      <c r="P219" s="30"/>
      <c r="Q219" s="32" t="s">
        <v>0</v>
      </c>
      <c r="R219" s="24"/>
      <c r="S219" s="24" t="str">
        <f t="shared" ref="S219" si="7">+RIGHT(O219,7)</f>
        <v/>
      </c>
      <c r="T219" s="2"/>
      <c r="U219" s="3" t="s">
        <v>1</v>
      </c>
      <c r="V219" s="3" t="s">
        <v>3</v>
      </c>
      <c r="W219" s="16">
        <f t="shared" ref="W219" si="8">+AI219</f>
        <v>0</v>
      </c>
      <c r="X219" s="16">
        <f t="shared" ref="X219" si="9">+AJ219</f>
        <v>0</v>
      </c>
      <c r="Y219" s="3" t="s">
        <v>4</v>
      </c>
      <c r="Z219" s="18">
        <f t="shared" ref="Z219" si="10">+F219</f>
        <v>0</v>
      </c>
      <c r="AA219" s="61"/>
      <c r="AB219" s="65"/>
      <c r="AC219" s="16">
        <f>+AB219*0.18</f>
        <v>0</v>
      </c>
      <c r="AD219" s="16">
        <f>+AB219+AC219</f>
        <v>0</v>
      </c>
      <c r="AE219" s="68"/>
      <c r="AF219" s="16">
        <f t="shared" ref="AF219" si="11">+AB219*AE219</f>
        <v>0</v>
      </c>
      <c r="AG219" s="16">
        <f t="shared" ref="AG219" si="12">+AC219*AE219</f>
        <v>0</v>
      </c>
      <c r="AH219" s="16">
        <f t="shared" ref="AH219" si="13">+AD219*AE219</f>
        <v>0</v>
      </c>
      <c r="AI219" s="16">
        <f t="shared" ref="AI219" si="14">+ROUND(AF219,2)</f>
        <v>0</v>
      </c>
      <c r="AJ219" s="16">
        <f t="shared" ref="AJ219" si="15">+ROUND(AG219,2)</f>
        <v>0</v>
      </c>
      <c r="AK219" s="16">
        <f t="shared" ref="AK219" si="16">+AI219+AJ219</f>
        <v>0</v>
      </c>
      <c r="AL219" s="16">
        <f t="shared" ref="AL219" si="17">+AI219+AJ219-AK219</f>
        <v>0</v>
      </c>
      <c r="AM219" s="44"/>
      <c r="AN219" s="41" t="str">
        <f t="shared" ref="AN219" si="18">+LEFT(AM219,2)</f>
        <v/>
      </c>
      <c r="AO219" s="41" t="str">
        <f t="shared" ref="AO219" si="19">+MID(AM219,4,2)</f>
        <v/>
      </c>
      <c r="AP219" s="41" t="str">
        <f t="shared" ref="AP219" si="20">+RIGHT(AM219,2)</f>
        <v/>
      </c>
      <c r="AQ219" s="41" t="str">
        <f t="shared" ref="AQ219" si="21">+CONCATENATE(AN219,AO219,AP219)</f>
        <v/>
      </c>
      <c r="AR219" s="45">
        <f t="shared" ref="AR219" si="22">+AM219+30</f>
        <v>30</v>
      </c>
      <c r="AS219" s="46">
        <f t="shared" ref="AS219" si="23">+DAY(AR219)</f>
        <v>30</v>
      </c>
      <c r="AT219" s="41">
        <f t="shared" ref="AT219" si="24">+MONTH(AR219)</f>
        <v>1</v>
      </c>
      <c r="AU219" s="41">
        <f t="shared" ref="AU219" si="25">+YEAR(AR219)</f>
        <v>1900</v>
      </c>
      <c r="AV219" s="41" t="str">
        <f t="shared" ref="AV219" si="26">+CONCATENATE(TEXT(AS219,"00"),TEXT(AT219,"00"),RIGHT(AU219,2))</f>
        <v>300100</v>
      </c>
    </row>
    <row r="220" spans="1:48" hidden="1" x14ac:dyDescent="0.25">
      <c r="A220" s="31"/>
      <c r="B220" s="31"/>
      <c r="C220" s="3"/>
      <c r="D220" s="3"/>
      <c r="E220" s="2"/>
      <c r="F220" s="3"/>
      <c r="G220" s="3"/>
      <c r="H220" s="16"/>
      <c r="I220" s="16"/>
      <c r="J220" s="3"/>
      <c r="K220" s="17"/>
      <c r="L220" s="16"/>
      <c r="M220" s="3"/>
      <c r="N220" s="3"/>
      <c r="O220" s="2"/>
      <c r="P220" s="3" t="s">
        <v>54</v>
      </c>
      <c r="Q220" s="3"/>
      <c r="R220" s="3"/>
      <c r="S220" s="16"/>
      <c r="T220" s="3"/>
      <c r="U220" s="3"/>
      <c r="V220" s="3"/>
      <c r="W220" s="16"/>
      <c r="X220" s="16"/>
      <c r="Y220" s="3"/>
      <c r="Z220" s="18"/>
      <c r="AA220" s="3"/>
      <c r="AB220" s="16"/>
      <c r="AC220" s="16"/>
      <c r="AD220" s="16"/>
      <c r="AE220" s="9"/>
      <c r="AF220" s="16"/>
      <c r="AG220" s="16"/>
      <c r="AH220" s="16"/>
      <c r="AI220" s="16"/>
      <c r="AJ220" s="16"/>
      <c r="AK220" s="16"/>
      <c r="AL220" s="16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1:48" hidden="1" x14ac:dyDescent="0.25">
      <c r="A221" s="31"/>
      <c r="B221" s="31"/>
      <c r="C221" s="3"/>
      <c r="D221" s="3"/>
      <c r="E221" s="2"/>
      <c r="F221" s="3"/>
      <c r="G221" s="3"/>
      <c r="H221" s="16"/>
      <c r="I221" s="16"/>
      <c r="J221" s="3"/>
      <c r="K221" s="17"/>
      <c r="L221" s="16"/>
      <c r="M221" s="3"/>
      <c r="N221" s="3"/>
      <c r="O221" s="2"/>
      <c r="P221" s="3" t="s">
        <v>54</v>
      </c>
      <c r="Q221" s="3"/>
      <c r="R221" s="3"/>
      <c r="S221" s="16"/>
      <c r="T221" s="3"/>
      <c r="U221" s="3"/>
      <c r="V221" s="3"/>
      <c r="W221" s="16"/>
      <c r="X221" s="16"/>
      <c r="Y221" s="3"/>
      <c r="Z221" s="18"/>
      <c r="AA221" s="3"/>
      <c r="AB221" s="16"/>
      <c r="AC221" s="16"/>
      <c r="AD221" s="16"/>
      <c r="AE221" s="9"/>
      <c r="AF221" s="16"/>
      <c r="AG221" s="16"/>
      <c r="AH221" s="16"/>
      <c r="AI221" s="16"/>
      <c r="AJ221" s="16"/>
      <c r="AK221" s="16"/>
      <c r="AL221" s="16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1:48" hidden="1" x14ac:dyDescent="0.25">
      <c r="A222" s="31"/>
      <c r="B222" s="31"/>
      <c r="C222" s="3"/>
      <c r="D222" s="3"/>
      <c r="E222" s="2"/>
      <c r="F222" s="3"/>
      <c r="G222" s="3"/>
      <c r="H222" s="16"/>
      <c r="I222" s="16"/>
      <c r="J222" s="3"/>
      <c r="K222" s="17"/>
      <c r="L222" s="16"/>
      <c r="M222" s="3"/>
      <c r="N222" s="3"/>
      <c r="O222" s="2"/>
      <c r="P222" s="3" t="s">
        <v>54</v>
      </c>
      <c r="Q222" s="3"/>
      <c r="R222" s="3"/>
      <c r="S222" s="16"/>
      <c r="T222" s="3"/>
      <c r="U222" s="3"/>
      <c r="V222" s="3"/>
      <c r="W222" s="16"/>
      <c r="X222" s="16"/>
      <c r="Y222" s="3"/>
      <c r="Z222" s="18"/>
      <c r="AA222" s="3"/>
      <c r="AB222" s="16"/>
      <c r="AC222" s="16"/>
      <c r="AD222" s="16"/>
      <c r="AE222" s="9"/>
      <c r="AF222" s="16"/>
      <c r="AG222" s="16"/>
      <c r="AH222" s="16"/>
      <c r="AI222" s="16"/>
      <c r="AJ222" s="16"/>
      <c r="AK222" s="16"/>
      <c r="AL222" s="16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1:48" x14ac:dyDescent="0.25">
      <c r="A223" s="15">
        <f t="shared" ref="A223" si="27">1+A219</f>
        <v>56</v>
      </c>
      <c r="B223" s="15"/>
      <c r="C223" s="2"/>
      <c r="D223" s="2"/>
      <c r="E223" s="24" t="str">
        <f t="shared" ref="E223" si="28">+AQ223</f>
        <v/>
      </c>
      <c r="F223" s="30"/>
      <c r="G223" s="24" t="str">
        <f t="shared" ref="G223" si="29">+AV223</f>
        <v>300100</v>
      </c>
      <c r="H223" s="16">
        <f t="shared" ref="H223" si="30">+AK223</f>
        <v>0</v>
      </c>
      <c r="I223" s="16">
        <f t="shared" ref="I223" si="31">+ROUND(AD223,2)</f>
        <v>0</v>
      </c>
      <c r="J223" s="2"/>
      <c r="K223" s="17">
        <f t="shared" ref="K223" si="32">+AE223</f>
        <v>0</v>
      </c>
      <c r="L223" s="16">
        <f t="shared" ref="L223" si="33">+AJ223</f>
        <v>0</v>
      </c>
      <c r="M223" s="32" t="s">
        <v>5</v>
      </c>
      <c r="N223" s="30"/>
      <c r="O223" s="2"/>
      <c r="P223" s="30"/>
      <c r="Q223" s="32" t="s">
        <v>0</v>
      </c>
      <c r="R223" s="24"/>
      <c r="S223" s="24" t="str">
        <f t="shared" ref="S223" si="34">+RIGHT(O223,7)</f>
        <v/>
      </c>
      <c r="T223" s="2"/>
      <c r="U223" s="3" t="s">
        <v>1</v>
      </c>
      <c r="V223" s="3" t="s">
        <v>3</v>
      </c>
      <c r="W223" s="16">
        <f t="shared" ref="W223" si="35">+AI223</f>
        <v>0</v>
      </c>
      <c r="X223" s="16">
        <f t="shared" ref="X223" si="36">+AJ223</f>
        <v>0</v>
      </c>
      <c r="Y223" s="3" t="s">
        <v>4</v>
      </c>
      <c r="Z223" s="18">
        <f t="shared" ref="Z223" si="37">+F223</f>
        <v>0</v>
      </c>
      <c r="AA223" s="61"/>
      <c r="AB223" s="65"/>
      <c r="AC223" s="16">
        <f>+AB223*0.18</f>
        <v>0</v>
      </c>
      <c r="AD223" s="16">
        <f>+AB223+AC223</f>
        <v>0</v>
      </c>
      <c r="AE223" s="68"/>
      <c r="AF223" s="16">
        <f t="shared" ref="AF223" si="38">+AB223*AE223</f>
        <v>0</v>
      </c>
      <c r="AG223" s="16">
        <f t="shared" ref="AG223" si="39">+AC223*AE223</f>
        <v>0</v>
      </c>
      <c r="AH223" s="16">
        <f t="shared" ref="AH223" si="40">+AD223*AE223</f>
        <v>0</v>
      </c>
      <c r="AI223" s="16">
        <f t="shared" ref="AI223" si="41">+ROUND(AF223,2)</f>
        <v>0</v>
      </c>
      <c r="AJ223" s="16">
        <f t="shared" ref="AJ223" si="42">+ROUND(AG223,2)</f>
        <v>0</v>
      </c>
      <c r="AK223" s="16">
        <f t="shared" ref="AK223" si="43">+AI223+AJ223</f>
        <v>0</v>
      </c>
      <c r="AL223" s="16">
        <f t="shared" ref="AL223" si="44">+AI223+AJ223-AK223</f>
        <v>0</v>
      </c>
      <c r="AM223" s="44"/>
      <c r="AN223" s="41" t="str">
        <f t="shared" ref="AN223" si="45">+LEFT(AM223,2)</f>
        <v/>
      </c>
      <c r="AO223" s="41" t="str">
        <f t="shared" ref="AO223" si="46">+MID(AM223,4,2)</f>
        <v/>
      </c>
      <c r="AP223" s="41" t="str">
        <f t="shared" ref="AP223" si="47">+RIGHT(AM223,2)</f>
        <v/>
      </c>
      <c r="AQ223" s="41" t="str">
        <f t="shared" ref="AQ223" si="48">+CONCATENATE(AN223,AO223,AP223)</f>
        <v/>
      </c>
      <c r="AR223" s="45">
        <f t="shared" ref="AR223" si="49">+AM223+30</f>
        <v>30</v>
      </c>
      <c r="AS223" s="46">
        <f t="shared" ref="AS223" si="50">+DAY(AR223)</f>
        <v>30</v>
      </c>
      <c r="AT223" s="41">
        <f t="shared" ref="AT223" si="51">+MONTH(AR223)</f>
        <v>1</v>
      </c>
      <c r="AU223" s="41">
        <f t="shared" ref="AU223" si="52">+YEAR(AR223)</f>
        <v>1900</v>
      </c>
      <c r="AV223" s="41" t="str">
        <f t="shared" ref="AV223" si="53">+CONCATENATE(TEXT(AS223,"00"),TEXT(AT223,"00"),RIGHT(AU223,2))</f>
        <v>300100</v>
      </c>
    </row>
    <row r="224" spans="1:48" hidden="1" x14ac:dyDescent="0.25">
      <c r="A224" s="31"/>
      <c r="B224" s="31"/>
      <c r="C224" s="3"/>
      <c r="D224" s="3"/>
      <c r="E224" s="2"/>
      <c r="F224" s="3"/>
      <c r="G224" s="3"/>
      <c r="H224" s="16"/>
      <c r="I224" s="16"/>
      <c r="J224" s="3"/>
      <c r="K224" s="17"/>
      <c r="L224" s="16"/>
      <c r="M224" s="3"/>
      <c r="N224" s="3"/>
      <c r="O224" s="2"/>
      <c r="P224" s="3" t="s">
        <v>54</v>
      </c>
      <c r="Q224" s="3"/>
      <c r="R224" s="3"/>
      <c r="S224" s="16"/>
      <c r="T224" s="3"/>
      <c r="U224" s="3"/>
      <c r="V224" s="3"/>
      <c r="W224" s="16"/>
      <c r="X224" s="16"/>
      <c r="Y224" s="3"/>
      <c r="Z224" s="18"/>
      <c r="AA224" s="3"/>
      <c r="AB224" s="16"/>
      <c r="AC224" s="16"/>
      <c r="AD224" s="16"/>
      <c r="AE224" s="9"/>
      <c r="AF224" s="16"/>
      <c r="AG224" s="16"/>
      <c r="AH224" s="16"/>
      <c r="AI224" s="16"/>
      <c r="AJ224" s="16"/>
      <c r="AK224" s="16"/>
      <c r="AL224" s="16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hidden="1" x14ac:dyDescent="0.25">
      <c r="A225" s="31"/>
      <c r="B225" s="31"/>
      <c r="C225" s="3"/>
      <c r="D225" s="3"/>
      <c r="E225" s="2"/>
      <c r="F225" s="3"/>
      <c r="G225" s="3"/>
      <c r="H225" s="16"/>
      <c r="I225" s="16"/>
      <c r="J225" s="3"/>
      <c r="K225" s="17"/>
      <c r="L225" s="16"/>
      <c r="M225" s="3"/>
      <c r="N225" s="3"/>
      <c r="O225" s="2"/>
      <c r="P225" s="3" t="s">
        <v>54</v>
      </c>
      <c r="Q225" s="3"/>
      <c r="R225" s="3"/>
      <c r="S225" s="16"/>
      <c r="T225" s="3"/>
      <c r="U225" s="3"/>
      <c r="V225" s="3"/>
      <c r="W225" s="16"/>
      <c r="X225" s="16"/>
      <c r="Y225" s="3"/>
      <c r="Z225" s="18"/>
      <c r="AA225" s="3"/>
      <c r="AB225" s="16"/>
      <c r="AC225" s="16"/>
      <c r="AD225" s="16"/>
      <c r="AE225" s="9"/>
      <c r="AF225" s="16"/>
      <c r="AG225" s="16"/>
      <c r="AH225" s="16"/>
      <c r="AI225" s="16"/>
      <c r="AJ225" s="16"/>
      <c r="AK225" s="16"/>
      <c r="AL225" s="16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1:48" hidden="1" x14ac:dyDescent="0.25">
      <c r="A226" s="31"/>
      <c r="B226" s="31"/>
      <c r="C226" s="3"/>
      <c r="D226" s="3"/>
      <c r="E226" s="2"/>
      <c r="F226" s="3"/>
      <c r="G226" s="3"/>
      <c r="H226" s="16"/>
      <c r="I226" s="16"/>
      <c r="J226" s="3"/>
      <c r="K226" s="17"/>
      <c r="L226" s="16"/>
      <c r="M226" s="3"/>
      <c r="N226" s="3"/>
      <c r="O226" s="2"/>
      <c r="P226" s="3" t="s">
        <v>54</v>
      </c>
      <c r="Q226" s="3"/>
      <c r="R226" s="3"/>
      <c r="S226" s="16"/>
      <c r="T226" s="3"/>
      <c r="U226" s="3"/>
      <c r="V226" s="3"/>
      <c r="W226" s="16"/>
      <c r="X226" s="16"/>
      <c r="Y226" s="3"/>
      <c r="Z226" s="18"/>
      <c r="AA226" s="3"/>
      <c r="AB226" s="16"/>
      <c r="AC226" s="16"/>
      <c r="AD226" s="16"/>
      <c r="AE226" s="9"/>
      <c r="AF226" s="16"/>
      <c r="AG226" s="16"/>
      <c r="AH226" s="16"/>
      <c r="AI226" s="16"/>
      <c r="AJ226" s="16"/>
      <c r="AK226" s="16"/>
      <c r="AL226" s="16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1:48" x14ac:dyDescent="0.25">
      <c r="A227" s="15">
        <f t="shared" ref="A227" si="54">1+A223</f>
        <v>57</v>
      </c>
      <c r="B227" s="15"/>
      <c r="C227" s="2"/>
      <c r="D227" s="2"/>
      <c r="E227" s="24" t="str">
        <f t="shared" ref="E227" si="55">+AQ227</f>
        <v/>
      </c>
      <c r="F227" s="30"/>
      <c r="G227" s="24" t="str">
        <f t="shared" ref="G227" si="56">+AV227</f>
        <v>300100</v>
      </c>
      <c r="H227" s="16">
        <f t="shared" ref="H227" si="57">+AK227</f>
        <v>0</v>
      </c>
      <c r="I227" s="16">
        <f t="shared" ref="I227" si="58">+ROUND(AD227,2)</f>
        <v>0</v>
      </c>
      <c r="J227" s="2"/>
      <c r="K227" s="17">
        <f t="shared" ref="K227" si="59">+AE227</f>
        <v>0</v>
      </c>
      <c r="L227" s="16">
        <f t="shared" ref="L227" si="60">+AJ227</f>
        <v>0</v>
      </c>
      <c r="M227" s="32" t="s">
        <v>5</v>
      </c>
      <c r="N227" s="30"/>
      <c r="O227" s="2"/>
      <c r="P227" s="30"/>
      <c r="Q227" s="32" t="s">
        <v>0</v>
      </c>
      <c r="R227" s="24"/>
      <c r="S227" s="24" t="str">
        <f t="shared" ref="S227" si="61">+RIGHT(O227,7)</f>
        <v/>
      </c>
      <c r="T227" s="2"/>
      <c r="U227" s="3" t="s">
        <v>1</v>
      </c>
      <c r="V227" s="3" t="s">
        <v>3</v>
      </c>
      <c r="W227" s="16">
        <f t="shared" ref="W227" si="62">+AI227</f>
        <v>0</v>
      </c>
      <c r="X227" s="16">
        <f t="shared" ref="X227" si="63">+AJ227</f>
        <v>0</v>
      </c>
      <c r="Y227" s="3" t="s">
        <v>4</v>
      </c>
      <c r="Z227" s="18">
        <f t="shared" ref="Z227" si="64">+F227</f>
        <v>0</v>
      </c>
      <c r="AA227" s="61"/>
      <c r="AB227" s="65"/>
      <c r="AC227" s="16">
        <f>+AB227*0.18</f>
        <v>0</v>
      </c>
      <c r="AD227" s="16">
        <f>+AB227+AC227</f>
        <v>0</v>
      </c>
      <c r="AE227" s="68"/>
      <c r="AF227" s="16">
        <f t="shared" ref="AF227" si="65">+AB227*AE227</f>
        <v>0</v>
      </c>
      <c r="AG227" s="16">
        <f t="shared" ref="AG227" si="66">+AC227*AE227</f>
        <v>0</v>
      </c>
      <c r="AH227" s="16">
        <f t="shared" ref="AH227" si="67">+AD227*AE227</f>
        <v>0</v>
      </c>
      <c r="AI227" s="16">
        <f t="shared" ref="AI227" si="68">+ROUND(AF227,2)</f>
        <v>0</v>
      </c>
      <c r="AJ227" s="16">
        <f t="shared" ref="AJ227" si="69">+ROUND(AG227,2)</f>
        <v>0</v>
      </c>
      <c r="AK227" s="16">
        <f t="shared" ref="AK227" si="70">+AI227+AJ227</f>
        <v>0</v>
      </c>
      <c r="AL227" s="16">
        <f t="shared" ref="AL227" si="71">+AI227+AJ227-AK227</f>
        <v>0</v>
      </c>
      <c r="AM227" s="44"/>
      <c r="AN227" s="41" t="str">
        <f t="shared" ref="AN227" si="72">+LEFT(AM227,2)</f>
        <v/>
      </c>
      <c r="AO227" s="41" t="str">
        <f t="shared" ref="AO227" si="73">+MID(AM227,4,2)</f>
        <v/>
      </c>
      <c r="AP227" s="41" t="str">
        <f t="shared" ref="AP227" si="74">+RIGHT(AM227,2)</f>
        <v/>
      </c>
      <c r="AQ227" s="41" t="str">
        <f t="shared" ref="AQ227" si="75">+CONCATENATE(AN227,AO227,AP227)</f>
        <v/>
      </c>
      <c r="AR227" s="45">
        <f t="shared" ref="AR227" si="76">+AM227+30</f>
        <v>30</v>
      </c>
      <c r="AS227" s="46">
        <f t="shared" ref="AS227" si="77">+DAY(AR227)</f>
        <v>30</v>
      </c>
      <c r="AT227" s="41">
        <f t="shared" ref="AT227" si="78">+MONTH(AR227)</f>
        <v>1</v>
      </c>
      <c r="AU227" s="41">
        <f t="shared" ref="AU227" si="79">+YEAR(AR227)</f>
        <v>1900</v>
      </c>
      <c r="AV227" s="41" t="str">
        <f t="shared" ref="AV227" si="80">+CONCATENATE(TEXT(AS227,"00"),TEXT(AT227,"00"),RIGHT(AU227,2))</f>
        <v>300100</v>
      </c>
    </row>
    <row r="228" spans="1:48" hidden="1" x14ac:dyDescent="0.25">
      <c r="A228" s="31"/>
      <c r="B228" s="31"/>
      <c r="C228" s="3"/>
      <c r="D228" s="3"/>
      <c r="E228" s="2"/>
      <c r="F228" s="3"/>
      <c r="G228" s="3"/>
      <c r="H228" s="16"/>
      <c r="I228" s="16"/>
      <c r="J228" s="3"/>
      <c r="K228" s="17"/>
      <c r="L228" s="16"/>
      <c r="M228" s="3"/>
      <c r="N228" s="3"/>
      <c r="O228" s="2"/>
      <c r="P228" s="3" t="s">
        <v>54</v>
      </c>
      <c r="Q228" s="3"/>
      <c r="R228" s="3"/>
      <c r="S228" s="16"/>
      <c r="T228" s="3"/>
      <c r="U228" s="3"/>
      <c r="V228" s="3"/>
      <c r="W228" s="16"/>
      <c r="X228" s="16"/>
      <c r="Y228" s="3"/>
      <c r="Z228" s="18"/>
      <c r="AA228" s="3"/>
      <c r="AB228" s="16"/>
      <c r="AC228" s="16"/>
      <c r="AD228" s="16"/>
      <c r="AE228" s="9"/>
      <c r="AF228" s="16"/>
      <c r="AG228" s="16"/>
      <c r="AH228" s="16"/>
      <c r="AI228" s="16"/>
      <c r="AJ228" s="16"/>
      <c r="AK228" s="16"/>
      <c r="AL228" s="16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hidden="1" x14ac:dyDescent="0.25">
      <c r="A229" s="31"/>
      <c r="B229" s="31"/>
      <c r="C229" s="3"/>
      <c r="D229" s="3"/>
      <c r="E229" s="2"/>
      <c r="F229" s="3"/>
      <c r="G229" s="3"/>
      <c r="H229" s="16"/>
      <c r="I229" s="16"/>
      <c r="J229" s="3"/>
      <c r="K229" s="17"/>
      <c r="L229" s="16"/>
      <c r="M229" s="3"/>
      <c r="N229" s="3"/>
      <c r="O229" s="2"/>
      <c r="P229" s="3" t="s">
        <v>54</v>
      </c>
      <c r="Q229" s="3"/>
      <c r="R229" s="3"/>
      <c r="S229" s="16"/>
      <c r="T229" s="3"/>
      <c r="U229" s="3"/>
      <c r="V229" s="3"/>
      <c r="W229" s="16"/>
      <c r="X229" s="16"/>
      <c r="Y229" s="3"/>
      <c r="Z229" s="18"/>
      <c r="AA229" s="3"/>
      <c r="AB229" s="16"/>
      <c r="AC229" s="16"/>
      <c r="AD229" s="16"/>
      <c r="AE229" s="9"/>
      <c r="AF229" s="16"/>
      <c r="AG229" s="16"/>
      <c r="AH229" s="16"/>
      <c r="AI229" s="16"/>
      <c r="AJ229" s="16"/>
      <c r="AK229" s="16"/>
      <c r="AL229" s="16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hidden="1" x14ac:dyDescent="0.25">
      <c r="A230" s="31"/>
      <c r="B230" s="31"/>
      <c r="C230" s="3"/>
      <c r="D230" s="3"/>
      <c r="E230" s="2"/>
      <c r="F230" s="3"/>
      <c r="G230" s="3"/>
      <c r="H230" s="16"/>
      <c r="I230" s="16"/>
      <c r="J230" s="3"/>
      <c r="K230" s="17"/>
      <c r="L230" s="16"/>
      <c r="M230" s="3"/>
      <c r="N230" s="3"/>
      <c r="O230" s="2"/>
      <c r="P230" s="3" t="s">
        <v>54</v>
      </c>
      <c r="Q230" s="3"/>
      <c r="R230" s="3"/>
      <c r="S230" s="16"/>
      <c r="T230" s="3"/>
      <c r="U230" s="3"/>
      <c r="V230" s="3"/>
      <c r="W230" s="16"/>
      <c r="X230" s="16"/>
      <c r="Y230" s="3"/>
      <c r="Z230" s="18"/>
      <c r="AA230" s="3"/>
      <c r="AB230" s="16"/>
      <c r="AC230" s="16"/>
      <c r="AD230" s="16"/>
      <c r="AE230" s="9"/>
      <c r="AF230" s="16"/>
      <c r="AG230" s="16"/>
      <c r="AH230" s="16"/>
      <c r="AI230" s="16"/>
      <c r="AJ230" s="16"/>
      <c r="AK230" s="16"/>
      <c r="AL230" s="16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x14ac:dyDescent="0.25">
      <c r="A231" s="15">
        <f t="shared" ref="A231" si="81">1+A227</f>
        <v>58</v>
      </c>
      <c r="B231" s="15"/>
      <c r="C231" s="2"/>
      <c r="D231" s="2"/>
      <c r="E231" s="24" t="str">
        <f t="shared" ref="E231" si="82">+AQ231</f>
        <v/>
      </c>
      <c r="F231" s="30"/>
      <c r="G231" s="24" t="str">
        <f t="shared" ref="G231" si="83">+AV231</f>
        <v>300100</v>
      </c>
      <c r="H231" s="16">
        <f t="shared" ref="H231" si="84">+AK231</f>
        <v>0</v>
      </c>
      <c r="I231" s="16">
        <f t="shared" ref="I231" si="85">+ROUND(AD231,2)</f>
        <v>0</v>
      </c>
      <c r="J231" s="2"/>
      <c r="K231" s="17">
        <f t="shared" ref="K231" si="86">+AE231</f>
        <v>0</v>
      </c>
      <c r="L231" s="16">
        <f t="shared" ref="L231" si="87">+AJ231</f>
        <v>0</v>
      </c>
      <c r="M231" s="32" t="s">
        <v>5</v>
      </c>
      <c r="N231" s="30"/>
      <c r="O231" s="2"/>
      <c r="P231" s="30"/>
      <c r="Q231" s="32" t="s">
        <v>0</v>
      </c>
      <c r="R231" s="24"/>
      <c r="S231" s="24" t="str">
        <f t="shared" ref="S231" si="88">+RIGHT(O231,7)</f>
        <v/>
      </c>
      <c r="T231" s="2"/>
      <c r="U231" s="3" t="s">
        <v>1</v>
      </c>
      <c r="V231" s="3" t="s">
        <v>3</v>
      </c>
      <c r="W231" s="16">
        <f t="shared" ref="W231" si="89">+AI231</f>
        <v>0</v>
      </c>
      <c r="X231" s="16">
        <f t="shared" ref="X231" si="90">+AJ231</f>
        <v>0</v>
      </c>
      <c r="Y231" s="3" t="s">
        <v>4</v>
      </c>
      <c r="Z231" s="18">
        <f t="shared" ref="Z231" si="91">+F231</f>
        <v>0</v>
      </c>
      <c r="AA231" s="61"/>
      <c r="AB231" s="65"/>
      <c r="AC231" s="16">
        <f>+AB231*0.18</f>
        <v>0</v>
      </c>
      <c r="AD231" s="16">
        <f>+AB231+AC231</f>
        <v>0</v>
      </c>
      <c r="AE231" s="68"/>
      <c r="AF231" s="16">
        <f t="shared" ref="AF231" si="92">+AB231*AE231</f>
        <v>0</v>
      </c>
      <c r="AG231" s="16">
        <f t="shared" ref="AG231" si="93">+AC231*AE231</f>
        <v>0</v>
      </c>
      <c r="AH231" s="16">
        <f t="shared" ref="AH231" si="94">+AD231*AE231</f>
        <v>0</v>
      </c>
      <c r="AI231" s="16">
        <f t="shared" ref="AI231" si="95">+ROUND(AF231,2)</f>
        <v>0</v>
      </c>
      <c r="AJ231" s="16">
        <f t="shared" ref="AJ231" si="96">+ROUND(AG231,2)</f>
        <v>0</v>
      </c>
      <c r="AK231" s="16">
        <f t="shared" ref="AK231" si="97">+AI231+AJ231</f>
        <v>0</v>
      </c>
      <c r="AL231" s="16">
        <f t="shared" ref="AL231" si="98">+AI231+AJ231-AK231</f>
        <v>0</v>
      </c>
      <c r="AM231" s="44"/>
      <c r="AN231" s="41" t="str">
        <f t="shared" ref="AN231" si="99">+LEFT(AM231,2)</f>
        <v/>
      </c>
      <c r="AO231" s="41" t="str">
        <f t="shared" ref="AO231" si="100">+MID(AM231,4,2)</f>
        <v/>
      </c>
      <c r="AP231" s="41" t="str">
        <f t="shared" ref="AP231" si="101">+RIGHT(AM231,2)</f>
        <v/>
      </c>
      <c r="AQ231" s="41" t="str">
        <f t="shared" ref="AQ231" si="102">+CONCATENATE(AN231,AO231,AP231)</f>
        <v/>
      </c>
      <c r="AR231" s="45">
        <f t="shared" ref="AR231" si="103">+AM231+30</f>
        <v>30</v>
      </c>
      <c r="AS231" s="46">
        <f t="shared" ref="AS231" si="104">+DAY(AR231)</f>
        <v>30</v>
      </c>
      <c r="AT231" s="41">
        <f t="shared" ref="AT231" si="105">+MONTH(AR231)</f>
        <v>1</v>
      </c>
      <c r="AU231" s="41">
        <f t="shared" ref="AU231" si="106">+YEAR(AR231)</f>
        <v>1900</v>
      </c>
      <c r="AV231" s="41" t="str">
        <f t="shared" ref="AV231" si="107">+CONCATENATE(TEXT(AS231,"00"),TEXT(AT231,"00"),RIGHT(AU231,2))</f>
        <v>300100</v>
      </c>
    </row>
    <row r="232" spans="1:48" hidden="1" x14ac:dyDescent="0.25">
      <c r="A232" s="31"/>
      <c r="B232" s="31"/>
      <c r="C232" s="3"/>
      <c r="D232" s="3"/>
      <c r="E232" s="2"/>
      <c r="F232" s="3"/>
      <c r="G232" s="3"/>
      <c r="H232" s="16"/>
      <c r="I232" s="16"/>
      <c r="J232" s="3"/>
      <c r="K232" s="17"/>
      <c r="L232" s="16"/>
      <c r="M232" s="3"/>
      <c r="N232" s="3"/>
      <c r="O232" s="2"/>
      <c r="P232" s="3" t="s">
        <v>54</v>
      </c>
      <c r="Q232" s="3"/>
      <c r="R232" s="3"/>
      <c r="S232" s="16"/>
      <c r="T232" s="3"/>
      <c r="U232" s="3"/>
      <c r="V232" s="3"/>
      <c r="W232" s="16"/>
      <c r="X232" s="16"/>
      <c r="Y232" s="3"/>
      <c r="Z232" s="18"/>
      <c r="AA232" s="3"/>
      <c r="AB232" s="16"/>
      <c r="AC232" s="16"/>
      <c r="AD232" s="16"/>
      <c r="AE232" s="9"/>
      <c r="AF232" s="16"/>
      <c r="AG232" s="16"/>
      <c r="AH232" s="16"/>
      <c r="AI232" s="16"/>
      <c r="AJ232" s="16"/>
      <c r="AK232" s="16"/>
      <c r="AL232" s="16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hidden="1" x14ac:dyDescent="0.25">
      <c r="A233" s="31"/>
      <c r="B233" s="31"/>
      <c r="C233" s="3"/>
      <c r="D233" s="3"/>
      <c r="E233" s="2"/>
      <c r="F233" s="3"/>
      <c r="G233" s="3"/>
      <c r="H233" s="16"/>
      <c r="I233" s="16"/>
      <c r="J233" s="3"/>
      <c r="K233" s="17"/>
      <c r="L233" s="16"/>
      <c r="M233" s="3"/>
      <c r="N233" s="3"/>
      <c r="O233" s="2"/>
      <c r="P233" s="3" t="s">
        <v>54</v>
      </c>
      <c r="Q233" s="3"/>
      <c r="R233" s="3"/>
      <c r="S233" s="16"/>
      <c r="T233" s="3"/>
      <c r="U233" s="3"/>
      <c r="V233" s="3"/>
      <c r="W233" s="16"/>
      <c r="X233" s="16"/>
      <c r="Y233" s="3"/>
      <c r="Z233" s="18"/>
      <c r="AA233" s="3"/>
      <c r="AB233" s="16"/>
      <c r="AC233" s="16"/>
      <c r="AD233" s="16"/>
      <c r="AE233" s="9"/>
      <c r="AF233" s="16"/>
      <c r="AG233" s="16"/>
      <c r="AH233" s="16"/>
      <c r="AI233" s="16"/>
      <c r="AJ233" s="16"/>
      <c r="AK233" s="16"/>
      <c r="AL233" s="16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hidden="1" x14ac:dyDescent="0.25">
      <c r="A234" s="31"/>
      <c r="B234" s="31"/>
      <c r="C234" s="3"/>
      <c r="D234" s="3"/>
      <c r="E234" s="2"/>
      <c r="F234" s="3"/>
      <c r="G234" s="3"/>
      <c r="H234" s="16"/>
      <c r="I234" s="16"/>
      <c r="J234" s="3"/>
      <c r="K234" s="17"/>
      <c r="L234" s="16"/>
      <c r="M234" s="3"/>
      <c r="N234" s="3"/>
      <c r="O234" s="2"/>
      <c r="P234" s="3" t="s">
        <v>54</v>
      </c>
      <c r="Q234" s="3"/>
      <c r="R234" s="3"/>
      <c r="S234" s="16"/>
      <c r="T234" s="3"/>
      <c r="U234" s="3"/>
      <c r="V234" s="3"/>
      <c r="W234" s="16"/>
      <c r="X234" s="16"/>
      <c r="Y234" s="3"/>
      <c r="Z234" s="18"/>
      <c r="AA234" s="3"/>
      <c r="AB234" s="16"/>
      <c r="AC234" s="16"/>
      <c r="AD234" s="16"/>
      <c r="AE234" s="9"/>
      <c r="AF234" s="16"/>
      <c r="AG234" s="16"/>
      <c r="AH234" s="16"/>
      <c r="AI234" s="16"/>
      <c r="AJ234" s="16"/>
      <c r="AK234" s="16"/>
      <c r="AL234" s="16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1:48" x14ac:dyDescent="0.25">
      <c r="A235" s="15">
        <f t="shared" ref="A235" si="108">1+A231</f>
        <v>59</v>
      </c>
      <c r="B235" s="15"/>
      <c r="C235" s="2"/>
      <c r="D235" s="2"/>
      <c r="E235" s="24" t="str">
        <f t="shared" ref="E235" si="109">+AQ235</f>
        <v/>
      </c>
      <c r="F235" s="30"/>
      <c r="G235" s="24" t="str">
        <f t="shared" ref="G235" si="110">+AV235</f>
        <v>300100</v>
      </c>
      <c r="H235" s="16">
        <f t="shared" ref="H235" si="111">+AK235</f>
        <v>0</v>
      </c>
      <c r="I235" s="16">
        <f t="shared" ref="I235" si="112">+ROUND(AD235,2)</f>
        <v>0</v>
      </c>
      <c r="J235" s="2"/>
      <c r="K235" s="17">
        <f t="shared" ref="K235" si="113">+AE235</f>
        <v>0</v>
      </c>
      <c r="L235" s="16">
        <f t="shared" ref="L235" si="114">+AJ235</f>
        <v>0</v>
      </c>
      <c r="M235" s="32" t="s">
        <v>5</v>
      </c>
      <c r="N235" s="30"/>
      <c r="O235" s="2"/>
      <c r="P235" s="30"/>
      <c r="Q235" s="32" t="s">
        <v>0</v>
      </c>
      <c r="R235" s="24"/>
      <c r="S235" s="24" t="str">
        <f t="shared" ref="S235" si="115">+RIGHT(O235,7)</f>
        <v/>
      </c>
      <c r="T235" s="2"/>
      <c r="U235" s="3" t="s">
        <v>1</v>
      </c>
      <c r="V235" s="3" t="s">
        <v>3</v>
      </c>
      <c r="W235" s="16">
        <f t="shared" ref="W235" si="116">+AI235</f>
        <v>0</v>
      </c>
      <c r="X235" s="16">
        <f t="shared" ref="X235" si="117">+AJ235</f>
        <v>0</v>
      </c>
      <c r="Y235" s="3" t="s">
        <v>4</v>
      </c>
      <c r="Z235" s="18">
        <f t="shared" ref="Z235" si="118">+F235</f>
        <v>0</v>
      </c>
      <c r="AA235" s="61"/>
      <c r="AB235" s="65"/>
      <c r="AC235" s="16">
        <f>+AB235*0.18</f>
        <v>0</v>
      </c>
      <c r="AD235" s="16">
        <f>+AB235+AC235</f>
        <v>0</v>
      </c>
      <c r="AE235" s="68"/>
      <c r="AF235" s="16">
        <f t="shared" ref="AF235" si="119">+AB235*AE235</f>
        <v>0</v>
      </c>
      <c r="AG235" s="16">
        <f t="shared" ref="AG235" si="120">+AC235*AE235</f>
        <v>0</v>
      </c>
      <c r="AH235" s="16">
        <f t="shared" ref="AH235" si="121">+AD235*AE235</f>
        <v>0</v>
      </c>
      <c r="AI235" s="16">
        <f t="shared" ref="AI235" si="122">+ROUND(AF235,2)</f>
        <v>0</v>
      </c>
      <c r="AJ235" s="16">
        <f t="shared" ref="AJ235" si="123">+ROUND(AG235,2)</f>
        <v>0</v>
      </c>
      <c r="AK235" s="16">
        <f t="shared" ref="AK235" si="124">+AI235+AJ235</f>
        <v>0</v>
      </c>
      <c r="AL235" s="16">
        <f t="shared" ref="AL235" si="125">+AI235+AJ235-AK235</f>
        <v>0</v>
      </c>
      <c r="AM235" s="44"/>
      <c r="AN235" s="41" t="str">
        <f t="shared" ref="AN235" si="126">+LEFT(AM235,2)</f>
        <v/>
      </c>
      <c r="AO235" s="41" t="str">
        <f t="shared" ref="AO235" si="127">+MID(AM235,4,2)</f>
        <v/>
      </c>
      <c r="AP235" s="41" t="str">
        <f t="shared" ref="AP235" si="128">+RIGHT(AM235,2)</f>
        <v/>
      </c>
      <c r="AQ235" s="41" t="str">
        <f t="shared" ref="AQ235" si="129">+CONCATENATE(AN235,AO235,AP235)</f>
        <v/>
      </c>
      <c r="AR235" s="45">
        <f t="shared" ref="AR235" si="130">+AM235+30</f>
        <v>30</v>
      </c>
      <c r="AS235" s="46">
        <f t="shared" ref="AS235" si="131">+DAY(AR235)</f>
        <v>30</v>
      </c>
      <c r="AT235" s="41">
        <f t="shared" ref="AT235" si="132">+MONTH(AR235)</f>
        <v>1</v>
      </c>
      <c r="AU235" s="41">
        <f t="shared" ref="AU235" si="133">+YEAR(AR235)</f>
        <v>1900</v>
      </c>
      <c r="AV235" s="41" t="str">
        <f t="shared" ref="AV235" si="134">+CONCATENATE(TEXT(AS235,"00"),TEXT(AT235,"00"),RIGHT(AU235,2))</f>
        <v>300100</v>
      </c>
    </row>
    <row r="236" spans="1:48" hidden="1" x14ac:dyDescent="0.25">
      <c r="A236" s="31"/>
      <c r="B236" s="31"/>
      <c r="C236" s="3"/>
      <c r="D236" s="3"/>
      <c r="E236" s="2"/>
      <c r="F236" s="3"/>
      <c r="G236" s="3"/>
      <c r="H236" s="16"/>
      <c r="I236" s="16"/>
      <c r="J236" s="3"/>
      <c r="K236" s="17"/>
      <c r="L236" s="16"/>
      <c r="M236" s="3"/>
      <c r="N236" s="3"/>
      <c r="O236" s="2"/>
      <c r="P236" s="3" t="s">
        <v>54</v>
      </c>
      <c r="Q236" s="3"/>
      <c r="R236" s="3"/>
      <c r="S236" s="16"/>
      <c r="T236" s="3"/>
      <c r="U236" s="3"/>
      <c r="V236" s="3"/>
      <c r="W236" s="16"/>
      <c r="X236" s="16"/>
      <c r="Y236" s="3"/>
      <c r="Z236" s="18"/>
      <c r="AA236" s="3"/>
      <c r="AB236" s="16"/>
      <c r="AC236" s="16"/>
      <c r="AD236" s="16"/>
      <c r="AE236" s="9"/>
      <c r="AF236" s="16"/>
      <c r="AG236" s="16"/>
      <c r="AH236" s="16"/>
      <c r="AI236" s="16"/>
      <c r="AJ236" s="16"/>
      <c r="AK236" s="16"/>
      <c r="AL236" s="16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hidden="1" x14ac:dyDescent="0.25">
      <c r="A237" s="31"/>
      <c r="B237" s="31"/>
      <c r="C237" s="3"/>
      <c r="D237" s="3"/>
      <c r="E237" s="2"/>
      <c r="F237" s="3"/>
      <c r="G237" s="3"/>
      <c r="H237" s="16"/>
      <c r="I237" s="16"/>
      <c r="J237" s="3"/>
      <c r="K237" s="17"/>
      <c r="L237" s="16"/>
      <c r="M237" s="3"/>
      <c r="N237" s="3"/>
      <c r="O237" s="2"/>
      <c r="P237" s="3" t="s">
        <v>54</v>
      </c>
      <c r="Q237" s="3"/>
      <c r="R237" s="3"/>
      <c r="S237" s="16"/>
      <c r="T237" s="3"/>
      <c r="U237" s="3"/>
      <c r="V237" s="3"/>
      <c r="W237" s="16"/>
      <c r="X237" s="16"/>
      <c r="Y237" s="3"/>
      <c r="Z237" s="18"/>
      <c r="AA237" s="3"/>
      <c r="AB237" s="16"/>
      <c r="AC237" s="16"/>
      <c r="AD237" s="16"/>
      <c r="AE237" s="9"/>
      <c r="AF237" s="16"/>
      <c r="AG237" s="16"/>
      <c r="AH237" s="16"/>
      <c r="AI237" s="16"/>
      <c r="AJ237" s="16"/>
      <c r="AK237" s="16"/>
      <c r="AL237" s="16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hidden="1" x14ac:dyDescent="0.25">
      <c r="A238" s="31"/>
      <c r="B238" s="31"/>
      <c r="C238" s="3"/>
      <c r="D238" s="3"/>
      <c r="E238" s="2"/>
      <c r="F238" s="3"/>
      <c r="G238" s="3"/>
      <c r="H238" s="16"/>
      <c r="I238" s="16"/>
      <c r="J238" s="3"/>
      <c r="K238" s="17"/>
      <c r="L238" s="16"/>
      <c r="M238" s="3"/>
      <c r="N238" s="3"/>
      <c r="O238" s="2"/>
      <c r="P238" s="3" t="s">
        <v>54</v>
      </c>
      <c r="Q238" s="3"/>
      <c r="R238" s="3"/>
      <c r="S238" s="16"/>
      <c r="T238" s="3"/>
      <c r="U238" s="3"/>
      <c r="V238" s="3"/>
      <c r="W238" s="16"/>
      <c r="X238" s="16"/>
      <c r="Y238" s="3"/>
      <c r="Z238" s="18"/>
      <c r="AA238" s="3"/>
      <c r="AB238" s="16"/>
      <c r="AC238" s="16"/>
      <c r="AD238" s="16"/>
      <c r="AE238" s="9"/>
      <c r="AF238" s="16"/>
      <c r="AG238" s="16"/>
      <c r="AH238" s="16"/>
      <c r="AI238" s="16"/>
      <c r="AJ238" s="16"/>
      <c r="AK238" s="16"/>
      <c r="AL238" s="16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x14ac:dyDescent="0.25">
      <c r="A239" s="15">
        <f t="shared" ref="A239" si="135">1+A235</f>
        <v>60</v>
      </c>
      <c r="B239" s="15"/>
      <c r="C239" s="2"/>
      <c r="D239" s="2"/>
      <c r="E239" s="24" t="str">
        <f t="shared" ref="E239" si="136">+AQ239</f>
        <v/>
      </c>
      <c r="F239" s="30"/>
      <c r="G239" s="24" t="str">
        <f t="shared" ref="G239" si="137">+AV239</f>
        <v>300100</v>
      </c>
      <c r="H239" s="16">
        <f t="shared" ref="H239" si="138">+AK239</f>
        <v>0</v>
      </c>
      <c r="I239" s="16">
        <f t="shared" ref="I239" si="139">+ROUND(AD239,2)</f>
        <v>0</v>
      </c>
      <c r="J239" s="2"/>
      <c r="K239" s="17">
        <f t="shared" ref="K239" si="140">+AE239</f>
        <v>0</v>
      </c>
      <c r="L239" s="16">
        <f t="shared" ref="L239" si="141">+AJ239</f>
        <v>0</v>
      </c>
      <c r="M239" s="32" t="s">
        <v>5</v>
      </c>
      <c r="N239" s="30"/>
      <c r="O239" s="2"/>
      <c r="P239" s="30"/>
      <c r="Q239" s="32" t="s">
        <v>0</v>
      </c>
      <c r="R239" s="24"/>
      <c r="S239" s="24" t="str">
        <f t="shared" ref="S239" si="142">+RIGHT(O239,7)</f>
        <v/>
      </c>
      <c r="T239" s="2"/>
      <c r="U239" s="3" t="s">
        <v>1</v>
      </c>
      <c r="V239" s="3" t="s">
        <v>3</v>
      </c>
      <c r="W239" s="16">
        <f t="shared" ref="W239" si="143">+AI239</f>
        <v>0</v>
      </c>
      <c r="X239" s="16">
        <f t="shared" ref="X239" si="144">+AJ239</f>
        <v>0</v>
      </c>
      <c r="Y239" s="3" t="s">
        <v>4</v>
      </c>
      <c r="Z239" s="18">
        <f t="shared" ref="Z239" si="145">+F239</f>
        <v>0</v>
      </c>
      <c r="AA239" s="61"/>
      <c r="AB239" s="65"/>
      <c r="AC239" s="16">
        <f>+AB239*0.18</f>
        <v>0</v>
      </c>
      <c r="AD239" s="16">
        <f>+AB239+AC239</f>
        <v>0</v>
      </c>
      <c r="AE239" s="68"/>
      <c r="AF239" s="16">
        <f t="shared" ref="AF239" si="146">+AB239*AE239</f>
        <v>0</v>
      </c>
      <c r="AG239" s="16">
        <f t="shared" ref="AG239" si="147">+AC239*AE239</f>
        <v>0</v>
      </c>
      <c r="AH239" s="16">
        <f t="shared" ref="AH239" si="148">+AD239*AE239</f>
        <v>0</v>
      </c>
      <c r="AI239" s="16">
        <f t="shared" ref="AI239" si="149">+ROUND(AF239,2)</f>
        <v>0</v>
      </c>
      <c r="AJ239" s="16">
        <f t="shared" ref="AJ239" si="150">+ROUND(AG239,2)</f>
        <v>0</v>
      </c>
      <c r="AK239" s="16">
        <f t="shared" ref="AK239" si="151">+AI239+AJ239</f>
        <v>0</v>
      </c>
      <c r="AL239" s="16">
        <f t="shared" ref="AL239" si="152">+AI239+AJ239-AK239</f>
        <v>0</v>
      </c>
      <c r="AM239" s="44"/>
      <c r="AN239" s="41" t="str">
        <f t="shared" ref="AN239" si="153">+LEFT(AM239,2)</f>
        <v/>
      </c>
      <c r="AO239" s="41" t="str">
        <f t="shared" ref="AO239" si="154">+MID(AM239,4,2)</f>
        <v/>
      </c>
      <c r="AP239" s="41" t="str">
        <f t="shared" ref="AP239" si="155">+RIGHT(AM239,2)</f>
        <v/>
      </c>
      <c r="AQ239" s="41" t="str">
        <f t="shared" ref="AQ239" si="156">+CONCATENATE(AN239,AO239,AP239)</f>
        <v/>
      </c>
      <c r="AR239" s="45">
        <f t="shared" ref="AR239" si="157">+AM239+30</f>
        <v>30</v>
      </c>
      <c r="AS239" s="46">
        <f t="shared" ref="AS239" si="158">+DAY(AR239)</f>
        <v>30</v>
      </c>
      <c r="AT239" s="41">
        <f t="shared" ref="AT239" si="159">+MONTH(AR239)</f>
        <v>1</v>
      </c>
      <c r="AU239" s="41">
        <f t="shared" ref="AU239" si="160">+YEAR(AR239)</f>
        <v>1900</v>
      </c>
      <c r="AV239" s="41" t="str">
        <f t="shared" ref="AV239" si="161">+CONCATENATE(TEXT(AS239,"00"),TEXT(AT239,"00"),RIGHT(AU239,2))</f>
        <v>300100</v>
      </c>
    </row>
    <row r="240" spans="1:48" hidden="1" x14ac:dyDescent="0.25">
      <c r="A240" s="31"/>
      <c r="B240" s="31"/>
      <c r="C240" s="3"/>
      <c r="D240" s="3"/>
      <c r="E240" s="2"/>
      <c r="F240" s="3"/>
      <c r="G240" s="3"/>
      <c r="H240" s="16"/>
      <c r="I240" s="16"/>
      <c r="J240" s="3"/>
      <c r="K240" s="17"/>
      <c r="L240" s="16"/>
      <c r="M240" s="3"/>
      <c r="N240" s="3"/>
      <c r="O240" s="2"/>
      <c r="P240" s="3" t="s">
        <v>54</v>
      </c>
      <c r="Q240" s="3"/>
      <c r="R240" s="3"/>
      <c r="S240" s="16"/>
      <c r="T240" s="3"/>
      <c r="U240" s="3"/>
      <c r="V240" s="3"/>
      <c r="W240" s="16"/>
      <c r="X240" s="16"/>
      <c r="Y240" s="3"/>
      <c r="Z240" s="18"/>
      <c r="AA240" s="3"/>
      <c r="AB240" s="16"/>
      <c r="AC240" s="16"/>
      <c r="AD240" s="16"/>
      <c r="AE240" s="9"/>
      <c r="AF240" s="16"/>
      <c r="AG240" s="16"/>
      <c r="AH240" s="16"/>
      <c r="AI240" s="16"/>
      <c r="AJ240" s="16"/>
      <c r="AK240" s="16"/>
      <c r="AL240" s="16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1:48" hidden="1" x14ac:dyDescent="0.25">
      <c r="A241" s="31"/>
      <c r="B241" s="31"/>
      <c r="C241" s="3"/>
      <c r="D241" s="3"/>
      <c r="E241" s="2"/>
      <c r="F241" s="3"/>
      <c r="G241" s="3"/>
      <c r="H241" s="16"/>
      <c r="I241" s="16"/>
      <c r="J241" s="3"/>
      <c r="K241" s="17"/>
      <c r="L241" s="16"/>
      <c r="M241" s="3"/>
      <c r="N241" s="3"/>
      <c r="O241" s="2"/>
      <c r="P241" s="3" t="s">
        <v>54</v>
      </c>
      <c r="Q241" s="3"/>
      <c r="R241" s="3"/>
      <c r="S241" s="16"/>
      <c r="T241" s="3"/>
      <c r="U241" s="3"/>
      <c r="V241" s="3"/>
      <c r="W241" s="16"/>
      <c r="X241" s="16"/>
      <c r="Y241" s="3"/>
      <c r="Z241" s="18"/>
      <c r="AA241" s="3"/>
      <c r="AB241" s="16"/>
      <c r="AC241" s="16"/>
      <c r="AD241" s="16"/>
      <c r="AE241" s="9"/>
      <c r="AF241" s="16"/>
      <c r="AG241" s="16"/>
      <c r="AH241" s="16"/>
      <c r="AI241" s="16"/>
      <c r="AJ241" s="16"/>
      <c r="AK241" s="16"/>
      <c r="AL241" s="16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hidden="1" x14ac:dyDescent="0.25">
      <c r="A242" s="31"/>
      <c r="B242" s="31"/>
      <c r="C242" s="3"/>
      <c r="D242" s="3"/>
      <c r="E242" s="2"/>
      <c r="F242" s="3"/>
      <c r="G242" s="3"/>
      <c r="H242" s="16"/>
      <c r="I242" s="16"/>
      <c r="J242" s="3"/>
      <c r="K242" s="17"/>
      <c r="L242" s="16"/>
      <c r="M242" s="3"/>
      <c r="N242" s="3"/>
      <c r="O242" s="2"/>
      <c r="P242" s="3" t="s">
        <v>54</v>
      </c>
      <c r="Q242" s="3"/>
      <c r="R242" s="3"/>
      <c r="S242" s="16"/>
      <c r="T242" s="3"/>
      <c r="U242" s="3"/>
      <c r="V242" s="3"/>
      <c r="W242" s="16"/>
      <c r="X242" s="16"/>
      <c r="Y242" s="3"/>
      <c r="Z242" s="18"/>
      <c r="AA242" s="3"/>
      <c r="AB242" s="16"/>
      <c r="AC242" s="16"/>
      <c r="AD242" s="16"/>
      <c r="AE242" s="9"/>
      <c r="AF242" s="16"/>
      <c r="AG242" s="16"/>
      <c r="AH242" s="16"/>
      <c r="AI242" s="16"/>
      <c r="AJ242" s="16"/>
      <c r="AK242" s="16"/>
      <c r="AL242" s="16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1:48" x14ac:dyDescent="0.25">
      <c r="A243" s="15">
        <f t="shared" ref="A243" si="162">1+A239</f>
        <v>61</v>
      </c>
      <c r="B243" s="15"/>
      <c r="C243" s="2"/>
      <c r="D243" s="2"/>
      <c r="E243" s="24" t="str">
        <f t="shared" ref="E243" si="163">+AQ243</f>
        <v/>
      </c>
      <c r="F243" s="30"/>
      <c r="G243" s="24" t="str">
        <f t="shared" ref="G243" si="164">+AV243</f>
        <v>300100</v>
      </c>
      <c r="H243" s="16">
        <f t="shared" ref="H243" si="165">+AK243</f>
        <v>0</v>
      </c>
      <c r="I243" s="16">
        <f t="shared" ref="I243" si="166">+ROUND(AD243,2)</f>
        <v>0</v>
      </c>
      <c r="J243" s="2"/>
      <c r="K243" s="17">
        <f t="shared" ref="K243" si="167">+AE243</f>
        <v>0</v>
      </c>
      <c r="L243" s="16">
        <f t="shared" ref="L243" si="168">+AJ243</f>
        <v>0</v>
      </c>
      <c r="M243" s="32" t="s">
        <v>5</v>
      </c>
      <c r="N243" s="30"/>
      <c r="O243" s="2"/>
      <c r="P243" s="30"/>
      <c r="Q243" s="32" t="s">
        <v>0</v>
      </c>
      <c r="R243" s="24"/>
      <c r="S243" s="24" t="str">
        <f t="shared" ref="S243" si="169">+RIGHT(O243,7)</f>
        <v/>
      </c>
      <c r="T243" s="2"/>
      <c r="U243" s="3" t="s">
        <v>1</v>
      </c>
      <c r="V243" s="3" t="s">
        <v>3</v>
      </c>
      <c r="W243" s="16">
        <f t="shared" ref="W243" si="170">+AI243</f>
        <v>0</v>
      </c>
      <c r="X243" s="16">
        <f t="shared" ref="X243" si="171">+AJ243</f>
        <v>0</v>
      </c>
      <c r="Y243" s="3" t="s">
        <v>4</v>
      </c>
      <c r="Z243" s="18">
        <f t="shared" ref="Z243" si="172">+F243</f>
        <v>0</v>
      </c>
      <c r="AA243" s="61"/>
      <c r="AB243" s="65"/>
      <c r="AC243" s="16">
        <f>+AB243*0.18</f>
        <v>0</v>
      </c>
      <c r="AD243" s="16">
        <f>+AB243+AC243</f>
        <v>0</v>
      </c>
      <c r="AE243" s="68"/>
      <c r="AF243" s="16">
        <f t="shared" ref="AF243" si="173">+AB243*AE243</f>
        <v>0</v>
      </c>
      <c r="AG243" s="16">
        <f t="shared" ref="AG243" si="174">+AC243*AE243</f>
        <v>0</v>
      </c>
      <c r="AH243" s="16">
        <f t="shared" ref="AH243" si="175">+AD243*AE243</f>
        <v>0</v>
      </c>
      <c r="AI243" s="16">
        <f t="shared" ref="AI243" si="176">+ROUND(AF243,2)</f>
        <v>0</v>
      </c>
      <c r="AJ243" s="16">
        <f t="shared" ref="AJ243" si="177">+ROUND(AG243,2)</f>
        <v>0</v>
      </c>
      <c r="AK243" s="16">
        <f t="shared" ref="AK243" si="178">+AI243+AJ243</f>
        <v>0</v>
      </c>
      <c r="AL243" s="16">
        <f t="shared" ref="AL243" si="179">+AI243+AJ243-AK243</f>
        <v>0</v>
      </c>
      <c r="AM243" s="44"/>
      <c r="AN243" s="41" t="str">
        <f t="shared" ref="AN243" si="180">+LEFT(AM243,2)</f>
        <v/>
      </c>
      <c r="AO243" s="41" t="str">
        <f t="shared" ref="AO243" si="181">+MID(AM243,4,2)</f>
        <v/>
      </c>
      <c r="AP243" s="41" t="str">
        <f t="shared" ref="AP243" si="182">+RIGHT(AM243,2)</f>
        <v/>
      </c>
      <c r="AQ243" s="41" t="str">
        <f t="shared" ref="AQ243" si="183">+CONCATENATE(AN243,AO243,AP243)</f>
        <v/>
      </c>
      <c r="AR243" s="45">
        <f t="shared" ref="AR243" si="184">+AM243+30</f>
        <v>30</v>
      </c>
      <c r="AS243" s="46">
        <f t="shared" ref="AS243" si="185">+DAY(AR243)</f>
        <v>30</v>
      </c>
      <c r="AT243" s="41">
        <f t="shared" ref="AT243" si="186">+MONTH(AR243)</f>
        <v>1</v>
      </c>
      <c r="AU243" s="41">
        <f t="shared" ref="AU243" si="187">+YEAR(AR243)</f>
        <v>1900</v>
      </c>
      <c r="AV243" s="41" t="str">
        <f t="shared" ref="AV243" si="188">+CONCATENATE(TEXT(AS243,"00"),TEXT(AT243,"00"),RIGHT(AU243,2))</f>
        <v>300100</v>
      </c>
    </row>
    <row r="244" spans="1:48" hidden="1" x14ac:dyDescent="0.25">
      <c r="A244" s="31"/>
      <c r="B244" s="31"/>
      <c r="C244" s="3"/>
      <c r="D244" s="3"/>
      <c r="E244" s="2"/>
      <c r="F244" s="3"/>
      <c r="G244" s="3"/>
      <c r="H244" s="16"/>
      <c r="I244" s="16"/>
      <c r="J244" s="3"/>
      <c r="K244" s="17"/>
      <c r="L244" s="16"/>
      <c r="M244" s="3"/>
      <c r="N244" s="3"/>
      <c r="O244" s="2"/>
      <c r="P244" s="3" t="s">
        <v>54</v>
      </c>
      <c r="Q244" s="3"/>
      <c r="R244" s="3"/>
      <c r="S244" s="16"/>
      <c r="T244" s="3"/>
      <c r="U244" s="3"/>
      <c r="V244" s="3"/>
      <c r="W244" s="16"/>
      <c r="X244" s="16"/>
      <c r="Y244" s="3"/>
      <c r="Z244" s="18"/>
      <c r="AA244" s="3"/>
      <c r="AB244" s="16"/>
      <c r="AC244" s="16"/>
      <c r="AD244" s="16"/>
      <c r="AE244" s="9"/>
      <c r="AF244" s="16"/>
      <c r="AG244" s="16"/>
      <c r="AH244" s="16"/>
      <c r="AI244" s="16"/>
      <c r="AJ244" s="16"/>
      <c r="AK244" s="16"/>
      <c r="AL244" s="16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1:48" hidden="1" x14ac:dyDescent="0.25">
      <c r="A245" s="31"/>
      <c r="B245" s="31"/>
      <c r="C245" s="3"/>
      <c r="D245" s="3"/>
      <c r="E245" s="2"/>
      <c r="F245" s="3"/>
      <c r="G245" s="3"/>
      <c r="H245" s="16"/>
      <c r="I245" s="16"/>
      <c r="J245" s="3"/>
      <c r="K245" s="17"/>
      <c r="L245" s="16"/>
      <c r="M245" s="3"/>
      <c r="N245" s="3"/>
      <c r="O245" s="2"/>
      <c r="P245" s="3" t="s">
        <v>54</v>
      </c>
      <c r="Q245" s="3"/>
      <c r="R245" s="3"/>
      <c r="S245" s="16"/>
      <c r="T245" s="3"/>
      <c r="U245" s="3"/>
      <c r="V245" s="3"/>
      <c r="W245" s="16"/>
      <c r="X245" s="16"/>
      <c r="Y245" s="3"/>
      <c r="Z245" s="18"/>
      <c r="AA245" s="3"/>
      <c r="AB245" s="16"/>
      <c r="AC245" s="16"/>
      <c r="AD245" s="16"/>
      <c r="AE245" s="9"/>
      <c r="AF245" s="16"/>
      <c r="AG245" s="16"/>
      <c r="AH245" s="16"/>
      <c r="AI245" s="16"/>
      <c r="AJ245" s="16"/>
      <c r="AK245" s="16"/>
      <c r="AL245" s="16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1:48" hidden="1" x14ac:dyDescent="0.25">
      <c r="A246" s="31"/>
      <c r="B246" s="31"/>
      <c r="C246" s="3"/>
      <c r="D246" s="3"/>
      <c r="E246" s="2"/>
      <c r="F246" s="3"/>
      <c r="G246" s="3"/>
      <c r="H246" s="16"/>
      <c r="I246" s="16"/>
      <c r="J246" s="3"/>
      <c r="K246" s="17"/>
      <c r="L246" s="16"/>
      <c r="M246" s="3"/>
      <c r="N246" s="3"/>
      <c r="O246" s="2"/>
      <c r="P246" s="3" t="s">
        <v>54</v>
      </c>
      <c r="Q246" s="3"/>
      <c r="R246" s="3"/>
      <c r="S246" s="16"/>
      <c r="T246" s="3"/>
      <c r="U246" s="3"/>
      <c r="V246" s="3"/>
      <c r="W246" s="16"/>
      <c r="X246" s="16"/>
      <c r="Y246" s="3"/>
      <c r="Z246" s="18"/>
      <c r="AA246" s="3"/>
      <c r="AB246" s="16"/>
      <c r="AC246" s="16"/>
      <c r="AD246" s="16"/>
      <c r="AE246" s="9"/>
      <c r="AF246" s="16"/>
      <c r="AG246" s="16"/>
      <c r="AH246" s="16"/>
      <c r="AI246" s="16"/>
      <c r="AJ246" s="16"/>
      <c r="AK246" s="16"/>
      <c r="AL246" s="16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1:48" x14ac:dyDescent="0.25">
      <c r="A247" s="15">
        <f t="shared" ref="A247" si="189">1+A243</f>
        <v>62</v>
      </c>
      <c r="B247" s="15"/>
      <c r="C247" s="2"/>
      <c r="D247" s="2"/>
      <c r="E247" s="24" t="str">
        <f t="shared" ref="E247" si="190">+AQ247</f>
        <v/>
      </c>
      <c r="F247" s="30"/>
      <c r="G247" s="24" t="str">
        <f t="shared" ref="G247" si="191">+AV247</f>
        <v>300100</v>
      </c>
      <c r="H247" s="16">
        <f t="shared" ref="H247" si="192">+AK247</f>
        <v>0</v>
      </c>
      <c r="I247" s="16">
        <f t="shared" ref="I247" si="193">+ROUND(AD247,2)</f>
        <v>0</v>
      </c>
      <c r="J247" s="2"/>
      <c r="K247" s="17">
        <f t="shared" ref="K247" si="194">+AE247</f>
        <v>0</v>
      </c>
      <c r="L247" s="16">
        <f t="shared" ref="L247" si="195">+AJ247</f>
        <v>0</v>
      </c>
      <c r="M247" s="32" t="s">
        <v>5</v>
      </c>
      <c r="N247" s="30"/>
      <c r="O247" s="2"/>
      <c r="P247" s="30"/>
      <c r="Q247" s="32" t="s">
        <v>0</v>
      </c>
      <c r="R247" s="24"/>
      <c r="S247" s="24" t="str">
        <f t="shared" ref="S247" si="196">+RIGHT(O247,7)</f>
        <v/>
      </c>
      <c r="T247" s="2"/>
      <c r="U247" s="3" t="s">
        <v>1</v>
      </c>
      <c r="V247" s="3" t="s">
        <v>3</v>
      </c>
      <c r="W247" s="16">
        <f t="shared" ref="W247" si="197">+AI247</f>
        <v>0</v>
      </c>
      <c r="X247" s="16">
        <f t="shared" ref="X247" si="198">+AJ247</f>
        <v>0</v>
      </c>
      <c r="Y247" s="3" t="s">
        <v>4</v>
      </c>
      <c r="Z247" s="18">
        <f t="shared" ref="Z247" si="199">+F247</f>
        <v>0</v>
      </c>
      <c r="AA247" s="61"/>
      <c r="AB247" s="65"/>
      <c r="AC247" s="16">
        <f>+AB247*0.18</f>
        <v>0</v>
      </c>
      <c r="AD247" s="16">
        <f>+AB247+AC247</f>
        <v>0</v>
      </c>
      <c r="AE247" s="68"/>
      <c r="AF247" s="16">
        <f t="shared" ref="AF247" si="200">+AB247*AE247</f>
        <v>0</v>
      </c>
      <c r="AG247" s="16">
        <f t="shared" ref="AG247" si="201">+AC247*AE247</f>
        <v>0</v>
      </c>
      <c r="AH247" s="16">
        <f t="shared" ref="AH247" si="202">+AD247*AE247</f>
        <v>0</v>
      </c>
      <c r="AI247" s="16">
        <f t="shared" ref="AI247" si="203">+ROUND(AF247,2)</f>
        <v>0</v>
      </c>
      <c r="AJ247" s="16">
        <f t="shared" ref="AJ247" si="204">+ROUND(AG247,2)</f>
        <v>0</v>
      </c>
      <c r="AK247" s="16">
        <f t="shared" ref="AK247" si="205">+AI247+AJ247</f>
        <v>0</v>
      </c>
      <c r="AL247" s="16">
        <f t="shared" ref="AL247" si="206">+AI247+AJ247-AK247</f>
        <v>0</v>
      </c>
      <c r="AM247" s="44"/>
      <c r="AN247" s="41" t="str">
        <f t="shared" ref="AN247" si="207">+LEFT(AM247,2)</f>
        <v/>
      </c>
      <c r="AO247" s="41" t="str">
        <f t="shared" ref="AO247" si="208">+MID(AM247,4,2)</f>
        <v/>
      </c>
      <c r="AP247" s="41" t="str">
        <f t="shared" ref="AP247" si="209">+RIGHT(AM247,2)</f>
        <v/>
      </c>
      <c r="AQ247" s="41" t="str">
        <f t="shared" ref="AQ247" si="210">+CONCATENATE(AN247,AO247,AP247)</f>
        <v/>
      </c>
      <c r="AR247" s="45">
        <f t="shared" ref="AR247" si="211">+AM247+30</f>
        <v>30</v>
      </c>
      <c r="AS247" s="46">
        <f t="shared" ref="AS247" si="212">+DAY(AR247)</f>
        <v>30</v>
      </c>
      <c r="AT247" s="41">
        <f t="shared" ref="AT247" si="213">+MONTH(AR247)</f>
        <v>1</v>
      </c>
      <c r="AU247" s="41">
        <f t="shared" ref="AU247" si="214">+YEAR(AR247)</f>
        <v>1900</v>
      </c>
      <c r="AV247" s="41" t="str">
        <f t="shared" ref="AV247" si="215">+CONCATENATE(TEXT(AS247,"00"),TEXT(AT247,"00"),RIGHT(AU247,2))</f>
        <v>300100</v>
      </c>
    </row>
    <row r="248" spans="1:48" hidden="1" x14ac:dyDescent="0.25">
      <c r="A248" s="31"/>
      <c r="B248" s="31"/>
      <c r="C248" s="3"/>
      <c r="D248" s="3"/>
      <c r="E248" s="2"/>
      <c r="F248" s="3"/>
      <c r="G248" s="3"/>
      <c r="H248" s="16"/>
      <c r="I248" s="16"/>
      <c r="J248" s="3"/>
      <c r="K248" s="17"/>
      <c r="L248" s="16"/>
      <c r="M248" s="3"/>
      <c r="N248" s="3"/>
      <c r="O248" s="2"/>
      <c r="P248" s="3" t="s">
        <v>54</v>
      </c>
      <c r="Q248" s="3"/>
      <c r="R248" s="3"/>
      <c r="S248" s="16"/>
      <c r="T248" s="3"/>
      <c r="U248" s="3"/>
      <c r="V248" s="3"/>
      <c r="W248" s="16"/>
      <c r="X248" s="16"/>
      <c r="Y248" s="3"/>
      <c r="Z248" s="18"/>
      <c r="AA248" s="3"/>
      <c r="AB248" s="16"/>
      <c r="AC248" s="16"/>
      <c r="AD248" s="16"/>
      <c r="AE248" s="9"/>
      <c r="AF248" s="16"/>
      <c r="AG248" s="16"/>
      <c r="AH248" s="16"/>
      <c r="AI248" s="16"/>
      <c r="AJ248" s="16"/>
      <c r="AK248" s="16"/>
      <c r="AL248" s="16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1:48" hidden="1" x14ac:dyDescent="0.25">
      <c r="A249" s="31"/>
      <c r="B249" s="31"/>
      <c r="C249" s="3"/>
      <c r="D249" s="3"/>
      <c r="E249" s="2"/>
      <c r="F249" s="3"/>
      <c r="G249" s="3"/>
      <c r="H249" s="16"/>
      <c r="I249" s="16"/>
      <c r="J249" s="3"/>
      <c r="K249" s="17"/>
      <c r="L249" s="16"/>
      <c r="M249" s="3"/>
      <c r="N249" s="3"/>
      <c r="O249" s="2"/>
      <c r="P249" s="3" t="s">
        <v>54</v>
      </c>
      <c r="Q249" s="3"/>
      <c r="R249" s="3"/>
      <c r="S249" s="16"/>
      <c r="T249" s="3"/>
      <c r="U249" s="3"/>
      <c r="V249" s="3"/>
      <c r="W249" s="16"/>
      <c r="X249" s="16"/>
      <c r="Y249" s="3"/>
      <c r="Z249" s="18"/>
      <c r="AA249" s="3"/>
      <c r="AB249" s="16"/>
      <c r="AC249" s="16"/>
      <c r="AD249" s="16"/>
      <c r="AE249" s="9"/>
      <c r="AF249" s="16"/>
      <c r="AG249" s="16"/>
      <c r="AH249" s="16"/>
      <c r="AI249" s="16"/>
      <c r="AJ249" s="16"/>
      <c r="AK249" s="16"/>
      <c r="AL249" s="16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1:48" hidden="1" x14ac:dyDescent="0.25">
      <c r="A250" s="31"/>
      <c r="B250" s="31"/>
      <c r="C250" s="3"/>
      <c r="D250" s="3"/>
      <c r="E250" s="2"/>
      <c r="F250" s="3"/>
      <c r="G250" s="3"/>
      <c r="H250" s="16"/>
      <c r="I250" s="16"/>
      <c r="J250" s="3"/>
      <c r="K250" s="17"/>
      <c r="L250" s="16"/>
      <c r="M250" s="3"/>
      <c r="N250" s="3"/>
      <c r="O250" s="2"/>
      <c r="P250" s="3" t="s">
        <v>54</v>
      </c>
      <c r="Q250" s="3"/>
      <c r="R250" s="3"/>
      <c r="S250" s="16"/>
      <c r="T250" s="3"/>
      <c r="U250" s="3"/>
      <c r="V250" s="3"/>
      <c r="W250" s="16"/>
      <c r="X250" s="16"/>
      <c r="Y250" s="3"/>
      <c r="Z250" s="18"/>
      <c r="AA250" s="3"/>
      <c r="AB250" s="16"/>
      <c r="AC250" s="16"/>
      <c r="AD250" s="16"/>
      <c r="AE250" s="9"/>
      <c r="AF250" s="16"/>
      <c r="AG250" s="16"/>
      <c r="AH250" s="16"/>
      <c r="AI250" s="16"/>
      <c r="AJ250" s="16"/>
      <c r="AK250" s="16"/>
      <c r="AL250" s="16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1:48" x14ac:dyDescent="0.25">
      <c r="A251" s="15">
        <f t="shared" ref="A251" si="216">1+A247</f>
        <v>63</v>
      </c>
      <c r="B251" s="15"/>
      <c r="C251" s="2"/>
      <c r="D251" s="2"/>
      <c r="E251" s="24" t="str">
        <f t="shared" ref="E251" si="217">+AQ251</f>
        <v/>
      </c>
      <c r="F251" s="30"/>
      <c r="G251" s="24" t="str">
        <f t="shared" ref="G251" si="218">+AV251</f>
        <v>300100</v>
      </c>
      <c r="H251" s="16">
        <f t="shared" ref="H251" si="219">+AK251</f>
        <v>0</v>
      </c>
      <c r="I251" s="16">
        <f t="shared" ref="I251" si="220">+ROUND(AD251,2)</f>
        <v>0</v>
      </c>
      <c r="J251" s="2"/>
      <c r="K251" s="17">
        <f t="shared" ref="K251" si="221">+AE251</f>
        <v>0</v>
      </c>
      <c r="L251" s="16">
        <f t="shared" ref="L251" si="222">+AJ251</f>
        <v>0</v>
      </c>
      <c r="M251" s="32" t="s">
        <v>5</v>
      </c>
      <c r="N251" s="30"/>
      <c r="O251" s="2"/>
      <c r="P251" s="30"/>
      <c r="Q251" s="32" t="s">
        <v>0</v>
      </c>
      <c r="R251" s="24"/>
      <c r="S251" s="24" t="str">
        <f t="shared" ref="S251" si="223">+RIGHT(O251,7)</f>
        <v/>
      </c>
      <c r="T251" s="2"/>
      <c r="U251" s="3" t="s">
        <v>1</v>
      </c>
      <c r="V251" s="3" t="s">
        <v>3</v>
      </c>
      <c r="W251" s="16">
        <f t="shared" ref="W251" si="224">+AI251</f>
        <v>0</v>
      </c>
      <c r="X251" s="16">
        <f t="shared" ref="X251" si="225">+AJ251</f>
        <v>0</v>
      </c>
      <c r="Y251" s="3" t="s">
        <v>4</v>
      </c>
      <c r="Z251" s="18">
        <f t="shared" ref="Z251" si="226">+F251</f>
        <v>0</v>
      </c>
      <c r="AA251" s="61"/>
      <c r="AB251" s="65"/>
      <c r="AC251" s="16">
        <f>+AB251*0.18</f>
        <v>0</v>
      </c>
      <c r="AD251" s="16">
        <f>+AB251+AC251</f>
        <v>0</v>
      </c>
      <c r="AE251" s="68"/>
      <c r="AF251" s="16">
        <f t="shared" ref="AF251" si="227">+AB251*AE251</f>
        <v>0</v>
      </c>
      <c r="AG251" s="16">
        <f t="shared" ref="AG251" si="228">+AC251*AE251</f>
        <v>0</v>
      </c>
      <c r="AH251" s="16">
        <f t="shared" ref="AH251" si="229">+AD251*AE251</f>
        <v>0</v>
      </c>
      <c r="AI251" s="16">
        <f t="shared" ref="AI251" si="230">+ROUND(AF251,2)</f>
        <v>0</v>
      </c>
      <c r="AJ251" s="16">
        <f t="shared" ref="AJ251" si="231">+ROUND(AG251,2)</f>
        <v>0</v>
      </c>
      <c r="AK251" s="16">
        <f t="shared" ref="AK251" si="232">+AI251+AJ251</f>
        <v>0</v>
      </c>
      <c r="AL251" s="16">
        <f t="shared" ref="AL251" si="233">+AI251+AJ251-AK251</f>
        <v>0</v>
      </c>
      <c r="AM251" s="44"/>
      <c r="AN251" s="41" t="str">
        <f t="shared" ref="AN251" si="234">+LEFT(AM251,2)</f>
        <v/>
      </c>
      <c r="AO251" s="41" t="str">
        <f t="shared" ref="AO251" si="235">+MID(AM251,4,2)</f>
        <v/>
      </c>
      <c r="AP251" s="41" t="str">
        <f t="shared" ref="AP251" si="236">+RIGHT(AM251,2)</f>
        <v/>
      </c>
      <c r="AQ251" s="41" t="str">
        <f t="shared" ref="AQ251" si="237">+CONCATENATE(AN251,AO251,AP251)</f>
        <v/>
      </c>
      <c r="AR251" s="45">
        <f t="shared" ref="AR251" si="238">+AM251+30</f>
        <v>30</v>
      </c>
      <c r="AS251" s="46">
        <f t="shared" ref="AS251" si="239">+DAY(AR251)</f>
        <v>30</v>
      </c>
      <c r="AT251" s="41">
        <f t="shared" ref="AT251" si="240">+MONTH(AR251)</f>
        <v>1</v>
      </c>
      <c r="AU251" s="41">
        <f t="shared" ref="AU251" si="241">+YEAR(AR251)</f>
        <v>1900</v>
      </c>
      <c r="AV251" s="41" t="str">
        <f t="shared" ref="AV251" si="242">+CONCATENATE(TEXT(AS251,"00"),TEXT(AT251,"00"),RIGHT(AU251,2))</f>
        <v>300100</v>
      </c>
    </row>
    <row r="252" spans="1:48" hidden="1" x14ac:dyDescent="0.25">
      <c r="A252" s="31"/>
      <c r="B252" s="31"/>
      <c r="C252" s="3"/>
      <c r="D252" s="3"/>
      <c r="E252" s="2"/>
      <c r="F252" s="3"/>
      <c r="G252" s="3"/>
      <c r="H252" s="16"/>
      <c r="I252" s="16"/>
      <c r="J252" s="3"/>
      <c r="K252" s="17"/>
      <c r="L252" s="16"/>
      <c r="M252" s="3"/>
      <c r="N252" s="3"/>
      <c r="O252" s="2"/>
      <c r="P252" s="3" t="s">
        <v>54</v>
      </c>
      <c r="Q252" s="3"/>
      <c r="R252" s="3"/>
      <c r="S252" s="16"/>
      <c r="T252" s="3"/>
      <c r="U252" s="3"/>
      <c r="V252" s="3"/>
      <c r="W252" s="16"/>
      <c r="X252" s="16"/>
      <c r="Y252" s="3"/>
      <c r="Z252" s="18"/>
      <c r="AA252" s="3"/>
      <c r="AB252" s="16"/>
      <c r="AC252" s="16"/>
      <c r="AD252" s="16"/>
      <c r="AE252" s="9"/>
      <c r="AF252" s="16"/>
      <c r="AG252" s="16"/>
      <c r="AH252" s="16"/>
      <c r="AI252" s="16"/>
      <c r="AJ252" s="16"/>
      <c r="AK252" s="16"/>
      <c r="AL252" s="16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hidden="1" x14ac:dyDescent="0.25">
      <c r="A253" s="31"/>
      <c r="B253" s="31"/>
      <c r="C253" s="3"/>
      <c r="D253" s="3"/>
      <c r="E253" s="2"/>
      <c r="F253" s="3"/>
      <c r="G253" s="3"/>
      <c r="H253" s="16"/>
      <c r="I253" s="16"/>
      <c r="J253" s="3"/>
      <c r="K253" s="17"/>
      <c r="L253" s="16"/>
      <c r="M253" s="3"/>
      <c r="N253" s="3"/>
      <c r="O253" s="2"/>
      <c r="P253" s="3" t="s">
        <v>54</v>
      </c>
      <c r="Q253" s="3"/>
      <c r="R253" s="3"/>
      <c r="S253" s="16"/>
      <c r="T253" s="3"/>
      <c r="U253" s="3"/>
      <c r="V253" s="3"/>
      <c r="W253" s="16"/>
      <c r="X253" s="16"/>
      <c r="Y253" s="3"/>
      <c r="Z253" s="18"/>
      <c r="AA253" s="3"/>
      <c r="AB253" s="16"/>
      <c r="AC253" s="16"/>
      <c r="AD253" s="16"/>
      <c r="AE253" s="9"/>
      <c r="AF253" s="16"/>
      <c r="AG253" s="16"/>
      <c r="AH253" s="16"/>
      <c r="AI253" s="16"/>
      <c r="AJ253" s="16"/>
      <c r="AK253" s="16"/>
      <c r="AL253" s="16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1:48" hidden="1" x14ac:dyDescent="0.25">
      <c r="A254" s="31"/>
      <c r="B254" s="31"/>
      <c r="C254" s="3"/>
      <c r="D254" s="3"/>
      <c r="E254" s="2"/>
      <c r="F254" s="3"/>
      <c r="G254" s="3"/>
      <c r="H254" s="16"/>
      <c r="I254" s="16"/>
      <c r="J254" s="3"/>
      <c r="K254" s="17"/>
      <c r="L254" s="16"/>
      <c r="M254" s="3"/>
      <c r="N254" s="3"/>
      <c r="O254" s="2"/>
      <c r="P254" s="3" t="s">
        <v>54</v>
      </c>
      <c r="Q254" s="3"/>
      <c r="R254" s="3"/>
      <c r="S254" s="16"/>
      <c r="T254" s="3"/>
      <c r="U254" s="3"/>
      <c r="V254" s="3"/>
      <c r="W254" s="16"/>
      <c r="X254" s="16"/>
      <c r="Y254" s="3"/>
      <c r="Z254" s="18"/>
      <c r="AA254" s="3"/>
      <c r="AB254" s="16"/>
      <c r="AC254" s="16"/>
      <c r="AD254" s="16"/>
      <c r="AE254" s="9"/>
      <c r="AF254" s="16"/>
      <c r="AG254" s="16"/>
      <c r="AH254" s="16"/>
      <c r="AI254" s="16"/>
      <c r="AJ254" s="16"/>
      <c r="AK254" s="16"/>
      <c r="AL254" s="16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1:48" x14ac:dyDescent="0.25">
      <c r="A255" s="15">
        <f t="shared" ref="A255" si="243">1+A251</f>
        <v>64</v>
      </c>
      <c r="B255" s="15"/>
      <c r="C255" s="2"/>
      <c r="D255" s="2"/>
      <c r="E255" s="24" t="str">
        <f t="shared" ref="E255" si="244">+AQ255</f>
        <v/>
      </c>
      <c r="F255" s="30"/>
      <c r="G255" s="24" t="str">
        <f t="shared" ref="G255" si="245">+AV255</f>
        <v>300100</v>
      </c>
      <c r="H255" s="16">
        <f t="shared" ref="H255" si="246">+AK255</f>
        <v>0</v>
      </c>
      <c r="I255" s="16">
        <f t="shared" ref="I255" si="247">+ROUND(AD255,2)</f>
        <v>0</v>
      </c>
      <c r="J255" s="2"/>
      <c r="K255" s="17">
        <f t="shared" ref="K255" si="248">+AE255</f>
        <v>0</v>
      </c>
      <c r="L255" s="16">
        <f t="shared" ref="L255" si="249">+AJ255</f>
        <v>0</v>
      </c>
      <c r="M255" s="32" t="s">
        <v>5</v>
      </c>
      <c r="N255" s="30"/>
      <c r="O255" s="2"/>
      <c r="P255" s="30"/>
      <c r="Q255" s="32" t="s">
        <v>0</v>
      </c>
      <c r="R255" s="24"/>
      <c r="S255" s="24" t="str">
        <f t="shared" ref="S255" si="250">+RIGHT(O255,7)</f>
        <v/>
      </c>
      <c r="T255" s="2"/>
      <c r="U255" s="3" t="s">
        <v>1</v>
      </c>
      <c r="V255" s="3" t="s">
        <v>3</v>
      </c>
      <c r="W255" s="16">
        <f t="shared" ref="W255" si="251">+AI255</f>
        <v>0</v>
      </c>
      <c r="X255" s="16">
        <f t="shared" ref="X255" si="252">+AJ255</f>
        <v>0</v>
      </c>
      <c r="Y255" s="3" t="s">
        <v>4</v>
      </c>
      <c r="Z255" s="18">
        <f t="shared" ref="Z255" si="253">+F255</f>
        <v>0</v>
      </c>
      <c r="AA255" s="61"/>
      <c r="AB255" s="65"/>
      <c r="AC255" s="16">
        <f>+AB255*0.18</f>
        <v>0</v>
      </c>
      <c r="AD255" s="16">
        <f>+AB255+AC255</f>
        <v>0</v>
      </c>
      <c r="AE255" s="68"/>
      <c r="AF255" s="16">
        <f t="shared" ref="AF255" si="254">+AB255*AE255</f>
        <v>0</v>
      </c>
      <c r="AG255" s="16">
        <f t="shared" ref="AG255" si="255">+AC255*AE255</f>
        <v>0</v>
      </c>
      <c r="AH255" s="16">
        <f t="shared" ref="AH255" si="256">+AD255*AE255</f>
        <v>0</v>
      </c>
      <c r="AI255" s="16">
        <f t="shared" ref="AI255" si="257">+ROUND(AF255,2)</f>
        <v>0</v>
      </c>
      <c r="AJ255" s="16">
        <f t="shared" ref="AJ255" si="258">+ROUND(AG255,2)</f>
        <v>0</v>
      </c>
      <c r="AK255" s="16">
        <f t="shared" ref="AK255" si="259">+AI255+AJ255</f>
        <v>0</v>
      </c>
      <c r="AL255" s="16">
        <f t="shared" ref="AL255" si="260">+AI255+AJ255-AK255</f>
        <v>0</v>
      </c>
      <c r="AM255" s="44"/>
      <c r="AN255" s="41" t="str">
        <f t="shared" ref="AN255" si="261">+LEFT(AM255,2)</f>
        <v/>
      </c>
      <c r="AO255" s="41" t="str">
        <f t="shared" ref="AO255" si="262">+MID(AM255,4,2)</f>
        <v/>
      </c>
      <c r="AP255" s="41" t="str">
        <f t="shared" ref="AP255" si="263">+RIGHT(AM255,2)</f>
        <v/>
      </c>
      <c r="AQ255" s="41" t="str">
        <f t="shared" ref="AQ255" si="264">+CONCATENATE(AN255,AO255,AP255)</f>
        <v/>
      </c>
      <c r="AR255" s="45">
        <f t="shared" ref="AR255" si="265">+AM255+30</f>
        <v>30</v>
      </c>
      <c r="AS255" s="46">
        <f t="shared" ref="AS255" si="266">+DAY(AR255)</f>
        <v>30</v>
      </c>
      <c r="AT255" s="41">
        <f t="shared" ref="AT255" si="267">+MONTH(AR255)</f>
        <v>1</v>
      </c>
      <c r="AU255" s="41">
        <f t="shared" ref="AU255" si="268">+YEAR(AR255)</f>
        <v>1900</v>
      </c>
      <c r="AV255" s="41" t="str">
        <f t="shared" ref="AV255" si="269">+CONCATENATE(TEXT(AS255,"00"),TEXT(AT255,"00"),RIGHT(AU255,2))</f>
        <v>300100</v>
      </c>
    </row>
    <row r="256" spans="1:48" hidden="1" x14ac:dyDescent="0.25">
      <c r="A256" s="31"/>
      <c r="B256" s="31"/>
      <c r="C256" s="3"/>
      <c r="D256" s="3"/>
      <c r="E256" s="2"/>
      <c r="F256" s="3"/>
      <c r="G256" s="3"/>
      <c r="H256" s="16"/>
      <c r="I256" s="16"/>
      <c r="J256" s="3"/>
      <c r="K256" s="17"/>
      <c r="L256" s="16"/>
      <c r="M256" s="3"/>
      <c r="N256" s="3"/>
      <c r="O256" s="2"/>
      <c r="P256" s="3" t="s">
        <v>54</v>
      </c>
      <c r="Q256" s="3"/>
      <c r="R256" s="3"/>
      <c r="S256" s="16"/>
      <c r="T256" s="3"/>
      <c r="U256" s="3"/>
      <c r="V256" s="3"/>
      <c r="W256" s="16"/>
      <c r="X256" s="16"/>
      <c r="Y256" s="3"/>
      <c r="Z256" s="18"/>
      <c r="AA256" s="3"/>
      <c r="AB256" s="16"/>
      <c r="AC256" s="16"/>
      <c r="AD256" s="16"/>
      <c r="AE256" s="9"/>
      <c r="AF256" s="16"/>
      <c r="AG256" s="16"/>
      <c r="AH256" s="16"/>
      <c r="AI256" s="16"/>
      <c r="AJ256" s="16"/>
      <c r="AK256" s="16"/>
      <c r="AL256" s="16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hidden="1" x14ac:dyDescent="0.25">
      <c r="A257" s="31"/>
      <c r="B257" s="31"/>
      <c r="C257" s="3"/>
      <c r="D257" s="3"/>
      <c r="E257" s="2"/>
      <c r="F257" s="3"/>
      <c r="G257" s="3"/>
      <c r="H257" s="16"/>
      <c r="I257" s="16"/>
      <c r="J257" s="3"/>
      <c r="K257" s="17"/>
      <c r="L257" s="16"/>
      <c r="M257" s="3"/>
      <c r="N257" s="3"/>
      <c r="O257" s="2"/>
      <c r="P257" s="3" t="s">
        <v>54</v>
      </c>
      <c r="Q257" s="3"/>
      <c r="R257" s="3"/>
      <c r="S257" s="16"/>
      <c r="T257" s="3"/>
      <c r="U257" s="3"/>
      <c r="V257" s="3"/>
      <c r="W257" s="16"/>
      <c r="X257" s="16"/>
      <c r="Y257" s="3"/>
      <c r="Z257" s="18"/>
      <c r="AA257" s="3"/>
      <c r="AB257" s="16"/>
      <c r="AC257" s="16"/>
      <c r="AD257" s="16"/>
      <c r="AE257" s="9"/>
      <c r="AF257" s="16"/>
      <c r="AG257" s="16"/>
      <c r="AH257" s="16"/>
      <c r="AI257" s="16"/>
      <c r="AJ257" s="16"/>
      <c r="AK257" s="16"/>
      <c r="AL257" s="16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1:48" hidden="1" x14ac:dyDescent="0.25">
      <c r="A258" s="31"/>
      <c r="B258" s="31"/>
      <c r="C258" s="3"/>
      <c r="D258" s="3"/>
      <c r="E258" s="2"/>
      <c r="F258" s="3"/>
      <c r="G258" s="3"/>
      <c r="H258" s="16"/>
      <c r="I258" s="16"/>
      <c r="J258" s="3"/>
      <c r="K258" s="17"/>
      <c r="L258" s="16"/>
      <c r="M258" s="3"/>
      <c r="N258" s="3"/>
      <c r="O258" s="2"/>
      <c r="P258" s="3" t="s">
        <v>54</v>
      </c>
      <c r="Q258" s="3"/>
      <c r="R258" s="3"/>
      <c r="S258" s="16"/>
      <c r="T258" s="3"/>
      <c r="U258" s="3"/>
      <c r="V258" s="3"/>
      <c r="W258" s="16"/>
      <c r="X258" s="16"/>
      <c r="Y258" s="3"/>
      <c r="Z258" s="18"/>
      <c r="AA258" s="3"/>
      <c r="AB258" s="16"/>
      <c r="AC258" s="16"/>
      <c r="AD258" s="16"/>
      <c r="AE258" s="9"/>
      <c r="AF258" s="16"/>
      <c r="AG258" s="16"/>
      <c r="AH258" s="16"/>
      <c r="AI258" s="16"/>
      <c r="AJ258" s="16"/>
      <c r="AK258" s="16"/>
      <c r="AL258" s="16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1:48" x14ac:dyDescent="0.25">
      <c r="A259" s="15">
        <f t="shared" ref="A259" si="270">1+A255</f>
        <v>65</v>
      </c>
      <c r="B259" s="15"/>
      <c r="C259" s="2"/>
      <c r="D259" s="2"/>
      <c r="E259" s="24" t="str">
        <f t="shared" ref="E259" si="271">+AQ259</f>
        <v/>
      </c>
      <c r="F259" s="30"/>
      <c r="G259" s="24" t="str">
        <f t="shared" ref="G259" si="272">+AV259</f>
        <v>300100</v>
      </c>
      <c r="H259" s="16">
        <f t="shared" ref="H259" si="273">+AK259</f>
        <v>0</v>
      </c>
      <c r="I259" s="16">
        <f t="shared" ref="I259" si="274">+ROUND(AD259,2)</f>
        <v>0</v>
      </c>
      <c r="J259" s="2"/>
      <c r="K259" s="17">
        <f t="shared" ref="K259" si="275">+AE259</f>
        <v>0</v>
      </c>
      <c r="L259" s="16">
        <f t="shared" ref="L259" si="276">+AJ259</f>
        <v>0</v>
      </c>
      <c r="M259" s="32" t="s">
        <v>5</v>
      </c>
      <c r="N259" s="30"/>
      <c r="O259" s="2"/>
      <c r="P259" s="30"/>
      <c r="Q259" s="32" t="s">
        <v>0</v>
      </c>
      <c r="R259" s="24"/>
      <c r="S259" s="24" t="str">
        <f t="shared" ref="S259" si="277">+RIGHT(O259,7)</f>
        <v/>
      </c>
      <c r="T259" s="2"/>
      <c r="U259" s="3" t="s">
        <v>1</v>
      </c>
      <c r="V259" s="3" t="s">
        <v>3</v>
      </c>
      <c r="W259" s="16">
        <f t="shared" ref="W259" si="278">+AI259</f>
        <v>0</v>
      </c>
      <c r="X259" s="16">
        <f t="shared" ref="X259" si="279">+AJ259</f>
        <v>0</v>
      </c>
      <c r="Y259" s="3" t="s">
        <v>4</v>
      </c>
      <c r="Z259" s="18">
        <f t="shared" ref="Z259" si="280">+F259</f>
        <v>0</v>
      </c>
      <c r="AA259" s="61"/>
      <c r="AB259" s="65"/>
      <c r="AC259" s="16">
        <f>+AB259*0.18</f>
        <v>0</v>
      </c>
      <c r="AD259" s="16">
        <f>+AB259+AC259</f>
        <v>0</v>
      </c>
      <c r="AE259" s="68"/>
      <c r="AF259" s="16">
        <f t="shared" ref="AF259" si="281">+AB259*AE259</f>
        <v>0</v>
      </c>
      <c r="AG259" s="16">
        <f t="shared" ref="AG259" si="282">+AC259*AE259</f>
        <v>0</v>
      </c>
      <c r="AH259" s="16">
        <f t="shared" ref="AH259" si="283">+AD259*AE259</f>
        <v>0</v>
      </c>
      <c r="AI259" s="16">
        <f t="shared" ref="AI259" si="284">+ROUND(AF259,2)</f>
        <v>0</v>
      </c>
      <c r="AJ259" s="16">
        <f t="shared" ref="AJ259" si="285">+ROUND(AG259,2)</f>
        <v>0</v>
      </c>
      <c r="AK259" s="16">
        <f t="shared" ref="AK259" si="286">+AI259+AJ259</f>
        <v>0</v>
      </c>
      <c r="AL259" s="16">
        <f t="shared" ref="AL259" si="287">+AI259+AJ259-AK259</f>
        <v>0</v>
      </c>
      <c r="AM259" s="44"/>
      <c r="AN259" s="41" t="str">
        <f t="shared" ref="AN259" si="288">+LEFT(AM259,2)</f>
        <v/>
      </c>
      <c r="AO259" s="41" t="str">
        <f t="shared" ref="AO259" si="289">+MID(AM259,4,2)</f>
        <v/>
      </c>
      <c r="AP259" s="41" t="str">
        <f t="shared" ref="AP259" si="290">+RIGHT(AM259,2)</f>
        <v/>
      </c>
      <c r="AQ259" s="41" t="str">
        <f t="shared" ref="AQ259" si="291">+CONCATENATE(AN259,AO259,AP259)</f>
        <v/>
      </c>
      <c r="AR259" s="45">
        <f t="shared" ref="AR259" si="292">+AM259+30</f>
        <v>30</v>
      </c>
      <c r="AS259" s="46">
        <f t="shared" ref="AS259" si="293">+DAY(AR259)</f>
        <v>30</v>
      </c>
      <c r="AT259" s="41">
        <f t="shared" ref="AT259" si="294">+MONTH(AR259)</f>
        <v>1</v>
      </c>
      <c r="AU259" s="41">
        <f t="shared" ref="AU259" si="295">+YEAR(AR259)</f>
        <v>1900</v>
      </c>
      <c r="AV259" s="41" t="str">
        <f t="shared" ref="AV259" si="296">+CONCATENATE(TEXT(AS259,"00"),TEXT(AT259,"00"),RIGHT(AU259,2))</f>
        <v>300100</v>
      </c>
    </row>
    <row r="260" spans="1:48" hidden="1" x14ac:dyDescent="0.25">
      <c r="A260" s="31"/>
      <c r="B260" s="31"/>
      <c r="C260" s="3"/>
      <c r="D260" s="3"/>
      <c r="E260" s="2"/>
      <c r="F260" s="3"/>
      <c r="G260" s="3"/>
      <c r="H260" s="16"/>
      <c r="I260" s="16"/>
      <c r="J260" s="3"/>
      <c r="K260" s="17"/>
      <c r="L260" s="16"/>
      <c r="M260" s="3"/>
      <c r="N260" s="3"/>
      <c r="O260" s="2"/>
      <c r="P260" s="3" t="s">
        <v>54</v>
      </c>
      <c r="Q260" s="3"/>
      <c r="R260" s="3"/>
      <c r="S260" s="16"/>
      <c r="T260" s="3"/>
      <c r="U260" s="3"/>
      <c r="V260" s="3"/>
      <c r="W260" s="16"/>
      <c r="X260" s="16"/>
      <c r="Y260" s="3"/>
      <c r="Z260" s="18"/>
      <c r="AA260" s="3"/>
      <c r="AB260" s="16"/>
      <c r="AC260" s="16"/>
      <c r="AD260" s="16"/>
      <c r="AE260" s="9"/>
      <c r="AF260" s="16"/>
      <c r="AG260" s="16"/>
      <c r="AH260" s="16"/>
      <c r="AI260" s="16"/>
      <c r="AJ260" s="16"/>
      <c r="AK260" s="16"/>
      <c r="AL260" s="16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hidden="1" x14ac:dyDescent="0.25">
      <c r="A261" s="31"/>
      <c r="B261" s="31"/>
      <c r="C261" s="3"/>
      <c r="D261" s="3"/>
      <c r="E261" s="2"/>
      <c r="F261" s="3"/>
      <c r="G261" s="3"/>
      <c r="H261" s="16"/>
      <c r="I261" s="16"/>
      <c r="J261" s="3"/>
      <c r="K261" s="17"/>
      <c r="L261" s="16"/>
      <c r="M261" s="3"/>
      <c r="N261" s="3"/>
      <c r="O261" s="2"/>
      <c r="P261" s="3" t="s">
        <v>54</v>
      </c>
      <c r="Q261" s="3"/>
      <c r="R261" s="3"/>
      <c r="S261" s="16"/>
      <c r="T261" s="3"/>
      <c r="U261" s="3"/>
      <c r="V261" s="3"/>
      <c r="W261" s="16"/>
      <c r="X261" s="16"/>
      <c r="Y261" s="3"/>
      <c r="Z261" s="18"/>
      <c r="AA261" s="3"/>
      <c r="AB261" s="16"/>
      <c r="AC261" s="16"/>
      <c r="AD261" s="16"/>
      <c r="AE261" s="9"/>
      <c r="AF261" s="16"/>
      <c r="AG261" s="16"/>
      <c r="AH261" s="16"/>
      <c r="AI261" s="16"/>
      <c r="AJ261" s="16"/>
      <c r="AK261" s="16"/>
      <c r="AL261" s="16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1:48" hidden="1" x14ac:dyDescent="0.25">
      <c r="A262" s="31"/>
      <c r="B262" s="31"/>
      <c r="C262" s="3"/>
      <c r="D262" s="3"/>
      <c r="E262" s="2"/>
      <c r="F262" s="3"/>
      <c r="G262" s="3"/>
      <c r="H262" s="16"/>
      <c r="I262" s="16"/>
      <c r="J262" s="3"/>
      <c r="K262" s="17"/>
      <c r="L262" s="16"/>
      <c r="M262" s="3"/>
      <c r="N262" s="3"/>
      <c r="O262" s="2"/>
      <c r="P262" s="3" t="s">
        <v>54</v>
      </c>
      <c r="Q262" s="3"/>
      <c r="R262" s="3"/>
      <c r="S262" s="16"/>
      <c r="T262" s="3"/>
      <c r="U262" s="3"/>
      <c r="V262" s="3"/>
      <c r="W262" s="16"/>
      <c r="X262" s="16"/>
      <c r="Y262" s="3"/>
      <c r="Z262" s="18"/>
      <c r="AA262" s="3"/>
      <c r="AB262" s="16"/>
      <c r="AC262" s="16"/>
      <c r="AD262" s="16"/>
      <c r="AE262" s="9"/>
      <c r="AF262" s="16"/>
      <c r="AG262" s="16"/>
      <c r="AH262" s="16"/>
      <c r="AI262" s="16"/>
      <c r="AJ262" s="16"/>
      <c r="AK262" s="16"/>
      <c r="AL262" s="16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spans="1:48" x14ac:dyDescent="0.25">
      <c r="A263" s="15">
        <f t="shared" ref="A263" si="297">1+A259</f>
        <v>66</v>
      </c>
      <c r="B263" s="15"/>
      <c r="C263" s="2"/>
      <c r="D263" s="2"/>
      <c r="E263" s="24" t="str">
        <f t="shared" ref="E263" si="298">+AQ263</f>
        <v/>
      </c>
      <c r="F263" s="30"/>
      <c r="G263" s="24" t="str">
        <f t="shared" ref="G263" si="299">+AV263</f>
        <v>300100</v>
      </c>
      <c r="H263" s="16">
        <f t="shared" ref="H263" si="300">+AK263</f>
        <v>0</v>
      </c>
      <c r="I263" s="16">
        <f t="shared" ref="I263" si="301">+ROUND(AD263,2)</f>
        <v>0</v>
      </c>
      <c r="J263" s="2"/>
      <c r="K263" s="17">
        <f t="shared" ref="K263" si="302">+AE263</f>
        <v>0</v>
      </c>
      <c r="L263" s="16">
        <f t="shared" ref="L263" si="303">+AJ263</f>
        <v>0</v>
      </c>
      <c r="M263" s="32" t="s">
        <v>5</v>
      </c>
      <c r="N263" s="30"/>
      <c r="O263" s="2"/>
      <c r="P263" s="30"/>
      <c r="Q263" s="32" t="s">
        <v>0</v>
      </c>
      <c r="R263" s="24"/>
      <c r="S263" s="24" t="str">
        <f t="shared" ref="S263" si="304">+RIGHT(O263,7)</f>
        <v/>
      </c>
      <c r="T263" s="2"/>
      <c r="U263" s="3" t="s">
        <v>1</v>
      </c>
      <c r="V263" s="3" t="s">
        <v>3</v>
      </c>
      <c r="W263" s="16">
        <f t="shared" ref="W263" si="305">+AI263</f>
        <v>0</v>
      </c>
      <c r="X263" s="16">
        <f t="shared" ref="X263" si="306">+AJ263</f>
        <v>0</v>
      </c>
      <c r="Y263" s="3" t="s">
        <v>4</v>
      </c>
      <c r="Z263" s="18">
        <f t="shared" ref="Z263" si="307">+F263</f>
        <v>0</v>
      </c>
      <c r="AA263" s="61"/>
      <c r="AB263" s="65"/>
      <c r="AC263" s="16">
        <f>+AB263*0.18</f>
        <v>0</v>
      </c>
      <c r="AD263" s="16">
        <f>+AB263+AC263</f>
        <v>0</v>
      </c>
      <c r="AE263" s="68"/>
      <c r="AF263" s="16">
        <f t="shared" ref="AF263" si="308">+AB263*AE263</f>
        <v>0</v>
      </c>
      <c r="AG263" s="16">
        <f t="shared" ref="AG263" si="309">+AC263*AE263</f>
        <v>0</v>
      </c>
      <c r="AH263" s="16">
        <f t="shared" ref="AH263" si="310">+AD263*AE263</f>
        <v>0</v>
      </c>
      <c r="AI263" s="16">
        <f t="shared" ref="AI263" si="311">+ROUND(AF263,2)</f>
        <v>0</v>
      </c>
      <c r="AJ263" s="16">
        <f t="shared" ref="AJ263" si="312">+ROUND(AG263,2)</f>
        <v>0</v>
      </c>
      <c r="AK263" s="16">
        <f t="shared" ref="AK263" si="313">+AI263+AJ263</f>
        <v>0</v>
      </c>
      <c r="AL263" s="16">
        <f t="shared" ref="AL263" si="314">+AI263+AJ263-AK263</f>
        <v>0</v>
      </c>
      <c r="AM263" s="44"/>
      <c r="AN263" s="41" t="str">
        <f t="shared" ref="AN263" si="315">+LEFT(AM263,2)</f>
        <v/>
      </c>
      <c r="AO263" s="41" t="str">
        <f t="shared" ref="AO263" si="316">+MID(AM263,4,2)</f>
        <v/>
      </c>
      <c r="AP263" s="41" t="str">
        <f t="shared" ref="AP263" si="317">+RIGHT(AM263,2)</f>
        <v/>
      </c>
      <c r="AQ263" s="41" t="str">
        <f t="shared" ref="AQ263" si="318">+CONCATENATE(AN263,AO263,AP263)</f>
        <v/>
      </c>
      <c r="AR263" s="45">
        <f t="shared" ref="AR263" si="319">+AM263+30</f>
        <v>30</v>
      </c>
      <c r="AS263" s="46">
        <f t="shared" ref="AS263" si="320">+DAY(AR263)</f>
        <v>30</v>
      </c>
      <c r="AT263" s="41">
        <f t="shared" ref="AT263" si="321">+MONTH(AR263)</f>
        <v>1</v>
      </c>
      <c r="AU263" s="41">
        <f t="shared" ref="AU263" si="322">+YEAR(AR263)</f>
        <v>1900</v>
      </c>
      <c r="AV263" s="41" t="str">
        <f t="shared" ref="AV263" si="323">+CONCATENATE(TEXT(AS263,"00"),TEXT(AT263,"00"),RIGHT(AU263,2))</f>
        <v>300100</v>
      </c>
    </row>
    <row r="264" spans="1:48" hidden="1" x14ac:dyDescent="0.25">
      <c r="A264" s="31"/>
      <c r="B264" s="31"/>
      <c r="C264" s="3"/>
      <c r="D264" s="3"/>
      <c r="E264" s="2"/>
      <c r="F264" s="3"/>
      <c r="G264" s="3"/>
      <c r="H264" s="16"/>
      <c r="I264" s="16"/>
      <c r="J264" s="3"/>
      <c r="K264" s="17"/>
      <c r="L264" s="16"/>
      <c r="M264" s="3"/>
      <c r="N264" s="3"/>
      <c r="O264" s="2"/>
      <c r="P264" s="3" t="s">
        <v>54</v>
      </c>
      <c r="Q264" s="3"/>
      <c r="R264" s="3"/>
      <c r="S264" s="16"/>
      <c r="T264" s="3"/>
      <c r="U264" s="3"/>
      <c r="V264" s="3"/>
      <c r="W264" s="16"/>
      <c r="X264" s="16"/>
      <c r="Y264" s="3"/>
      <c r="Z264" s="18"/>
      <c r="AA264" s="3"/>
      <c r="AB264" s="16"/>
      <c r="AC264" s="16"/>
      <c r="AD264" s="16"/>
      <c r="AE264" s="9"/>
      <c r="AF264" s="16"/>
      <c r="AG264" s="16"/>
      <c r="AH264" s="16"/>
      <c r="AI264" s="16"/>
      <c r="AJ264" s="16"/>
      <c r="AK264" s="16"/>
      <c r="AL264" s="16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hidden="1" x14ac:dyDescent="0.25">
      <c r="A265" s="31"/>
      <c r="B265" s="31"/>
      <c r="C265" s="3"/>
      <c r="D265" s="3"/>
      <c r="E265" s="2"/>
      <c r="F265" s="3"/>
      <c r="G265" s="3"/>
      <c r="H265" s="16"/>
      <c r="I265" s="16"/>
      <c r="J265" s="3"/>
      <c r="K265" s="17"/>
      <c r="L265" s="16"/>
      <c r="M265" s="3"/>
      <c r="N265" s="3"/>
      <c r="O265" s="2"/>
      <c r="P265" s="3" t="s">
        <v>54</v>
      </c>
      <c r="Q265" s="3"/>
      <c r="R265" s="3"/>
      <c r="S265" s="16"/>
      <c r="T265" s="3"/>
      <c r="U265" s="3"/>
      <c r="V265" s="3"/>
      <c r="W265" s="16"/>
      <c r="X265" s="16"/>
      <c r="Y265" s="3"/>
      <c r="Z265" s="18"/>
      <c r="AA265" s="3"/>
      <c r="AB265" s="16"/>
      <c r="AC265" s="16"/>
      <c r="AD265" s="16"/>
      <c r="AE265" s="9"/>
      <c r="AF265" s="16"/>
      <c r="AG265" s="16"/>
      <c r="AH265" s="16"/>
      <c r="AI265" s="16"/>
      <c r="AJ265" s="16"/>
      <c r="AK265" s="16"/>
      <c r="AL265" s="16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spans="1:48" hidden="1" x14ac:dyDescent="0.25">
      <c r="A266" s="31"/>
      <c r="B266" s="31"/>
      <c r="C266" s="3"/>
      <c r="D266" s="3"/>
      <c r="E266" s="2"/>
      <c r="F266" s="3"/>
      <c r="G266" s="3"/>
      <c r="H266" s="16"/>
      <c r="I266" s="16"/>
      <c r="J266" s="3"/>
      <c r="K266" s="17"/>
      <c r="L266" s="16"/>
      <c r="M266" s="3"/>
      <c r="N266" s="3"/>
      <c r="O266" s="2"/>
      <c r="P266" s="3" t="s">
        <v>54</v>
      </c>
      <c r="Q266" s="3"/>
      <c r="R266" s="3"/>
      <c r="S266" s="16"/>
      <c r="T266" s="3"/>
      <c r="U266" s="3"/>
      <c r="V266" s="3"/>
      <c r="W266" s="16"/>
      <c r="X266" s="16"/>
      <c r="Y266" s="3"/>
      <c r="Z266" s="18"/>
      <c r="AA266" s="3"/>
      <c r="AB266" s="16"/>
      <c r="AC266" s="16"/>
      <c r="AD266" s="16"/>
      <c r="AE266" s="9"/>
      <c r="AF266" s="16"/>
      <c r="AG266" s="16"/>
      <c r="AH266" s="16"/>
      <c r="AI266" s="16"/>
      <c r="AJ266" s="16"/>
      <c r="AK266" s="16"/>
      <c r="AL266" s="16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1:48" x14ac:dyDescent="0.25">
      <c r="A267" s="15">
        <f t="shared" ref="A267" si="324">1+A263</f>
        <v>67</v>
      </c>
      <c r="B267" s="15"/>
      <c r="C267" s="2"/>
      <c r="D267" s="2"/>
      <c r="E267" s="24" t="str">
        <f t="shared" ref="E267" si="325">+AQ267</f>
        <v/>
      </c>
      <c r="F267" s="30"/>
      <c r="G267" s="24" t="str">
        <f t="shared" ref="G267" si="326">+AV267</f>
        <v>300100</v>
      </c>
      <c r="H267" s="16">
        <f t="shared" ref="H267" si="327">+AK267</f>
        <v>0</v>
      </c>
      <c r="I267" s="16">
        <f t="shared" ref="I267" si="328">+ROUND(AD267,2)</f>
        <v>0</v>
      </c>
      <c r="J267" s="2"/>
      <c r="K267" s="17">
        <f t="shared" ref="K267" si="329">+AE267</f>
        <v>0</v>
      </c>
      <c r="L267" s="16">
        <f t="shared" ref="L267" si="330">+AJ267</f>
        <v>0</v>
      </c>
      <c r="M267" s="32" t="s">
        <v>5</v>
      </c>
      <c r="N267" s="30"/>
      <c r="O267" s="2"/>
      <c r="P267" s="30"/>
      <c r="Q267" s="32" t="s">
        <v>0</v>
      </c>
      <c r="R267" s="24"/>
      <c r="S267" s="24" t="str">
        <f t="shared" ref="S267" si="331">+RIGHT(O267,7)</f>
        <v/>
      </c>
      <c r="T267" s="2"/>
      <c r="U267" s="3" t="s">
        <v>1</v>
      </c>
      <c r="V267" s="3" t="s">
        <v>3</v>
      </c>
      <c r="W267" s="16">
        <f t="shared" ref="W267" si="332">+AI267</f>
        <v>0</v>
      </c>
      <c r="X267" s="16">
        <f t="shared" ref="X267" si="333">+AJ267</f>
        <v>0</v>
      </c>
      <c r="Y267" s="3" t="s">
        <v>4</v>
      </c>
      <c r="Z267" s="18">
        <f t="shared" ref="Z267" si="334">+F267</f>
        <v>0</v>
      </c>
      <c r="AA267" s="61"/>
      <c r="AB267" s="65"/>
      <c r="AC267" s="16">
        <f>+AB267*0.18</f>
        <v>0</v>
      </c>
      <c r="AD267" s="16">
        <f>+AB267+AC267</f>
        <v>0</v>
      </c>
      <c r="AE267" s="68"/>
      <c r="AF267" s="16">
        <f t="shared" ref="AF267" si="335">+AB267*AE267</f>
        <v>0</v>
      </c>
      <c r="AG267" s="16">
        <f t="shared" ref="AG267" si="336">+AC267*AE267</f>
        <v>0</v>
      </c>
      <c r="AH267" s="16">
        <f t="shared" ref="AH267" si="337">+AD267*AE267</f>
        <v>0</v>
      </c>
      <c r="AI267" s="16">
        <f t="shared" ref="AI267" si="338">+ROUND(AF267,2)</f>
        <v>0</v>
      </c>
      <c r="AJ267" s="16">
        <f t="shared" ref="AJ267" si="339">+ROUND(AG267,2)</f>
        <v>0</v>
      </c>
      <c r="AK267" s="16">
        <f t="shared" ref="AK267" si="340">+AI267+AJ267</f>
        <v>0</v>
      </c>
      <c r="AL267" s="16">
        <f t="shared" ref="AL267" si="341">+AI267+AJ267-AK267</f>
        <v>0</v>
      </c>
      <c r="AM267" s="44"/>
      <c r="AN267" s="41" t="str">
        <f t="shared" ref="AN267" si="342">+LEFT(AM267,2)</f>
        <v/>
      </c>
      <c r="AO267" s="41" t="str">
        <f t="shared" ref="AO267" si="343">+MID(AM267,4,2)</f>
        <v/>
      </c>
      <c r="AP267" s="41" t="str">
        <f t="shared" ref="AP267" si="344">+RIGHT(AM267,2)</f>
        <v/>
      </c>
      <c r="AQ267" s="41" t="str">
        <f t="shared" ref="AQ267" si="345">+CONCATENATE(AN267,AO267,AP267)</f>
        <v/>
      </c>
      <c r="AR267" s="45">
        <f t="shared" ref="AR267" si="346">+AM267+30</f>
        <v>30</v>
      </c>
      <c r="AS267" s="46">
        <f t="shared" ref="AS267" si="347">+DAY(AR267)</f>
        <v>30</v>
      </c>
      <c r="AT267" s="41">
        <f t="shared" ref="AT267" si="348">+MONTH(AR267)</f>
        <v>1</v>
      </c>
      <c r="AU267" s="41">
        <f t="shared" ref="AU267" si="349">+YEAR(AR267)</f>
        <v>1900</v>
      </c>
      <c r="AV267" s="41" t="str">
        <f t="shared" ref="AV267" si="350">+CONCATENATE(TEXT(AS267,"00"),TEXT(AT267,"00"),RIGHT(AU267,2))</f>
        <v>300100</v>
      </c>
    </row>
    <row r="268" spans="1:48" hidden="1" x14ac:dyDescent="0.25">
      <c r="A268" s="31"/>
      <c r="B268" s="31"/>
      <c r="C268" s="3"/>
      <c r="D268" s="3"/>
      <c r="E268" s="2"/>
      <c r="F268" s="3"/>
      <c r="G268" s="3"/>
      <c r="H268" s="16"/>
      <c r="I268" s="16"/>
      <c r="J268" s="3"/>
      <c r="K268" s="17"/>
      <c r="L268" s="16"/>
      <c r="M268" s="3"/>
      <c r="N268" s="3"/>
      <c r="O268" s="2"/>
      <c r="P268" s="3" t="s">
        <v>54</v>
      </c>
      <c r="Q268" s="3"/>
      <c r="R268" s="3"/>
      <c r="S268" s="16"/>
      <c r="T268" s="3"/>
      <c r="U268" s="3"/>
      <c r="V268" s="3"/>
      <c r="W268" s="16"/>
      <c r="X268" s="16"/>
      <c r="Y268" s="3"/>
      <c r="Z268" s="18"/>
      <c r="AA268" s="3"/>
      <c r="AB268" s="16"/>
      <c r="AC268" s="16"/>
      <c r="AD268" s="16"/>
      <c r="AE268" s="9"/>
      <c r="AF268" s="16"/>
      <c r="AG268" s="16"/>
      <c r="AH268" s="16"/>
      <c r="AI268" s="16"/>
      <c r="AJ268" s="16"/>
      <c r="AK268" s="16"/>
      <c r="AL268" s="16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hidden="1" x14ac:dyDescent="0.25">
      <c r="A269" s="31"/>
      <c r="B269" s="31"/>
      <c r="C269" s="3"/>
      <c r="D269" s="3"/>
      <c r="E269" s="2"/>
      <c r="F269" s="3"/>
      <c r="G269" s="3"/>
      <c r="H269" s="16"/>
      <c r="I269" s="16"/>
      <c r="J269" s="3"/>
      <c r="K269" s="17"/>
      <c r="L269" s="16"/>
      <c r="M269" s="3"/>
      <c r="N269" s="3"/>
      <c r="O269" s="2"/>
      <c r="P269" s="3" t="s">
        <v>54</v>
      </c>
      <c r="Q269" s="3"/>
      <c r="R269" s="3"/>
      <c r="S269" s="16"/>
      <c r="T269" s="3"/>
      <c r="U269" s="3"/>
      <c r="V269" s="3"/>
      <c r="W269" s="16"/>
      <c r="X269" s="16"/>
      <c r="Y269" s="3"/>
      <c r="Z269" s="18"/>
      <c r="AA269" s="3"/>
      <c r="AB269" s="16"/>
      <c r="AC269" s="16"/>
      <c r="AD269" s="16"/>
      <c r="AE269" s="9"/>
      <c r="AF269" s="16"/>
      <c r="AG269" s="16"/>
      <c r="AH269" s="16"/>
      <c r="AI269" s="16"/>
      <c r="AJ269" s="16"/>
      <c r="AK269" s="16"/>
      <c r="AL269" s="16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spans="1:48" hidden="1" x14ac:dyDescent="0.25">
      <c r="A270" s="31"/>
      <c r="B270" s="31"/>
      <c r="C270" s="3"/>
      <c r="D270" s="3"/>
      <c r="E270" s="2"/>
      <c r="F270" s="3"/>
      <c r="G270" s="3"/>
      <c r="H270" s="16"/>
      <c r="I270" s="16"/>
      <c r="J270" s="3"/>
      <c r="K270" s="17"/>
      <c r="L270" s="16"/>
      <c r="M270" s="3"/>
      <c r="N270" s="3"/>
      <c r="O270" s="2"/>
      <c r="P270" s="3" t="s">
        <v>54</v>
      </c>
      <c r="Q270" s="3"/>
      <c r="R270" s="3"/>
      <c r="S270" s="16"/>
      <c r="T270" s="3"/>
      <c r="U270" s="3"/>
      <c r="V270" s="3"/>
      <c r="W270" s="16"/>
      <c r="X270" s="16"/>
      <c r="Y270" s="3"/>
      <c r="Z270" s="18"/>
      <c r="AA270" s="3"/>
      <c r="AB270" s="16"/>
      <c r="AC270" s="16"/>
      <c r="AD270" s="16"/>
      <c r="AE270" s="9"/>
      <c r="AF270" s="16"/>
      <c r="AG270" s="16"/>
      <c r="AH270" s="16"/>
      <c r="AI270" s="16"/>
      <c r="AJ270" s="16"/>
      <c r="AK270" s="16"/>
      <c r="AL270" s="16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spans="1:48" x14ac:dyDescent="0.25">
      <c r="A271" s="15">
        <f t="shared" ref="A271" si="351">1+A267</f>
        <v>68</v>
      </c>
      <c r="B271" s="15"/>
      <c r="C271" s="2"/>
      <c r="D271" s="2"/>
      <c r="E271" s="24" t="str">
        <f t="shared" ref="E271" si="352">+AQ271</f>
        <v/>
      </c>
      <c r="F271" s="30"/>
      <c r="G271" s="24" t="str">
        <f t="shared" ref="G271" si="353">+AV271</f>
        <v>300100</v>
      </c>
      <c r="H271" s="16">
        <f t="shared" ref="H271" si="354">+AK271</f>
        <v>0</v>
      </c>
      <c r="I271" s="16">
        <f t="shared" ref="I271" si="355">+ROUND(AD271,2)</f>
        <v>0</v>
      </c>
      <c r="J271" s="2"/>
      <c r="K271" s="17">
        <f t="shared" ref="K271" si="356">+AE271</f>
        <v>0</v>
      </c>
      <c r="L271" s="16">
        <f t="shared" ref="L271" si="357">+AJ271</f>
        <v>0</v>
      </c>
      <c r="M271" s="32" t="s">
        <v>5</v>
      </c>
      <c r="N271" s="30"/>
      <c r="O271" s="2"/>
      <c r="P271" s="30"/>
      <c r="Q271" s="32" t="s">
        <v>0</v>
      </c>
      <c r="R271" s="24"/>
      <c r="S271" s="24" t="str">
        <f t="shared" ref="S271" si="358">+RIGHT(O271,7)</f>
        <v/>
      </c>
      <c r="T271" s="2"/>
      <c r="U271" s="3" t="s">
        <v>1</v>
      </c>
      <c r="V271" s="3" t="s">
        <v>3</v>
      </c>
      <c r="W271" s="16">
        <f t="shared" ref="W271" si="359">+AI271</f>
        <v>0</v>
      </c>
      <c r="X271" s="16">
        <f t="shared" ref="X271" si="360">+AJ271</f>
        <v>0</v>
      </c>
      <c r="Y271" s="3" t="s">
        <v>4</v>
      </c>
      <c r="Z271" s="18">
        <f t="shared" ref="Z271" si="361">+F271</f>
        <v>0</v>
      </c>
      <c r="AA271" s="61"/>
      <c r="AB271" s="65"/>
      <c r="AC271" s="16">
        <f>+AB271*0.18</f>
        <v>0</v>
      </c>
      <c r="AD271" s="16">
        <f>+AB271+AC271</f>
        <v>0</v>
      </c>
      <c r="AE271" s="68"/>
      <c r="AF271" s="16">
        <f t="shared" ref="AF271" si="362">+AB271*AE271</f>
        <v>0</v>
      </c>
      <c r="AG271" s="16">
        <f t="shared" ref="AG271" si="363">+AC271*AE271</f>
        <v>0</v>
      </c>
      <c r="AH271" s="16">
        <f t="shared" ref="AH271" si="364">+AD271*AE271</f>
        <v>0</v>
      </c>
      <c r="AI271" s="16">
        <f t="shared" ref="AI271" si="365">+ROUND(AF271,2)</f>
        <v>0</v>
      </c>
      <c r="AJ271" s="16">
        <f t="shared" ref="AJ271" si="366">+ROUND(AG271,2)</f>
        <v>0</v>
      </c>
      <c r="AK271" s="16">
        <f t="shared" ref="AK271" si="367">+AI271+AJ271</f>
        <v>0</v>
      </c>
      <c r="AL271" s="16">
        <f t="shared" ref="AL271" si="368">+AI271+AJ271-AK271</f>
        <v>0</v>
      </c>
      <c r="AM271" s="44"/>
      <c r="AN271" s="41" t="str">
        <f t="shared" ref="AN271" si="369">+LEFT(AM271,2)</f>
        <v/>
      </c>
      <c r="AO271" s="41" t="str">
        <f t="shared" ref="AO271" si="370">+MID(AM271,4,2)</f>
        <v/>
      </c>
      <c r="AP271" s="41" t="str">
        <f t="shared" ref="AP271" si="371">+RIGHT(AM271,2)</f>
        <v/>
      </c>
      <c r="AQ271" s="41" t="str">
        <f t="shared" ref="AQ271" si="372">+CONCATENATE(AN271,AO271,AP271)</f>
        <v/>
      </c>
      <c r="AR271" s="45">
        <f t="shared" ref="AR271" si="373">+AM271+30</f>
        <v>30</v>
      </c>
      <c r="AS271" s="46">
        <f t="shared" ref="AS271" si="374">+DAY(AR271)</f>
        <v>30</v>
      </c>
      <c r="AT271" s="41">
        <f t="shared" ref="AT271" si="375">+MONTH(AR271)</f>
        <v>1</v>
      </c>
      <c r="AU271" s="41">
        <f t="shared" ref="AU271" si="376">+YEAR(AR271)</f>
        <v>1900</v>
      </c>
      <c r="AV271" s="41" t="str">
        <f t="shared" ref="AV271" si="377">+CONCATENATE(TEXT(AS271,"00"),TEXT(AT271,"00"),RIGHT(AU271,2))</f>
        <v>300100</v>
      </c>
    </row>
    <row r="272" spans="1:48" hidden="1" x14ac:dyDescent="0.25">
      <c r="A272" s="31"/>
      <c r="B272" s="31"/>
      <c r="C272" s="3"/>
      <c r="D272" s="3"/>
      <c r="E272" s="2"/>
      <c r="F272" s="3"/>
      <c r="G272" s="3"/>
      <c r="H272" s="16"/>
      <c r="I272" s="16"/>
      <c r="J272" s="3"/>
      <c r="K272" s="17"/>
      <c r="L272" s="16"/>
      <c r="M272" s="3"/>
      <c r="N272" s="3"/>
      <c r="O272" s="2"/>
      <c r="P272" s="3" t="s">
        <v>54</v>
      </c>
      <c r="Q272" s="3"/>
      <c r="R272" s="3"/>
      <c r="S272" s="16"/>
      <c r="T272" s="3"/>
      <c r="U272" s="3"/>
      <c r="V272" s="3"/>
      <c r="W272" s="16"/>
      <c r="X272" s="16"/>
      <c r="Y272" s="3"/>
      <c r="Z272" s="18"/>
      <c r="AA272" s="3"/>
      <c r="AB272" s="16"/>
      <c r="AC272" s="16"/>
      <c r="AD272" s="16"/>
      <c r="AE272" s="9"/>
      <c r="AF272" s="16"/>
      <c r="AG272" s="16"/>
      <c r="AH272" s="16"/>
      <c r="AI272" s="16"/>
      <c r="AJ272" s="16"/>
      <c r="AK272" s="16"/>
      <c r="AL272" s="16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spans="1:48" hidden="1" x14ac:dyDescent="0.25">
      <c r="A273" s="31"/>
      <c r="B273" s="31"/>
      <c r="C273" s="3"/>
      <c r="D273" s="3"/>
      <c r="E273" s="2"/>
      <c r="F273" s="3"/>
      <c r="G273" s="3"/>
      <c r="H273" s="16"/>
      <c r="I273" s="16"/>
      <c r="J273" s="3"/>
      <c r="K273" s="17"/>
      <c r="L273" s="16"/>
      <c r="M273" s="3"/>
      <c r="N273" s="3"/>
      <c r="O273" s="2"/>
      <c r="P273" s="3" t="s">
        <v>54</v>
      </c>
      <c r="Q273" s="3"/>
      <c r="R273" s="3"/>
      <c r="S273" s="16"/>
      <c r="T273" s="3"/>
      <c r="U273" s="3"/>
      <c r="V273" s="3"/>
      <c r="W273" s="16"/>
      <c r="X273" s="16"/>
      <c r="Y273" s="3"/>
      <c r="Z273" s="18"/>
      <c r="AA273" s="3"/>
      <c r="AB273" s="16"/>
      <c r="AC273" s="16"/>
      <c r="AD273" s="16"/>
      <c r="AE273" s="9"/>
      <c r="AF273" s="16"/>
      <c r="AG273" s="16"/>
      <c r="AH273" s="16"/>
      <c r="AI273" s="16"/>
      <c r="AJ273" s="16"/>
      <c r="AK273" s="16"/>
      <c r="AL273" s="16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spans="1:48" hidden="1" x14ac:dyDescent="0.25">
      <c r="A274" s="31"/>
      <c r="B274" s="31"/>
      <c r="C274" s="3"/>
      <c r="D274" s="3"/>
      <c r="E274" s="2"/>
      <c r="F274" s="3"/>
      <c r="G274" s="3"/>
      <c r="H274" s="16"/>
      <c r="I274" s="16"/>
      <c r="J274" s="3"/>
      <c r="K274" s="17"/>
      <c r="L274" s="16"/>
      <c r="M274" s="3"/>
      <c r="N274" s="3"/>
      <c r="O274" s="2"/>
      <c r="P274" s="3" t="s">
        <v>54</v>
      </c>
      <c r="Q274" s="3"/>
      <c r="R274" s="3"/>
      <c r="S274" s="16"/>
      <c r="T274" s="3"/>
      <c r="U274" s="3"/>
      <c r="V274" s="3"/>
      <c r="W274" s="16"/>
      <c r="X274" s="16"/>
      <c r="Y274" s="3"/>
      <c r="Z274" s="18"/>
      <c r="AA274" s="3"/>
      <c r="AB274" s="16"/>
      <c r="AC274" s="16"/>
      <c r="AD274" s="16"/>
      <c r="AE274" s="9"/>
      <c r="AF274" s="16"/>
      <c r="AG274" s="16"/>
      <c r="AH274" s="16"/>
      <c r="AI274" s="16"/>
      <c r="AJ274" s="16"/>
      <c r="AK274" s="16"/>
      <c r="AL274" s="16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spans="1:48" x14ac:dyDescent="0.25">
      <c r="A275" s="15">
        <f t="shared" ref="A275" si="378">1+A271</f>
        <v>69</v>
      </c>
      <c r="B275" s="15"/>
      <c r="C275" s="2"/>
      <c r="D275" s="2"/>
      <c r="E275" s="24" t="str">
        <f t="shared" ref="E275" si="379">+AQ275</f>
        <v/>
      </c>
      <c r="F275" s="30"/>
      <c r="G275" s="24" t="str">
        <f t="shared" ref="G275" si="380">+AV275</f>
        <v>300100</v>
      </c>
      <c r="H275" s="16">
        <f t="shared" ref="H275" si="381">+AK275</f>
        <v>0</v>
      </c>
      <c r="I275" s="16">
        <f t="shared" ref="I275" si="382">+ROUND(AD275,2)</f>
        <v>0</v>
      </c>
      <c r="J275" s="2"/>
      <c r="K275" s="17">
        <f t="shared" ref="K275" si="383">+AE275</f>
        <v>0</v>
      </c>
      <c r="L275" s="16">
        <f t="shared" ref="L275" si="384">+AJ275</f>
        <v>0</v>
      </c>
      <c r="M275" s="32" t="s">
        <v>5</v>
      </c>
      <c r="N275" s="30"/>
      <c r="O275" s="2"/>
      <c r="P275" s="30"/>
      <c r="Q275" s="32" t="s">
        <v>0</v>
      </c>
      <c r="R275" s="24"/>
      <c r="S275" s="24" t="str">
        <f t="shared" ref="S275" si="385">+RIGHT(O275,7)</f>
        <v/>
      </c>
      <c r="T275" s="2"/>
      <c r="U275" s="3" t="s">
        <v>1</v>
      </c>
      <c r="V275" s="3" t="s">
        <v>3</v>
      </c>
      <c r="W275" s="16">
        <f t="shared" ref="W275" si="386">+AI275</f>
        <v>0</v>
      </c>
      <c r="X275" s="16">
        <f t="shared" ref="X275" si="387">+AJ275</f>
        <v>0</v>
      </c>
      <c r="Y275" s="3" t="s">
        <v>4</v>
      </c>
      <c r="Z275" s="18">
        <f t="shared" ref="Z275" si="388">+F275</f>
        <v>0</v>
      </c>
      <c r="AA275" s="61"/>
      <c r="AB275" s="65"/>
      <c r="AC275" s="16">
        <f>+AB275*0.18</f>
        <v>0</v>
      </c>
      <c r="AD275" s="16">
        <f>+AB275+AC275</f>
        <v>0</v>
      </c>
      <c r="AE275" s="68"/>
      <c r="AF275" s="16">
        <f t="shared" ref="AF275" si="389">+AB275*AE275</f>
        <v>0</v>
      </c>
      <c r="AG275" s="16">
        <f t="shared" ref="AG275" si="390">+AC275*AE275</f>
        <v>0</v>
      </c>
      <c r="AH275" s="16">
        <f t="shared" ref="AH275" si="391">+AD275*AE275</f>
        <v>0</v>
      </c>
      <c r="AI275" s="16">
        <f t="shared" ref="AI275" si="392">+ROUND(AF275,2)</f>
        <v>0</v>
      </c>
      <c r="AJ275" s="16">
        <f t="shared" ref="AJ275" si="393">+ROUND(AG275,2)</f>
        <v>0</v>
      </c>
      <c r="AK275" s="16">
        <f t="shared" ref="AK275" si="394">+AI275+AJ275</f>
        <v>0</v>
      </c>
      <c r="AL275" s="16">
        <f t="shared" ref="AL275" si="395">+AI275+AJ275-AK275</f>
        <v>0</v>
      </c>
      <c r="AM275" s="44"/>
      <c r="AN275" s="41" t="str">
        <f t="shared" ref="AN275" si="396">+LEFT(AM275,2)</f>
        <v/>
      </c>
      <c r="AO275" s="41" t="str">
        <f t="shared" ref="AO275" si="397">+MID(AM275,4,2)</f>
        <v/>
      </c>
      <c r="AP275" s="41" t="str">
        <f t="shared" ref="AP275" si="398">+RIGHT(AM275,2)</f>
        <v/>
      </c>
      <c r="AQ275" s="41" t="str">
        <f t="shared" ref="AQ275" si="399">+CONCATENATE(AN275,AO275,AP275)</f>
        <v/>
      </c>
      <c r="AR275" s="45">
        <f t="shared" ref="AR275" si="400">+AM275+30</f>
        <v>30</v>
      </c>
      <c r="AS275" s="46">
        <f t="shared" ref="AS275" si="401">+DAY(AR275)</f>
        <v>30</v>
      </c>
      <c r="AT275" s="41">
        <f t="shared" ref="AT275" si="402">+MONTH(AR275)</f>
        <v>1</v>
      </c>
      <c r="AU275" s="41">
        <f t="shared" ref="AU275" si="403">+YEAR(AR275)</f>
        <v>1900</v>
      </c>
      <c r="AV275" s="41" t="str">
        <f t="shared" ref="AV275" si="404">+CONCATENATE(TEXT(AS275,"00"),TEXT(AT275,"00"),RIGHT(AU275,2))</f>
        <v>300100</v>
      </c>
    </row>
    <row r="276" spans="1:48" hidden="1" x14ac:dyDescent="0.25">
      <c r="A276" s="31"/>
      <c r="B276" s="31"/>
      <c r="C276" s="3"/>
      <c r="D276" s="3"/>
      <c r="E276" s="2"/>
      <c r="F276" s="3"/>
      <c r="G276" s="3"/>
      <c r="H276" s="16"/>
      <c r="I276" s="16"/>
      <c r="J276" s="3"/>
      <c r="K276" s="17"/>
      <c r="L276" s="16"/>
      <c r="M276" s="3"/>
      <c r="N276" s="3"/>
      <c r="O276" s="2"/>
      <c r="P276" s="3" t="s">
        <v>54</v>
      </c>
      <c r="Q276" s="3"/>
      <c r="R276" s="3"/>
      <c r="S276" s="16"/>
      <c r="T276" s="3"/>
      <c r="U276" s="3"/>
      <c r="V276" s="3"/>
      <c r="W276" s="16"/>
      <c r="X276" s="16"/>
      <c r="Y276" s="3"/>
      <c r="Z276" s="18"/>
      <c r="AA276" s="3"/>
      <c r="AB276" s="16"/>
      <c r="AC276" s="16"/>
      <c r="AD276" s="16"/>
      <c r="AE276" s="9"/>
      <c r="AF276" s="16"/>
      <c r="AG276" s="16"/>
      <c r="AH276" s="16"/>
      <c r="AI276" s="16"/>
      <c r="AJ276" s="16"/>
      <c r="AK276" s="16"/>
      <c r="AL276" s="16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spans="1:48" hidden="1" x14ac:dyDescent="0.25">
      <c r="A277" s="31"/>
      <c r="B277" s="31"/>
      <c r="C277" s="3"/>
      <c r="D277" s="3"/>
      <c r="E277" s="2"/>
      <c r="F277" s="3"/>
      <c r="G277" s="3"/>
      <c r="H277" s="16"/>
      <c r="I277" s="16"/>
      <c r="J277" s="3"/>
      <c r="K277" s="17"/>
      <c r="L277" s="16"/>
      <c r="M277" s="3"/>
      <c r="N277" s="3"/>
      <c r="O277" s="2"/>
      <c r="P277" s="3" t="s">
        <v>54</v>
      </c>
      <c r="Q277" s="3"/>
      <c r="R277" s="3"/>
      <c r="S277" s="16"/>
      <c r="T277" s="3"/>
      <c r="U277" s="3"/>
      <c r="V277" s="3"/>
      <c r="W277" s="16"/>
      <c r="X277" s="16"/>
      <c r="Y277" s="3"/>
      <c r="Z277" s="18"/>
      <c r="AA277" s="3"/>
      <c r="AB277" s="16"/>
      <c r="AC277" s="16"/>
      <c r="AD277" s="16"/>
      <c r="AE277" s="9"/>
      <c r="AF277" s="16"/>
      <c r="AG277" s="16"/>
      <c r="AH277" s="16"/>
      <c r="AI277" s="16"/>
      <c r="AJ277" s="16"/>
      <c r="AK277" s="16"/>
      <c r="AL277" s="16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1:48" hidden="1" x14ac:dyDescent="0.25">
      <c r="A278" s="31"/>
      <c r="B278" s="31"/>
      <c r="C278" s="3"/>
      <c r="D278" s="3"/>
      <c r="E278" s="2"/>
      <c r="F278" s="3"/>
      <c r="G278" s="3"/>
      <c r="H278" s="16"/>
      <c r="I278" s="16"/>
      <c r="J278" s="3"/>
      <c r="K278" s="17"/>
      <c r="L278" s="16"/>
      <c r="M278" s="3"/>
      <c r="N278" s="3"/>
      <c r="O278" s="2"/>
      <c r="P278" s="3" t="s">
        <v>54</v>
      </c>
      <c r="Q278" s="3"/>
      <c r="R278" s="3"/>
      <c r="S278" s="16"/>
      <c r="T278" s="3"/>
      <c r="U278" s="3"/>
      <c r="V278" s="3"/>
      <c r="W278" s="16"/>
      <c r="X278" s="16"/>
      <c r="Y278" s="3"/>
      <c r="Z278" s="18"/>
      <c r="AA278" s="3"/>
      <c r="AB278" s="16"/>
      <c r="AC278" s="16"/>
      <c r="AD278" s="16"/>
      <c r="AE278" s="9"/>
      <c r="AF278" s="16"/>
      <c r="AG278" s="16"/>
      <c r="AH278" s="16"/>
      <c r="AI278" s="16"/>
      <c r="AJ278" s="16"/>
      <c r="AK278" s="16"/>
      <c r="AL278" s="16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spans="1:48" x14ac:dyDescent="0.25">
      <c r="A279" s="15">
        <f t="shared" ref="A279" si="405">1+A275</f>
        <v>70</v>
      </c>
      <c r="B279" s="15"/>
      <c r="C279" s="2"/>
      <c r="D279" s="2"/>
      <c r="E279" s="24" t="str">
        <f t="shared" ref="E279" si="406">+AQ279</f>
        <v/>
      </c>
      <c r="F279" s="30"/>
      <c r="G279" s="24" t="str">
        <f t="shared" ref="G279" si="407">+AV279</f>
        <v>300100</v>
      </c>
      <c r="H279" s="16">
        <f t="shared" ref="H279" si="408">+AK279</f>
        <v>0</v>
      </c>
      <c r="I279" s="16">
        <f t="shared" ref="I279" si="409">+ROUND(AD279,2)</f>
        <v>0</v>
      </c>
      <c r="J279" s="2"/>
      <c r="K279" s="17">
        <f t="shared" ref="K279" si="410">+AE279</f>
        <v>0</v>
      </c>
      <c r="L279" s="16">
        <f t="shared" ref="L279" si="411">+AJ279</f>
        <v>0</v>
      </c>
      <c r="M279" s="32" t="s">
        <v>5</v>
      </c>
      <c r="N279" s="30"/>
      <c r="O279" s="2"/>
      <c r="P279" s="30"/>
      <c r="Q279" s="32" t="s">
        <v>0</v>
      </c>
      <c r="R279" s="24"/>
      <c r="S279" s="24" t="str">
        <f t="shared" ref="S279" si="412">+RIGHT(O279,7)</f>
        <v/>
      </c>
      <c r="T279" s="2"/>
      <c r="U279" s="3" t="s">
        <v>1</v>
      </c>
      <c r="V279" s="3" t="s">
        <v>3</v>
      </c>
      <c r="W279" s="16">
        <f t="shared" ref="W279" si="413">+AI279</f>
        <v>0</v>
      </c>
      <c r="X279" s="16">
        <f t="shared" ref="X279" si="414">+AJ279</f>
        <v>0</v>
      </c>
      <c r="Y279" s="3" t="s">
        <v>4</v>
      </c>
      <c r="Z279" s="18">
        <f t="shared" ref="Z279" si="415">+F279</f>
        <v>0</v>
      </c>
      <c r="AA279" s="61"/>
      <c r="AB279" s="65"/>
      <c r="AC279" s="16">
        <f>+AB279*0.18</f>
        <v>0</v>
      </c>
      <c r="AD279" s="16">
        <f>+AB279+AC279</f>
        <v>0</v>
      </c>
      <c r="AE279" s="68"/>
      <c r="AF279" s="16">
        <f t="shared" ref="AF279" si="416">+AB279*AE279</f>
        <v>0</v>
      </c>
      <c r="AG279" s="16">
        <f t="shared" ref="AG279" si="417">+AC279*AE279</f>
        <v>0</v>
      </c>
      <c r="AH279" s="16">
        <f t="shared" ref="AH279" si="418">+AD279*AE279</f>
        <v>0</v>
      </c>
      <c r="AI279" s="16">
        <f t="shared" ref="AI279" si="419">+ROUND(AF279,2)</f>
        <v>0</v>
      </c>
      <c r="AJ279" s="16">
        <f t="shared" ref="AJ279" si="420">+ROUND(AG279,2)</f>
        <v>0</v>
      </c>
      <c r="AK279" s="16">
        <f t="shared" ref="AK279" si="421">+AI279+AJ279</f>
        <v>0</v>
      </c>
      <c r="AL279" s="16">
        <f t="shared" ref="AL279" si="422">+AI279+AJ279-AK279</f>
        <v>0</v>
      </c>
      <c r="AM279" s="44"/>
      <c r="AN279" s="41" t="str">
        <f t="shared" ref="AN279" si="423">+LEFT(AM279,2)</f>
        <v/>
      </c>
      <c r="AO279" s="41" t="str">
        <f t="shared" ref="AO279" si="424">+MID(AM279,4,2)</f>
        <v/>
      </c>
      <c r="AP279" s="41" t="str">
        <f t="shared" ref="AP279" si="425">+RIGHT(AM279,2)</f>
        <v/>
      </c>
      <c r="AQ279" s="41" t="str">
        <f t="shared" ref="AQ279" si="426">+CONCATENATE(AN279,AO279,AP279)</f>
        <v/>
      </c>
      <c r="AR279" s="45">
        <f t="shared" ref="AR279" si="427">+AM279+30</f>
        <v>30</v>
      </c>
      <c r="AS279" s="46">
        <f t="shared" ref="AS279" si="428">+DAY(AR279)</f>
        <v>30</v>
      </c>
      <c r="AT279" s="41">
        <f t="shared" ref="AT279" si="429">+MONTH(AR279)</f>
        <v>1</v>
      </c>
      <c r="AU279" s="41">
        <f t="shared" ref="AU279" si="430">+YEAR(AR279)</f>
        <v>1900</v>
      </c>
      <c r="AV279" s="41" t="str">
        <f t="shared" ref="AV279" si="431">+CONCATENATE(TEXT(AS279,"00"),TEXT(AT279,"00"),RIGHT(AU279,2))</f>
        <v>300100</v>
      </c>
    </row>
    <row r="280" spans="1:48" hidden="1" x14ac:dyDescent="0.25">
      <c r="A280" s="31"/>
      <c r="B280" s="31"/>
      <c r="C280" s="3"/>
      <c r="D280" s="3"/>
      <c r="E280" s="2"/>
      <c r="F280" s="3"/>
      <c r="G280" s="3"/>
      <c r="H280" s="16"/>
      <c r="I280" s="16"/>
      <c r="J280" s="3"/>
      <c r="K280" s="17"/>
      <c r="L280" s="16"/>
      <c r="M280" s="3"/>
      <c r="N280" s="3"/>
      <c r="O280" s="2"/>
      <c r="P280" s="3" t="s">
        <v>54</v>
      </c>
      <c r="Q280" s="3"/>
      <c r="R280" s="3"/>
      <c r="S280" s="16"/>
      <c r="T280" s="3"/>
      <c r="U280" s="3"/>
      <c r="V280" s="3"/>
      <c r="W280" s="16"/>
      <c r="X280" s="16"/>
      <c r="Y280" s="3"/>
      <c r="Z280" s="18"/>
      <c r="AA280" s="3"/>
      <c r="AB280" s="16"/>
      <c r="AC280" s="16"/>
      <c r="AD280" s="16"/>
      <c r="AE280" s="9"/>
      <c r="AF280" s="16"/>
      <c r="AG280" s="16"/>
      <c r="AH280" s="16"/>
      <c r="AI280" s="16"/>
      <c r="AJ280" s="16"/>
      <c r="AK280" s="16"/>
      <c r="AL280" s="16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 spans="1:48" hidden="1" x14ac:dyDescent="0.25">
      <c r="A281" s="31"/>
      <c r="B281" s="31"/>
      <c r="C281" s="3"/>
      <c r="D281" s="3"/>
      <c r="E281" s="2"/>
      <c r="F281" s="3"/>
      <c r="G281" s="3"/>
      <c r="H281" s="16"/>
      <c r="I281" s="16"/>
      <c r="J281" s="3"/>
      <c r="K281" s="17"/>
      <c r="L281" s="16"/>
      <c r="M281" s="3"/>
      <c r="N281" s="3"/>
      <c r="O281" s="2"/>
      <c r="P281" s="3" t="s">
        <v>54</v>
      </c>
      <c r="Q281" s="3"/>
      <c r="R281" s="3"/>
      <c r="S281" s="16"/>
      <c r="T281" s="3"/>
      <c r="U281" s="3"/>
      <c r="V281" s="3"/>
      <c r="W281" s="16"/>
      <c r="X281" s="16"/>
      <c r="Y281" s="3"/>
      <c r="Z281" s="18"/>
      <c r="AA281" s="3"/>
      <c r="AB281" s="16"/>
      <c r="AC281" s="16"/>
      <c r="AD281" s="16"/>
      <c r="AE281" s="9"/>
      <c r="AF281" s="16"/>
      <c r="AG281" s="16"/>
      <c r="AH281" s="16"/>
      <c r="AI281" s="16"/>
      <c r="AJ281" s="16"/>
      <c r="AK281" s="16"/>
      <c r="AL281" s="16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1:48" hidden="1" x14ac:dyDescent="0.25">
      <c r="A282" s="31"/>
      <c r="B282" s="31"/>
      <c r="C282" s="3"/>
      <c r="D282" s="3"/>
      <c r="E282" s="2"/>
      <c r="F282" s="3"/>
      <c r="G282" s="3"/>
      <c r="H282" s="16"/>
      <c r="I282" s="16"/>
      <c r="J282" s="3"/>
      <c r="K282" s="17"/>
      <c r="L282" s="16"/>
      <c r="M282" s="3"/>
      <c r="N282" s="3"/>
      <c r="O282" s="2"/>
      <c r="P282" s="3" t="s">
        <v>54</v>
      </c>
      <c r="Q282" s="3"/>
      <c r="R282" s="3"/>
      <c r="S282" s="16"/>
      <c r="T282" s="3"/>
      <c r="U282" s="3"/>
      <c r="V282" s="3"/>
      <c r="W282" s="16"/>
      <c r="X282" s="16"/>
      <c r="Y282" s="3"/>
      <c r="Z282" s="18"/>
      <c r="AA282" s="3"/>
      <c r="AB282" s="16"/>
      <c r="AC282" s="16"/>
      <c r="AD282" s="16"/>
      <c r="AE282" s="9"/>
      <c r="AF282" s="16"/>
      <c r="AG282" s="16"/>
      <c r="AH282" s="16"/>
      <c r="AI282" s="16"/>
      <c r="AJ282" s="16"/>
      <c r="AK282" s="16"/>
      <c r="AL282" s="16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 spans="1:48" x14ac:dyDescent="0.25">
      <c r="A283" s="15">
        <f t="shared" ref="A283" si="432">1+A279</f>
        <v>71</v>
      </c>
      <c r="B283" s="15"/>
      <c r="C283" s="2"/>
      <c r="D283" s="2"/>
      <c r="E283" s="24" t="str">
        <f t="shared" ref="E283" si="433">+AQ283</f>
        <v/>
      </c>
      <c r="F283" s="30"/>
      <c r="G283" s="24" t="str">
        <f t="shared" ref="G283" si="434">+AV283</f>
        <v>300100</v>
      </c>
      <c r="H283" s="16">
        <f t="shared" ref="H283" si="435">+AK283</f>
        <v>0</v>
      </c>
      <c r="I283" s="16">
        <f t="shared" ref="I283" si="436">+ROUND(AD283,2)</f>
        <v>0</v>
      </c>
      <c r="J283" s="2"/>
      <c r="K283" s="17">
        <f t="shared" ref="K283" si="437">+AE283</f>
        <v>0</v>
      </c>
      <c r="L283" s="16">
        <f t="shared" ref="L283" si="438">+AJ283</f>
        <v>0</v>
      </c>
      <c r="M283" s="32" t="s">
        <v>5</v>
      </c>
      <c r="N283" s="30"/>
      <c r="O283" s="2"/>
      <c r="P283" s="30"/>
      <c r="Q283" s="32" t="s">
        <v>0</v>
      </c>
      <c r="R283" s="24"/>
      <c r="S283" s="24" t="str">
        <f t="shared" ref="S283" si="439">+RIGHT(O283,7)</f>
        <v/>
      </c>
      <c r="T283" s="2"/>
      <c r="U283" s="3" t="s">
        <v>1</v>
      </c>
      <c r="V283" s="3" t="s">
        <v>3</v>
      </c>
      <c r="W283" s="16">
        <f t="shared" ref="W283" si="440">+AI283</f>
        <v>0</v>
      </c>
      <c r="X283" s="16">
        <f t="shared" ref="X283" si="441">+AJ283</f>
        <v>0</v>
      </c>
      <c r="Y283" s="3" t="s">
        <v>4</v>
      </c>
      <c r="Z283" s="18">
        <f t="shared" ref="Z283" si="442">+F283</f>
        <v>0</v>
      </c>
      <c r="AA283" s="61"/>
      <c r="AB283" s="65"/>
      <c r="AC283" s="16">
        <f>+AB283*0.18</f>
        <v>0</v>
      </c>
      <c r="AD283" s="16">
        <f>+AB283+AC283</f>
        <v>0</v>
      </c>
      <c r="AE283" s="68"/>
      <c r="AF283" s="16">
        <f t="shared" ref="AF283" si="443">+AB283*AE283</f>
        <v>0</v>
      </c>
      <c r="AG283" s="16">
        <f t="shared" ref="AG283" si="444">+AC283*AE283</f>
        <v>0</v>
      </c>
      <c r="AH283" s="16">
        <f t="shared" ref="AH283" si="445">+AD283*AE283</f>
        <v>0</v>
      </c>
      <c r="AI283" s="16">
        <f t="shared" ref="AI283" si="446">+ROUND(AF283,2)</f>
        <v>0</v>
      </c>
      <c r="AJ283" s="16">
        <f t="shared" ref="AJ283" si="447">+ROUND(AG283,2)</f>
        <v>0</v>
      </c>
      <c r="AK283" s="16">
        <f t="shared" ref="AK283" si="448">+AI283+AJ283</f>
        <v>0</v>
      </c>
      <c r="AL283" s="16">
        <f t="shared" ref="AL283" si="449">+AI283+AJ283-AK283</f>
        <v>0</v>
      </c>
      <c r="AM283" s="44"/>
      <c r="AN283" s="41" t="str">
        <f t="shared" ref="AN283" si="450">+LEFT(AM283,2)</f>
        <v/>
      </c>
      <c r="AO283" s="41" t="str">
        <f t="shared" ref="AO283" si="451">+MID(AM283,4,2)</f>
        <v/>
      </c>
      <c r="AP283" s="41" t="str">
        <f t="shared" ref="AP283" si="452">+RIGHT(AM283,2)</f>
        <v/>
      </c>
      <c r="AQ283" s="41" t="str">
        <f t="shared" ref="AQ283" si="453">+CONCATENATE(AN283,AO283,AP283)</f>
        <v/>
      </c>
      <c r="AR283" s="45">
        <f t="shared" ref="AR283" si="454">+AM283+30</f>
        <v>30</v>
      </c>
      <c r="AS283" s="46">
        <f t="shared" ref="AS283" si="455">+DAY(AR283)</f>
        <v>30</v>
      </c>
      <c r="AT283" s="41">
        <f t="shared" ref="AT283" si="456">+MONTH(AR283)</f>
        <v>1</v>
      </c>
      <c r="AU283" s="41">
        <f t="shared" ref="AU283" si="457">+YEAR(AR283)</f>
        <v>1900</v>
      </c>
      <c r="AV283" s="41" t="str">
        <f t="shared" ref="AV283" si="458">+CONCATENATE(TEXT(AS283,"00"),TEXT(AT283,"00"),RIGHT(AU283,2))</f>
        <v>300100</v>
      </c>
    </row>
    <row r="284" spans="1:48" hidden="1" x14ac:dyDescent="0.25">
      <c r="A284" s="31"/>
      <c r="B284" s="31"/>
      <c r="C284" s="3"/>
      <c r="D284" s="3"/>
      <c r="E284" s="2"/>
      <c r="F284" s="3"/>
      <c r="G284" s="3"/>
      <c r="H284" s="16"/>
      <c r="I284" s="16"/>
      <c r="J284" s="3"/>
      <c r="K284" s="17"/>
      <c r="L284" s="16"/>
      <c r="M284" s="3"/>
      <c r="N284" s="3"/>
      <c r="O284" s="2"/>
      <c r="P284" s="3" t="s">
        <v>54</v>
      </c>
      <c r="Q284" s="3"/>
      <c r="R284" s="3"/>
      <c r="S284" s="16"/>
      <c r="T284" s="3"/>
      <c r="U284" s="3"/>
      <c r="V284" s="3"/>
      <c r="W284" s="16"/>
      <c r="X284" s="16"/>
      <c r="Y284" s="3"/>
      <c r="Z284" s="18"/>
      <c r="AA284" s="3"/>
      <c r="AB284" s="16"/>
      <c r="AC284" s="16"/>
      <c r="AD284" s="16"/>
      <c r="AE284" s="9"/>
      <c r="AF284" s="16"/>
      <c r="AG284" s="16"/>
      <c r="AH284" s="16"/>
      <c r="AI284" s="16"/>
      <c r="AJ284" s="16"/>
      <c r="AK284" s="16"/>
      <c r="AL284" s="16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 spans="1:48" hidden="1" x14ac:dyDescent="0.25">
      <c r="A285" s="31"/>
      <c r="B285" s="31"/>
      <c r="C285" s="3"/>
      <c r="D285" s="3"/>
      <c r="E285" s="2"/>
      <c r="F285" s="3"/>
      <c r="G285" s="3"/>
      <c r="H285" s="16"/>
      <c r="I285" s="16"/>
      <c r="J285" s="3"/>
      <c r="K285" s="17"/>
      <c r="L285" s="16"/>
      <c r="M285" s="3"/>
      <c r="N285" s="3"/>
      <c r="O285" s="2"/>
      <c r="P285" s="3" t="s">
        <v>54</v>
      </c>
      <c r="Q285" s="3"/>
      <c r="R285" s="3"/>
      <c r="S285" s="16"/>
      <c r="T285" s="3"/>
      <c r="U285" s="3"/>
      <c r="V285" s="3"/>
      <c r="W285" s="16"/>
      <c r="X285" s="16"/>
      <c r="Y285" s="3"/>
      <c r="Z285" s="18"/>
      <c r="AA285" s="3"/>
      <c r="AB285" s="16"/>
      <c r="AC285" s="16"/>
      <c r="AD285" s="16"/>
      <c r="AE285" s="9"/>
      <c r="AF285" s="16"/>
      <c r="AG285" s="16"/>
      <c r="AH285" s="16"/>
      <c r="AI285" s="16"/>
      <c r="AJ285" s="16"/>
      <c r="AK285" s="16"/>
      <c r="AL285" s="16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 spans="1:48" hidden="1" x14ac:dyDescent="0.25">
      <c r="A286" s="31"/>
      <c r="B286" s="31"/>
      <c r="C286" s="3"/>
      <c r="D286" s="3"/>
      <c r="E286" s="2"/>
      <c r="F286" s="3"/>
      <c r="G286" s="3"/>
      <c r="H286" s="16"/>
      <c r="I286" s="16"/>
      <c r="J286" s="3"/>
      <c r="K286" s="17"/>
      <c r="L286" s="16"/>
      <c r="M286" s="3"/>
      <c r="N286" s="3"/>
      <c r="O286" s="2"/>
      <c r="P286" s="3" t="s">
        <v>54</v>
      </c>
      <c r="Q286" s="3"/>
      <c r="R286" s="3"/>
      <c r="S286" s="16"/>
      <c r="T286" s="3"/>
      <c r="U286" s="3"/>
      <c r="V286" s="3"/>
      <c r="W286" s="16"/>
      <c r="X286" s="16"/>
      <c r="Y286" s="3"/>
      <c r="Z286" s="18"/>
      <c r="AA286" s="3"/>
      <c r="AB286" s="16"/>
      <c r="AC286" s="16"/>
      <c r="AD286" s="16"/>
      <c r="AE286" s="9"/>
      <c r="AF286" s="16"/>
      <c r="AG286" s="16"/>
      <c r="AH286" s="16"/>
      <c r="AI286" s="16"/>
      <c r="AJ286" s="16"/>
      <c r="AK286" s="16"/>
      <c r="AL286" s="16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 spans="1:48" x14ac:dyDescent="0.25">
      <c r="A287" s="15">
        <f t="shared" ref="A287" si="459">1+A283</f>
        <v>72</v>
      </c>
      <c r="B287" s="15"/>
      <c r="C287" s="2"/>
      <c r="D287" s="2"/>
      <c r="E287" s="24" t="str">
        <f t="shared" ref="E287" si="460">+AQ287</f>
        <v/>
      </c>
      <c r="F287" s="30"/>
      <c r="G287" s="24" t="str">
        <f t="shared" ref="G287" si="461">+AV287</f>
        <v>300100</v>
      </c>
      <c r="H287" s="16">
        <f t="shared" ref="H287" si="462">+AK287</f>
        <v>0</v>
      </c>
      <c r="I287" s="16">
        <f t="shared" ref="I287" si="463">+ROUND(AD287,2)</f>
        <v>0</v>
      </c>
      <c r="J287" s="2"/>
      <c r="K287" s="17">
        <f t="shared" ref="K287" si="464">+AE287</f>
        <v>0</v>
      </c>
      <c r="L287" s="16">
        <f t="shared" ref="L287" si="465">+AJ287</f>
        <v>0</v>
      </c>
      <c r="M287" s="32" t="s">
        <v>5</v>
      </c>
      <c r="N287" s="30"/>
      <c r="O287" s="2"/>
      <c r="P287" s="30"/>
      <c r="Q287" s="32" t="s">
        <v>0</v>
      </c>
      <c r="R287" s="24"/>
      <c r="S287" s="24" t="str">
        <f t="shared" ref="S287" si="466">+RIGHT(O287,7)</f>
        <v/>
      </c>
      <c r="T287" s="2"/>
      <c r="U287" s="3" t="s">
        <v>1</v>
      </c>
      <c r="V287" s="3" t="s">
        <v>3</v>
      </c>
      <c r="W287" s="16">
        <f t="shared" ref="W287" si="467">+AI287</f>
        <v>0</v>
      </c>
      <c r="X287" s="16">
        <f t="shared" ref="X287" si="468">+AJ287</f>
        <v>0</v>
      </c>
      <c r="Y287" s="3" t="s">
        <v>4</v>
      </c>
      <c r="Z287" s="18">
        <f t="shared" ref="Z287" si="469">+F287</f>
        <v>0</v>
      </c>
      <c r="AA287" s="61"/>
      <c r="AB287" s="65"/>
      <c r="AC287" s="16">
        <f>+AB287*0.18</f>
        <v>0</v>
      </c>
      <c r="AD287" s="16">
        <f>+AB287+AC287</f>
        <v>0</v>
      </c>
      <c r="AE287" s="68"/>
      <c r="AF287" s="16">
        <f t="shared" ref="AF287" si="470">+AB287*AE287</f>
        <v>0</v>
      </c>
      <c r="AG287" s="16">
        <f t="shared" ref="AG287" si="471">+AC287*AE287</f>
        <v>0</v>
      </c>
      <c r="AH287" s="16">
        <f t="shared" ref="AH287" si="472">+AD287*AE287</f>
        <v>0</v>
      </c>
      <c r="AI287" s="16">
        <f t="shared" ref="AI287" si="473">+ROUND(AF287,2)</f>
        <v>0</v>
      </c>
      <c r="AJ287" s="16">
        <f t="shared" ref="AJ287" si="474">+ROUND(AG287,2)</f>
        <v>0</v>
      </c>
      <c r="AK287" s="16">
        <f t="shared" ref="AK287" si="475">+AI287+AJ287</f>
        <v>0</v>
      </c>
      <c r="AL287" s="16">
        <f t="shared" ref="AL287" si="476">+AI287+AJ287-AK287</f>
        <v>0</v>
      </c>
      <c r="AM287" s="44"/>
      <c r="AN287" s="41" t="str">
        <f t="shared" ref="AN287" si="477">+LEFT(AM287,2)</f>
        <v/>
      </c>
      <c r="AO287" s="41" t="str">
        <f t="shared" ref="AO287" si="478">+MID(AM287,4,2)</f>
        <v/>
      </c>
      <c r="AP287" s="41" t="str">
        <f t="shared" ref="AP287" si="479">+RIGHT(AM287,2)</f>
        <v/>
      </c>
      <c r="AQ287" s="41" t="str">
        <f t="shared" ref="AQ287" si="480">+CONCATENATE(AN287,AO287,AP287)</f>
        <v/>
      </c>
      <c r="AR287" s="45">
        <f t="shared" ref="AR287" si="481">+AM287+30</f>
        <v>30</v>
      </c>
      <c r="AS287" s="46">
        <f t="shared" ref="AS287" si="482">+DAY(AR287)</f>
        <v>30</v>
      </c>
      <c r="AT287" s="41">
        <f t="shared" ref="AT287" si="483">+MONTH(AR287)</f>
        <v>1</v>
      </c>
      <c r="AU287" s="41">
        <f t="shared" ref="AU287" si="484">+YEAR(AR287)</f>
        <v>1900</v>
      </c>
      <c r="AV287" s="41" t="str">
        <f t="shared" ref="AV287" si="485">+CONCATENATE(TEXT(AS287,"00"),TEXT(AT287,"00"),RIGHT(AU287,2))</f>
        <v>300100</v>
      </c>
    </row>
    <row r="288" spans="1:48" hidden="1" x14ac:dyDescent="0.25">
      <c r="A288" s="31"/>
      <c r="B288" s="31"/>
      <c r="C288" s="3"/>
      <c r="D288" s="3"/>
      <c r="E288" s="2"/>
      <c r="F288" s="3"/>
      <c r="G288" s="3"/>
      <c r="H288" s="16"/>
      <c r="I288" s="16"/>
      <c r="J288" s="3"/>
      <c r="K288" s="17"/>
      <c r="L288" s="16"/>
      <c r="M288" s="3"/>
      <c r="N288" s="3"/>
      <c r="O288" s="2"/>
      <c r="P288" s="3" t="s">
        <v>54</v>
      </c>
      <c r="Q288" s="3"/>
      <c r="R288" s="3"/>
      <c r="S288" s="16"/>
      <c r="T288" s="3"/>
      <c r="U288" s="3"/>
      <c r="V288" s="3"/>
      <c r="W288" s="16"/>
      <c r="X288" s="16"/>
      <c r="Y288" s="3"/>
      <c r="Z288" s="18"/>
      <c r="AA288" s="3"/>
      <c r="AB288" s="16"/>
      <c r="AC288" s="16"/>
      <c r="AD288" s="16"/>
      <c r="AE288" s="9"/>
      <c r="AF288" s="16"/>
      <c r="AG288" s="16"/>
      <c r="AH288" s="16"/>
      <c r="AI288" s="16"/>
      <c r="AJ288" s="16"/>
      <c r="AK288" s="16"/>
      <c r="AL288" s="16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 spans="1:48" hidden="1" x14ac:dyDescent="0.25">
      <c r="A289" s="31"/>
      <c r="B289" s="31"/>
      <c r="C289" s="3"/>
      <c r="D289" s="3"/>
      <c r="E289" s="2"/>
      <c r="F289" s="3"/>
      <c r="G289" s="3"/>
      <c r="H289" s="16"/>
      <c r="I289" s="16"/>
      <c r="J289" s="3"/>
      <c r="K289" s="17"/>
      <c r="L289" s="16"/>
      <c r="M289" s="3"/>
      <c r="N289" s="3"/>
      <c r="O289" s="2"/>
      <c r="P289" s="3" t="s">
        <v>54</v>
      </c>
      <c r="Q289" s="3"/>
      <c r="R289" s="3"/>
      <c r="S289" s="16"/>
      <c r="T289" s="3"/>
      <c r="U289" s="3"/>
      <c r="V289" s="3"/>
      <c r="W289" s="16"/>
      <c r="X289" s="16"/>
      <c r="Y289" s="3"/>
      <c r="Z289" s="18"/>
      <c r="AA289" s="3"/>
      <c r="AB289" s="16"/>
      <c r="AC289" s="16"/>
      <c r="AD289" s="16"/>
      <c r="AE289" s="9"/>
      <c r="AF289" s="16"/>
      <c r="AG289" s="16"/>
      <c r="AH289" s="16"/>
      <c r="AI289" s="16"/>
      <c r="AJ289" s="16"/>
      <c r="AK289" s="16"/>
      <c r="AL289" s="16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 spans="1:48" hidden="1" x14ac:dyDescent="0.25">
      <c r="A290" s="31"/>
      <c r="B290" s="31"/>
      <c r="C290" s="3"/>
      <c r="D290" s="3"/>
      <c r="E290" s="2"/>
      <c r="F290" s="3"/>
      <c r="G290" s="3"/>
      <c r="H290" s="16"/>
      <c r="I290" s="16"/>
      <c r="J290" s="3"/>
      <c r="K290" s="17"/>
      <c r="L290" s="16"/>
      <c r="M290" s="3"/>
      <c r="N290" s="3"/>
      <c r="O290" s="2"/>
      <c r="P290" s="3" t="s">
        <v>54</v>
      </c>
      <c r="Q290" s="3"/>
      <c r="R290" s="3"/>
      <c r="S290" s="16"/>
      <c r="T290" s="3"/>
      <c r="U290" s="3"/>
      <c r="V290" s="3"/>
      <c r="W290" s="16"/>
      <c r="X290" s="16"/>
      <c r="Y290" s="3"/>
      <c r="Z290" s="18"/>
      <c r="AA290" s="3"/>
      <c r="AB290" s="16"/>
      <c r="AC290" s="16"/>
      <c r="AD290" s="16"/>
      <c r="AE290" s="9"/>
      <c r="AF290" s="16"/>
      <c r="AG290" s="16"/>
      <c r="AH290" s="16"/>
      <c r="AI290" s="16"/>
      <c r="AJ290" s="16"/>
      <c r="AK290" s="16"/>
      <c r="AL290" s="16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x14ac:dyDescent="0.25">
      <c r="A291" s="15">
        <f t="shared" ref="A291" si="486">1+A287</f>
        <v>73</v>
      </c>
      <c r="B291" s="15"/>
      <c r="C291" s="2"/>
      <c r="D291" s="2"/>
      <c r="E291" s="24" t="str">
        <f t="shared" ref="E291" si="487">+AQ291</f>
        <v/>
      </c>
      <c r="F291" s="30"/>
      <c r="G291" s="24" t="str">
        <f t="shared" ref="G291" si="488">+AV291</f>
        <v>300100</v>
      </c>
      <c r="H291" s="16">
        <f t="shared" ref="H291" si="489">+AK291</f>
        <v>0</v>
      </c>
      <c r="I291" s="16">
        <f t="shared" ref="I291" si="490">+ROUND(AD291,2)</f>
        <v>0</v>
      </c>
      <c r="J291" s="2"/>
      <c r="K291" s="17">
        <f t="shared" ref="K291" si="491">+AE291</f>
        <v>0</v>
      </c>
      <c r="L291" s="16">
        <f t="shared" ref="L291" si="492">+AJ291</f>
        <v>0</v>
      </c>
      <c r="M291" s="32" t="s">
        <v>5</v>
      </c>
      <c r="N291" s="30"/>
      <c r="O291" s="2"/>
      <c r="P291" s="30"/>
      <c r="Q291" s="32" t="s">
        <v>0</v>
      </c>
      <c r="R291" s="24"/>
      <c r="S291" s="24" t="str">
        <f t="shared" ref="S291" si="493">+RIGHT(O291,7)</f>
        <v/>
      </c>
      <c r="T291" s="2"/>
      <c r="U291" s="3" t="s">
        <v>1</v>
      </c>
      <c r="V291" s="3" t="s">
        <v>3</v>
      </c>
      <c r="W291" s="16">
        <f t="shared" ref="W291" si="494">+AI291</f>
        <v>0</v>
      </c>
      <c r="X291" s="16">
        <f t="shared" ref="X291" si="495">+AJ291</f>
        <v>0</v>
      </c>
      <c r="Y291" s="3" t="s">
        <v>4</v>
      </c>
      <c r="Z291" s="18">
        <f t="shared" ref="Z291" si="496">+F291</f>
        <v>0</v>
      </c>
      <c r="AA291" s="61"/>
      <c r="AB291" s="65"/>
      <c r="AC291" s="16">
        <f>+AB291*0.18</f>
        <v>0</v>
      </c>
      <c r="AD291" s="16">
        <f>+AB291+AC291</f>
        <v>0</v>
      </c>
      <c r="AE291" s="68"/>
      <c r="AF291" s="16">
        <f t="shared" ref="AF291" si="497">+AB291*AE291</f>
        <v>0</v>
      </c>
      <c r="AG291" s="16">
        <f t="shared" ref="AG291" si="498">+AC291*AE291</f>
        <v>0</v>
      </c>
      <c r="AH291" s="16">
        <f t="shared" ref="AH291" si="499">+AD291*AE291</f>
        <v>0</v>
      </c>
      <c r="AI291" s="16">
        <f t="shared" ref="AI291" si="500">+ROUND(AF291,2)</f>
        <v>0</v>
      </c>
      <c r="AJ291" s="16">
        <f t="shared" ref="AJ291" si="501">+ROUND(AG291,2)</f>
        <v>0</v>
      </c>
      <c r="AK291" s="16">
        <f t="shared" ref="AK291" si="502">+AI291+AJ291</f>
        <v>0</v>
      </c>
      <c r="AL291" s="16">
        <f t="shared" ref="AL291" si="503">+AI291+AJ291-AK291</f>
        <v>0</v>
      </c>
      <c r="AM291" s="44"/>
      <c r="AN291" s="41" t="str">
        <f t="shared" ref="AN291" si="504">+LEFT(AM291,2)</f>
        <v/>
      </c>
      <c r="AO291" s="41" t="str">
        <f t="shared" ref="AO291" si="505">+MID(AM291,4,2)</f>
        <v/>
      </c>
      <c r="AP291" s="41" t="str">
        <f t="shared" ref="AP291" si="506">+RIGHT(AM291,2)</f>
        <v/>
      </c>
      <c r="AQ291" s="41" t="str">
        <f t="shared" ref="AQ291" si="507">+CONCATENATE(AN291,AO291,AP291)</f>
        <v/>
      </c>
      <c r="AR291" s="45">
        <f t="shared" ref="AR291" si="508">+AM291+30</f>
        <v>30</v>
      </c>
      <c r="AS291" s="46">
        <f t="shared" ref="AS291" si="509">+DAY(AR291)</f>
        <v>30</v>
      </c>
      <c r="AT291" s="41">
        <f t="shared" ref="AT291" si="510">+MONTH(AR291)</f>
        <v>1</v>
      </c>
      <c r="AU291" s="41">
        <f t="shared" ref="AU291" si="511">+YEAR(AR291)</f>
        <v>1900</v>
      </c>
      <c r="AV291" s="41" t="str">
        <f t="shared" ref="AV291" si="512">+CONCATENATE(TEXT(AS291,"00"),TEXT(AT291,"00"),RIGHT(AU291,2))</f>
        <v>300100</v>
      </c>
    </row>
    <row r="292" spans="1:48" hidden="1" x14ac:dyDescent="0.25">
      <c r="A292" s="31"/>
      <c r="B292" s="31"/>
      <c r="C292" s="3"/>
      <c r="D292" s="3"/>
      <c r="E292" s="2"/>
      <c r="F292" s="3"/>
      <c r="G292" s="3"/>
      <c r="H292" s="16"/>
      <c r="I292" s="16"/>
      <c r="J292" s="3"/>
      <c r="K292" s="17"/>
      <c r="L292" s="16"/>
      <c r="M292" s="3"/>
      <c r="N292" s="3"/>
      <c r="O292" s="2"/>
      <c r="P292" s="3" t="s">
        <v>54</v>
      </c>
      <c r="Q292" s="3"/>
      <c r="R292" s="3"/>
      <c r="S292" s="16"/>
      <c r="T292" s="3"/>
      <c r="U292" s="3"/>
      <c r="V292" s="3"/>
      <c r="W292" s="16"/>
      <c r="X292" s="16"/>
      <c r="Y292" s="3"/>
      <c r="Z292" s="18"/>
      <c r="AA292" s="3"/>
      <c r="AB292" s="16"/>
      <c r="AC292" s="16"/>
      <c r="AD292" s="16"/>
      <c r="AE292" s="9"/>
      <c r="AF292" s="16"/>
      <c r="AG292" s="16"/>
      <c r="AH292" s="16"/>
      <c r="AI292" s="16"/>
      <c r="AJ292" s="16"/>
      <c r="AK292" s="16"/>
      <c r="AL292" s="16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 spans="1:48" hidden="1" x14ac:dyDescent="0.25">
      <c r="A293" s="31"/>
      <c r="B293" s="31"/>
      <c r="C293" s="3"/>
      <c r="D293" s="3"/>
      <c r="E293" s="2"/>
      <c r="F293" s="3"/>
      <c r="G293" s="3"/>
      <c r="H293" s="16"/>
      <c r="I293" s="16"/>
      <c r="J293" s="3"/>
      <c r="K293" s="17"/>
      <c r="L293" s="16"/>
      <c r="M293" s="3"/>
      <c r="N293" s="3"/>
      <c r="O293" s="2"/>
      <c r="P293" s="3" t="s">
        <v>54</v>
      </c>
      <c r="Q293" s="3"/>
      <c r="R293" s="3"/>
      <c r="S293" s="16"/>
      <c r="T293" s="3"/>
      <c r="U293" s="3"/>
      <c r="V293" s="3"/>
      <c r="W293" s="16"/>
      <c r="X293" s="16"/>
      <c r="Y293" s="3"/>
      <c r="Z293" s="18"/>
      <c r="AA293" s="3"/>
      <c r="AB293" s="16"/>
      <c r="AC293" s="16"/>
      <c r="AD293" s="16"/>
      <c r="AE293" s="9"/>
      <c r="AF293" s="16"/>
      <c r="AG293" s="16"/>
      <c r="AH293" s="16"/>
      <c r="AI293" s="16"/>
      <c r="AJ293" s="16"/>
      <c r="AK293" s="16"/>
      <c r="AL293" s="16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1:48" hidden="1" x14ac:dyDescent="0.25">
      <c r="A294" s="31"/>
      <c r="B294" s="31"/>
      <c r="C294" s="3"/>
      <c r="D294" s="3"/>
      <c r="E294" s="2"/>
      <c r="F294" s="3"/>
      <c r="G294" s="3"/>
      <c r="H294" s="16"/>
      <c r="I294" s="16"/>
      <c r="J294" s="3"/>
      <c r="K294" s="17"/>
      <c r="L294" s="16"/>
      <c r="M294" s="3"/>
      <c r="N294" s="3"/>
      <c r="O294" s="2"/>
      <c r="P294" s="3" t="s">
        <v>54</v>
      </c>
      <c r="Q294" s="3"/>
      <c r="R294" s="3"/>
      <c r="S294" s="16"/>
      <c r="T294" s="3"/>
      <c r="U294" s="3"/>
      <c r="V294" s="3"/>
      <c r="W294" s="16"/>
      <c r="X294" s="16"/>
      <c r="Y294" s="3"/>
      <c r="Z294" s="18"/>
      <c r="AA294" s="3"/>
      <c r="AB294" s="16"/>
      <c r="AC294" s="16"/>
      <c r="AD294" s="16"/>
      <c r="AE294" s="9"/>
      <c r="AF294" s="16"/>
      <c r="AG294" s="16"/>
      <c r="AH294" s="16"/>
      <c r="AI294" s="16"/>
      <c r="AJ294" s="16"/>
      <c r="AK294" s="16"/>
      <c r="AL294" s="16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 spans="1:48" x14ac:dyDescent="0.25">
      <c r="A295" s="15">
        <f t="shared" ref="A295" si="513">1+A291</f>
        <v>74</v>
      </c>
      <c r="B295" s="15"/>
      <c r="C295" s="2"/>
      <c r="D295" s="2"/>
      <c r="E295" s="24" t="str">
        <f t="shared" ref="E295" si="514">+AQ295</f>
        <v/>
      </c>
      <c r="F295" s="30"/>
      <c r="G295" s="24" t="str">
        <f t="shared" ref="G295" si="515">+AV295</f>
        <v>300100</v>
      </c>
      <c r="H295" s="16">
        <f t="shared" ref="H295" si="516">+AK295</f>
        <v>0</v>
      </c>
      <c r="I295" s="16">
        <f t="shared" ref="I295" si="517">+ROUND(AD295,2)</f>
        <v>0</v>
      </c>
      <c r="J295" s="2"/>
      <c r="K295" s="17">
        <f t="shared" ref="K295" si="518">+AE295</f>
        <v>0</v>
      </c>
      <c r="L295" s="16">
        <f t="shared" ref="L295" si="519">+AJ295</f>
        <v>0</v>
      </c>
      <c r="M295" s="32" t="s">
        <v>5</v>
      </c>
      <c r="N295" s="30"/>
      <c r="O295" s="2"/>
      <c r="P295" s="30"/>
      <c r="Q295" s="32" t="s">
        <v>0</v>
      </c>
      <c r="R295" s="24"/>
      <c r="S295" s="24" t="str">
        <f t="shared" ref="S295" si="520">+RIGHT(O295,7)</f>
        <v/>
      </c>
      <c r="T295" s="2"/>
      <c r="U295" s="3" t="s">
        <v>1</v>
      </c>
      <c r="V295" s="3" t="s">
        <v>3</v>
      </c>
      <c r="W295" s="16">
        <f t="shared" ref="W295" si="521">+AI295</f>
        <v>0</v>
      </c>
      <c r="X295" s="16">
        <f t="shared" ref="X295" si="522">+AJ295</f>
        <v>0</v>
      </c>
      <c r="Y295" s="3" t="s">
        <v>4</v>
      </c>
      <c r="Z295" s="18">
        <f t="shared" ref="Z295" si="523">+F295</f>
        <v>0</v>
      </c>
      <c r="AA295" s="61"/>
      <c r="AB295" s="65"/>
      <c r="AC295" s="16">
        <f>+AB295*0.18</f>
        <v>0</v>
      </c>
      <c r="AD295" s="16">
        <f>+AB295+AC295</f>
        <v>0</v>
      </c>
      <c r="AE295" s="68"/>
      <c r="AF295" s="16">
        <f t="shared" ref="AF295" si="524">+AB295*AE295</f>
        <v>0</v>
      </c>
      <c r="AG295" s="16">
        <f t="shared" ref="AG295" si="525">+AC295*AE295</f>
        <v>0</v>
      </c>
      <c r="AH295" s="16">
        <f t="shared" ref="AH295" si="526">+AD295*AE295</f>
        <v>0</v>
      </c>
      <c r="AI295" s="16">
        <f t="shared" ref="AI295" si="527">+ROUND(AF295,2)</f>
        <v>0</v>
      </c>
      <c r="AJ295" s="16">
        <f t="shared" ref="AJ295" si="528">+ROUND(AG295,2)</f>
        <v>0</v>
      </c>
      <c r="AK295" s="16">
        <f t="shared" ref="AK295" si="529">+AI295+AJ295</f>
        <v>0</v>
      </c>
      <c r="AL295" s="16">
        <f t="shared" ref="AL295" si="530">+AI295+AJ295-AK295</f>
        <v>0</v>
      </c>
      <c r="AM295" s="44"/>
      <c r="AN295" s="41" t="str">
        <f t="shared" ref="AN295" si="531">+LEFT(AM295,2)</f>
        <v/>
      </c>
      <c r="AO295" s="41" t="str">
        <f t="shared" ref="AO295" si="532">+MID(AM295,4,2)</f>
        <v/>
      </c>
      <c r="AP295" s="41" t="str">
        <f t="shared" ref="AP295" si="533">+RIGHT(AM295,2)</f>
        <v/>
      </c>
      <c r="AQ295" s="41" t="str">
        <f t="shared" ref="AQ295" si="534">+CONCATENATE(AN295,AO295,AP295)</f>
        <v/>
      </c>
      <c r="AR295" s="45">
        <f t="shared" ref="AR295" si="535">+AM295+30</f>
        <v>30</v>
      </c>
      <c r="AS295" s="46">
        <f t="shared" ref="AS295" si="536">+DAY(AR295)</f>
        <v>30</v>
      </c>
      <c r="AT295" s="41">
        <f t="shared" ref="AT295" si="537">+MONTH(AR295)</f>
        <v>1</v>
      </c>
      <c r="AU295" s="41">
        <f t="shared" ref="AU295" si="538">+YEAR(AR295)</f>
        <v>1900</v>
      </c>
      <c r="AV295" s="41" t="str">
        <f t="shared" ref="AV295" si="539">+CONCATENATE(TEXT(AS295,"00"),TEXT(AT295,"00"),RIGHT(AU295,2))</f>
        <v>300100</v>
      </c>
    </row>
    <row r="296" spans="1:48" hidden="1" x14ac:dyDescent="0.25">
      <c r="A296" s="31"/>
      <c r="B296" s="31"/>
      <c r="C296" s="3"/>
      <c r="D296" s="3"/>
      <c r="E296" s="2"/>
      <c r="F296" s="3"/>
      <c r="G296" s="3"/>
      <c r="H296" s="16"/>
      <c r="I296" s="16"/>
      <c r="J296" s="3"/>
      <c r="K296" s="17"/>
      <c r="L296" s="16"/>
      <c r="M296" s="3"/>
      <c r="N296" s="3"/>
      <c r="O296" s="2"/>
      <c r="P296" s="3" t="s">
        <v>54</v>
      </c>
      <c r="Q296" s="3"/>
      <c r="R296" s="3"/>
      <c r="S296" s="16"/>
      <c r="T296" s="3"/>
      <c r="U296" s="3"/>
      <c r="V296" s="3"/>
      <c r="W296" s="16"/>
      <c r="X296" s="16"/>
      <c r="Y296" s="3"/>
      <c r="Z296" s="18"/>
      <c r="AA296" s="3"/>
      <c r="AB296" s="16"/>
      <c r="AC296" s="16"/>
      <c r="AD296" s="16"/>
      <c r="AE296" s="9"/>
      <c r="AF296" s="16"/>
      <c r="AG296" s="16"/>
      <c r="AH296" s="16"/>
      <c r="AI296" s="16"/>
      <c r="AJ296" s="16"/>
      <c r="AK296" s="16"/>
      <c r="AL296" s="16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 spans="1:48" hidden="1" x14ac:dyDescent="0.25">
      <c r="A297" s="31"/>
      <c r="B297" s="31"/>
      <c r="C297" s="3"/>
      <c r="D297" s="3"/>
      <c r="E297" s="2"/>
      <c r="F297" s="3"/>
      <c r="G297" s="3"/>
      <c r="H297" s="16"/>
      <c r="I297" s="16"/>
      <c r="J297" s="3"/>
      <c r="K297" s="17"/>
      <c r="L297" s="16"/>
      <c r="M297" s="3"/>
      <c r="N297" s="3"/>
      <c r="O297" s="2"/>
      <c r="P297" s="3" t="s">
        <v>54</v>
      </c>
      <c r="Q297" s="3"/>
      <c r="R297" s="3"/>
      <c r="S297" s="16"/>
      <c r="T297" s="3"/>
      <c r="U297" s="3"/>
      <c r="V297" s="3"/>
      <c r="W297" s="16"/>
      <c r="X297" s="16"/>
      <c r="Y297" s="3"/>
      <c r="Z297" s="18"/>
      <c r="AA297" s="3"/>
      <c r="AB297" s="16"/>
      <c r="AC297" s="16"/>
      <c r="AD297" s="16"/>
      <c r="AE297" s="9"/>
      <c r="AF297" s="16"/>
      <c r="AG297" s="16"/>
      <c r="AH297" s="16"/>
      <c r="AI297" s="16"/>
      <c r="AJ297" s="16"/>
      <c r="AK297" s="16"/>
      <c r="AL297" s="16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 spans="1:48" hidden="1" x14ac:dyDescent="0.25">
      <c r="A298" s="31"/>
      <c r="B298" s="31"/>
      <c r="C298" s="3"/>
      <c r="D298" s="3"/>
      <c r="E298" s="2"/>
      <c r="F298" s="3"/>
      <c r="G298" s="3"/>
      <c r="H298" s="16"/>
      <c r="I298" s="16"/>
      <c r="J298" s="3"/>
      <c r="K298" s="17"/>
      <c r="L298" s="16"/>
      <c r="M298" s="3"/>
      <c r="N298" s="3"/>
      <c r="O298" s="2"/>
      <c r="P298" s="3" t="s">
        <v>54</v>
      </c>
      <c r="Q298" s="3"/>
      <c r="R298" s="3"/>
      <c r="S298" s="16"/>
      <c r="T298" s="3"/>
      <c r="U298" s="3"/>
      <c r="V298" s="3"/>
      <c r="W298" s="16"/>
      <c r="X298" s="16"/>
      <c r="Y298" s="3"/>
      <c r="Z298" s="18"/>
      <c r="AA298" s="3"/>
      <c r="AB298" s="16"/>
      <c r="AC298" s="16"/>
      <c r="AD298" s="16"/>
      <c r="AE298" s="9"/>
      <c r="AF298" s="16"/>
      <c r="AG298" s="16"/>
      <c r="AH298" s="16"/>
      <c r="AI298" s="16"/>
      <c r="AJ298" s="16"/>
      <c r="AK298" s="16"/>
      <c r="AL298" s="16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1:48" x14ac:dyDescent="0.25">
      <c r="A299" s="15">
        <f t="shared" ref="A299" si="540">1+A295</f>
        <v>75</v>
      </c>
      <c r="B299" s="15"/>
      <c r="C299" s="2"/>
      <c r="D299" s="2"/>
      <c r="E299" s="24" t="str">
        <f t="shared" ref="E299" si="541">+AQ299</f>
        <v/>
      </c>
      <c r="F299" s="30"/>
      <c r="G299" s="24" t="str">
        <f t="shared" ref="G299" si="542">+AV299</f>
        <v>300100</v>
      </c>
      <c r="H299" s="16">
        <f t="shared" ref="H299" si="543">+AK299</f>
        <v>0</v>
      </c>
      <c r="I299" s="16">
        <f t="shared" ref="I299" si="544">+ROUND(AD299,2)</f>
        <v>0</v>
      </c>
      <c r="J299" s="2"/>
      <c r="K299" s="17">
        <f t="shared" ref="K299" si="545">+AE299</f>
        <v>0</v>
      </c>
      <c r="L299" s="16">
        <f t="shared" ref="L299" si="546">+AJ299</f>
        <v>0</v>
      </c>
      <c r="M299" s="32" t="s">
        <v>5</v>
      </c>
      <c r="N299" s="30"/>
      <c r="O299" s="2"/>
      <c r="P299" s="30"/>
      <c r="Q299" s="32" t="s">
        <v>0</v>
      </c>
      <c r="R299" s="24"/>
      <c r="S299" s="24" t="str">
        <f t="shared" ref="S299" si="547">+RIGHT(O299,7)</f>
        <v/>
      </c>
      <c r="T299" s="2"/>
      <c r="U299" s="3" t="s">
        <v>1</v>
      </c>
      <c r="V299" s="3" t="s">
        <v>3</v>
      </c>
      <c r="W299" s="16">
        <f t="shared" ref="W299" si="548">+AI299</f>
        <v>0</v>
      </c>
      <c r="X299" s="16">
        <f t="shared" ref="X299" si="549">+AJ299</f>
        <v>0</v>
      </c>
      <c r="Y299" s="3" t="s">
        <v>4</v>
      </c>
      <c r="Z299" s="18">
        <f t="shared" ref="Z299" si="550">+F299</f>
        <v>0</v>
      </c>
      <c r="AA299" s="61"/>
      <c r="AB299" s="65"/>
      <c r="AC299" s="16">
        <f>+AB299*0.18</f>
        <v>0</v>
      </c>
      <c r="AD299" s="16">
        <f>+AB299+AC299</f>
        <v>0</v>
      </c>
      <c r="AE299" s="68"/>
      <c r="AF299" s="16">
        <f t="shared" ref="AF299" si="551">+AB299*AE299</f>
        <v>0</v>
      </c>
      <c r="AG299" s="16">
        <f t="shared" ref="AG299" si="552">+AC299*AE299</f>
        <v>0</v>
      </c>
      <c r="AH299" s="16">
        <f t="shared" ref="AH299" si="553">+AD299*AE299</f>
        <v>0</v>
      </c>
      <c r="AI299" s="16">
        <f t="shared" ref="AI299" si="554">+ROUND(AF299,2)</f>
        <v>0</v>
      </c>
      <c r="AJ299" s="16">
        <f t="shared" ref="AJ299" si="555">+ROUND(AG299,2)</f>
        <v>0</v>
      </c>
      <c r="AK299" s="16">
        <f t="shared" ref="AK299" si="556">+AI299+AJ299</f>
        <v>0</v>
      </c>
      <c r="AL299" s="16">
        <f t="shared" ref="AL299" si="557">+AI299+AJ299-AK299</f>
        <v>0</v>
      </c>
      <c r="AM299" s="44"/>
      <c r="AN299" s="41" t="str">
        <f t="shared" ref="AN299" si="558">+LEFT(AM299,2)</f>
        <v/>
      </c>
      <c r="AO299" s="41" t="str">
        <f t="shared" ref="AO299" si="559">+MID(AM299,4,2)</f>
        <v/>
      </c>
      <c r="AP299" s="41" t="str">
        <f t="shared" ref="AP299" si="560">+RIGHT(AM299,2)</f>
        <v/>
      </c>
      <c r="AQ299" s="41" t="str">
        <f t="shared" ref="AQ299" si="561">+CONCATENATE(AN299,AO299,AP299)</f>
        <v/>
      </c>
      <c r="AR299" s="45">
        <f t="shared" ref="AR299" si="562">+AM299+30</f>
        <v>30</v>
      </c>
      <c r="AS299" s="46">
        <f t="shared" ref="AS299" si="563">+DAY(AR299)</f>
        <v>30</v>
      </c>
      <c r="AT299" s="41">
        <f t="shared" ref="AT299" si="564">+MONTH(AR299)</f>
        <v>1</v>
      </c>
      <c r="AU299" s="41">
        <f t="shared" ref="AU299" si="565">+YEAR(AR299)</f>
        <v>1900</v>
      </c>
      <c r="AV299" s="41" t="str">
        <f t="shared" ref="AV299" si="566">+CONCATENATE(TEXT(AS299,"00"),TEXT(AT299,"00"),RIGHT(AU299,2))</f>
        <v>300100</v>
      </c>
    </row>
    <row r="300" spans="1:48" hidden="1" x14ac:dyDescent="0.25">
      <c r="A300" s="31"/>
      <c r="B300" s="31"/>
      <c r="C300" s="3"/>
      <c r="D300" s="3"/>
      <c r="E300" s="2"/>
      <c r="F300" s="3"/>
      <c r="G300" s="3"/>
      <c r="H300" s="16"/>
      <c r="I300" s="16"/>
      <c r="J300" s="3"/>
      <c r="K300" s="17"/>
      <c r="L300" s="16"/>
      <c r="M300" s="3"/>
      <c r="N300" s="3"/>
      <c r="O300" s="2"/>
      <c r="P300" s="3" t="s">
        <v>54</v>
      </c>
      <c r="Q300" s="3"/>
      <c r="R300" s="3"/>
      <c r="S300" s="16"/>
      <c r="T300" s="3"/>
      <c r="U300" s="3"/>
      <c r="V300" s="3"/>
      <c r="W300" s="16"/>
      <c r="X300" s="16"/>
      <c r="Y300" s="3"/>
      <c r="Z300" s="18"/>
      <c r="AA300" s="3"/>
      <c r="AB300" s="16"/>
      <c r="AC300" s="16"/>
      <c r="AD300" s="16"/>
      <c r="AE300" s="9"/>
      <c r="AF300" s="16"/>
      <c r="AG300" s="16"/>
      <c r="AH300" s="16"/>
      <c r="AI300" s="16"/>
      <c r="AJ300" s="16"/>
      <c r="AK300" s="16"/>
      <c r="AL300" s="16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 spans="1:48" hidden="1" x14ac:dyDescent="0.25">
      <c r="A301" s="31"/>
      <c r="B301" s="31"/>
      <c r="C301" s="3"/>
      <c r="D301" s="3"/>
      <c r="E301" s="2"/>
      <c r="F301" s="3"/>
      <c r="G301" s="3"/>
      <c r="H301" s="16"/>
      <c r="I301" s="16"/>
      <c r="J301" s="3"/>
      <c r="K301" s="17"/>
      <c r="L301" s="16"/>
      <c r="M301" s="3"/>
      <c r="N301" s="3"/>
      <c r="O301" s="2"/>
      <c r="P301" s="3" t="s">
        <v>54</v>
      </c>
      <c r="Q301" s="3"/>
      <c r="R301" s="3"/>
      <c r="S301" s="16"/>
      <c r="T301" s="3"/>
      <c r="U301" s="3"/>
      <c r="V301" s="3"/>
      <c r="W301" s="16"/>
      <c r="X301" s="16"/>
      <c r="Y301" s="3"/>
      <c r="Z301" s="18"/>
      <c r="AA301" s="3"/>
      <c r="AB301" s="16"/>
      <c r="AC301" s="16"/>
      <c r="AD301" s="16"/>
      <c r="AE301" s="9"/>
      <c r="AF301" s="16"/>
      <c r="AG301" s="16"/>
      <c r="AH301" s="16"/>
      <c r="AI301" s="16"/>
      <c r="AJ301" s="16"/>
      <c r="AK301" s="16"/>
      <c r="AL301" s="16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hidden="1" x14ac:dyDescent="0.25">
      <c r="A302" s="31"/>
      <c r="B302" s="31"/>
      <c r="C302" s="3"/>
      <c r="D302" s="3"/>
      <c r="E302" s="2"/>
      <c r="F302" s="3"/>
      <c r="G302" s="3"/>
      <c r="H302" s="16"/>
      <c r="I302" s="16"/>
      <c r="J302" s="3"/>
      <c r="K302" s="17"/>
      <c r="L302" s="16"/>
      <c r="M302" s="3"/>
      <c r="N302" s="3"/>
      <c r="O302" s="2"/>
      <c r="P302" s="3" t="s">
        <v>54</v>
      </c>
      <c r="Q302" s="3"/>
      <c r="R302" s="3"/>
      <c r="S302" s="16"/>
      <c r="T302" s="3"/>
      <c r="U302" s="3"/>
      <c r="V302" s="3"/>
      <c r="W302" s="16"/>
      <c r="X302" s="16"/>
      <c r="Y302" s="3"/>
      <c r="Z302" s="18"/>
      <c r="AA302" s="3"/>
      <c r="AB302" s="16"/>
      <c r="AC302" s="16"/>
      <c r="AD302" s="16"/>
      <c r="AE302" s="9"/>
      <c r="AF302" s="16"/>
      <c r="AG302" s="16"/>
      <c r="AH302" s="16"/>
      <c r="AI302" s="16"/>
      <c r="AJ302" s="16"/>
      <c r="AK302" s="16"/>
      <c r="AL302" s="16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1:48" x14ac:dyDescent="0.25">
      <c r="A303" s="15">
        <f t="shared" ref="A303" si="567">1+A299</f>
        <v>76</v>
      </c>
      <c r="B303" s="15"/>
      <c r="C303" s="2"/>
      <c r="D303" s="2"/>
      <c r="E303" s="24" t="str">
        <f t="shared" ref="E303" si="568">+AQ303</f>
        <v/>
      </c>
      <c r="F303" s="30"/>
      <c r="G303" s="24" t="str">
        <f t="shared" ref="G303" si="569">+AV303</f>
        <v>300100</v>
      </c>
      <c r="H303" s="16">
        <f t="shared" ref="H303" si="570">+AK303</f>
        <v>0</v>
      </c>
      <c r="I303" s="16">
        <f t="shared" ref="I303" si="571">+ROUND(AD303,2)</f>
        <v>0</v>
      </c>
      <c r="J303" s="2"/>
      <c r="K303" s="17">
        <f t="shared" ref="K303" si="572">+AE303</f>
        <v>0</v>
      </c>
      <c r="L303" s="16">
        <f t="shared" ref="L303" si="573">+AJ303</f>
        <v>0</v>
      </c>
      <c r="M303" s="32" t="s">
        <v>5</v>
      </c>
      <c r="N303" s="30"/>
      <c r="O303" s="2"/>
      <c r="P303" s="30"/>
      <c r="Q303" s="32" t="s">
        <v>0</v>
      </c>
      <c r="R303" s="24"/>
      <c r="S303" s="24" t="str">
        <f t="shared" ref="S303" si="574">+RIGHT(O303,7)</f>
        <v/>
      </c>
      <c r="T303" s="2"/>
      <c r="U303" s="3" t="s">
        <v>1</v>
      </c>
      <c r="V303" s="3" t="s">
        <v>3</v>
      </c>
      <c r="W303" s="16">
        <f t="shared" ref="W303" si="575">+AI303</f>
        <v>0</v>
      </c>
      <c r="X303" s="16">
        <f t="shared" ref="X303" si="576">+AJ303</f>
        <v>0</v>
      </c>
      <c r="Y303" s="3" t="s">
        <v>4</v>
      </c>
      <c r="Z303" s="18">
        <f t="shared" ref="Z303" si="577">+F303</f>
        <v>0</v>
      </c>
      <c r="AA303" s="61"/>
      <c r="AB303" s="65"/>
      <c r="AC303" s="16">
        <f>+AB303*0.18</f>
        <v>0</v>
      </c>
      <c r="AD303" s="16">
        <f>+AB303+AC303</f>
        <v>0</v>
      </c>
      <c r="AE303" s="68"/>
      <c r="AF303" s="16">
        <f t="shared" ref="AF303" si="578">+AB303*AE303</f>
        <v>0</v>
      </c>
      <c r="AG303" s="16">
        <f t="shared" ref="AG303" si="579">+AC303*AE303</f>
        <v>0</v>
      </c>
      <c r="AH303" s="16">
        <f t="shared" ref="AH303" si="580">+AD303*AE303</f>
        <v>0</v>
      </c>
      <c r="AI303" s="16">
        <f t="shared" ref="AI303" si="581">+ROUND(AF303,2)</f>
        <v>0</v>
      </c>
      <c r="AJ303" s="16">
        <f t="shared" ref="AJ303" si="582">+ROUND(AG303,2)</f>
        <v>0</v>
      </c>
      <c r="AK303" s="16">
        <f t="shared" ref="AK303" si="583">+AI303+AJ303</f>
        <v>0</v>
      </c>
      <c r="AL303" s="16">
        <f t="shared" ref="AL303" si="584">+AI303+AJ303-AK303</f>
        <v>0</v>
      </c>
      <c r="AM303" s="44"/>
      <c r="AN303" s="41" t="str">
        <f t="shared" ref="AN303" si="585">+LEFT(AM303,2)</f>
        <v/>
      </c>
      <c r="AO303" s="41" t="str">
        <f t="shared" ref="AO303" si="586">+MID(AM303,4,2)</f>
        <v/>
      </c>
      <c r="AP303" s="41" t="str">
        <f t="shared" ref="AP303" si="587">+RIGHT(AM303,2)</f>
        <v/>
      </c>
      <c r="AQ303" s="41" t="str">
        <f t="shared" ref="AQ303" si="588">+CONCATENATE(AN303,AO303,AP303)</f>
        <v/>
      </c>
      <c r="AR303" s="45">
        <f t="shared" ref="AR303" si="589">+AM303+30</f>
        <v>30</v>
      </c>
      <c r="AS303" s="46">
        <f t="shared" ref="AS303" si="590">+DAY(AR303)</f>
        <v>30</v>
      </c>
      <c r="AT303" s="41">
        <f t="shared" ref="AT303" si="591">+MONTH(AR303)</f>
        <v>1</v>
      </c>
      <c r="AU303" s="41">
        <f t="shared" ref="AU303" si="592">+YEAR(AR303)</f>
        <v>1900</v>
      </c>
      <c r="AV303" s="41" t="str">
        <f t="shared" ref="AV303" si="593">+CONCATENATE(TEXT(AS303,"00"),TEXT(AT303,"00"),RIGHT(AU303,2))</f>
        <v>300100</v>
      </c>
    </row>
    <row r="304" spans="1:48" hidden="1" x14ac:dyDescent="0.25">
      <c r="A304" s="31"/>
      <c r="B304" s="31"/>
      <c r="C304" s="3"/>
      <c r="D304" s="3"/>
      <c r="E304" s="2"/>
      <c r="F304" s="3"/>
      <c r="G304" s="3"/>
      <c r="H304" s="16"/>
      <c r="I304" s="16"/>
      <c r="J304" s="3"/>
      <c r="K304" s="17"/>
      <c r="L304" s="16"/>
      <c r="M304" s="3"/>
      <c r="N304" s="3"/>
      <c r="O304" s="2"/>
      <c r="P304" s="3" t="s">
        <v>54</v>
      </c>
      <c r="Q304" s="3"/>
      <c r="R304" s="3"/>
      <c r="S304" s="16"/>
      <c r="T304" s="3"/>
      <c r="U304" s="3"/>
      <c r="V304" s="3"/>
      <c r="W304" s="16"/>
      <c r="X304" s="16"/>
      <c r="Y304" s="3"/>
      <c r="Z304" s="18"/>
      <c r="AA304" s="3"/>
      <c r="AB304" s="16"/>
      <c r="AC304" s="16"/>
      <c r="AD304" s="16"/>
      <c r="AE304" s="9"/>
      <c r="AF304" s="16"/>
      <c r="AG304" s="16"/>
      <c r="AH304" s="16"/>
      <c r="AI304" s="16"/>
      <c r="AJ304" s="16"/>
      <c r="AK304" s="16"/>
      <c r="AL304" s="16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 spans="1:48" hidden="1" x14ac:dyDescent="0.25">
      <c r="A305" s="31"/>
      <c r="B305" s="31"/>
      <c r="C305" s="3"/>
      <c r="D305" s="3"/>
      <c r="E305" s="2"/>
      <c r="F305" s="3"/>
      <c r="G305" s="3"/>
      <c r="H305" s="16"/>
      <c r="I305" s="16"/>
      <c r="J305" s="3"/>
      <c r="K305" s="17"/>
      <c r="L305" s="16"/>
      <c r="M305" s="3"/>
      <c r="N305" s="3"/>
      <c r="O305" s="2"/>
      <c r="P305" s="3" t="s">
        <v>54</v>
      </c>
      <c r="Q305" s="3"/>
      <c r="R305" s="3"/>
      <c r="S305" s="16"/>
      <c r="T305" s="3"/>
      <c r="U305" s="3"/>
      <c r="V305" s="3"/>
      <c r="W305" s="16"/>
      <c r="X305" s="16"/>
      <c r="Y305" s="3"/>
      <c r="Z305" s="18"/>
      <c r="AA305" s="3"/>
      <c r="AB305" s="16"/>
      <c r="AC305" s="16"/>
      <c r="AD305" s="16"/>
      <c r="AE305" s="9"/>
      <c r="AF305" s="16"/>
      <c r="AG305" s="16"/>
      <c r="AH305" s="16"/>
      <c r="AI305" s="16"/>
      <c r="AJ305" s="16"/>
      <c r="AK305" s="16"/>
      <c r="AL305" s="16"/>
      <c r="AM305" s="3"/>
      <c r="AN305" s="3"/>
      <c r="AO305" s="3"/>
      <c r="AP305" s="3"/>
      <c r="AQ305" s="3"/>
      <c r="AR305" s="3"/>
      <c r="AS305" s="3"/>
      <c r="AT305" s="3"/>
      <c r="AU305" s="3"/>
      <c r="AV305" s="3"/>
    </row>
    <row r="306" spans="1:48" hidden="1" x14ac:dyDescent="0.25">
      <c r="A306" s="31"/>
      <c r="B306" s="31"/>
      <c r="C306" s="3"/>
      <c r="D306" s="3"/>
      <c r="E306" s="2"/>
      <c r="F306" s="3"/>
      <c r="G306" s="3"/>
      <c r="H306" s="16"/>
      <c r="I306" s="16"/>
      <c r="J306" s="3"/>
      <c r="K306" s="17"/>
      <c r="L306" s="16"/>
      <c r="M306" s="3"/>
      <c r="N306" s="3"/>
      <c r="O306" s="2"/>
      <c r="P306" s="3" t="s">
        <v>54</v>
      </c>
      <c r="Q306" s="3"/>
      <c r="R306" s="3"/>
      <c r="S306" s="16"/>
      <c r="T306" s="3"/>
      <c r="U306" s="3"/>
      <c r="V306" s="3"/>
      <c r="W306" s="16"/>
      <c r="X306" s="16"/>
      <c r="Y306" s="3"/>
      <c r="Z306" s="18"/>
      <c r="AA306" s="3"/>
      <c r="AB306" s="16"/>
      <c r="AC306" s="16"/>
      <c r="AD306" s="16"/>
      <c r="AE306" s="9"/>
      <c r="AF306" s="16"/>
      <c r="AG306" s="16"/>
      <c r="AH306" s="16"/>
      <c r="AI306" s="16"/>
      <c r="AJ306" s="16"/>
      <c r="AK306" s="16"/>
      <c r="AL306" s="16"/>
      <c r="AM306" s="3"/>
      <c r="AN306" s="3"/>
      <c r="AO306" s="3"/>
      <c r="AP306" s="3"/>
      <c r="AQ306" s="3"/>
      <c r="AR306" s="3"/>
      <c r="AS306" s="3"/>
      <c r="AT306" s="3"/>
      <c r="AU306" s="3"/>
      <c r="AV306" s="3"/>
    </row>
    <row r="307" spans="1:48" x14ac:dyDescent="0.25">
      <c r="A307" s="15">
        <f t="shared" ref="A307" si="594">1+A303</f>
        <v>77</v>
      </c>
      <c r="B307" s="15"/>
      <c r="C307" s="2"/>
      <c r="D307" s="2"/>
      <c r="E307" s="24" t="str">
        <f t="shared" ref="E307" si="595">+AQ307</f>
        <v/>
      </c>
      <c r="F307" s="30"/>
      <c r="G307" s="24" t="str">
        <f t="shared" ref="G307" si="596">+AV307</f>
        <v>300100</v>
      </c>
      <c r="H307" s="16">
        <f t="shared" ref="H307" si="597">+AK307</f>
        <v>0</v>
      </c>
      <c r="I307" s="16">
        <f t="shared" ref="I307" si="598">+ROUND(AD307,2)</f>
        <v>0</v>
      </c>
      <c r="J307" s="2"/>
      <c r="K307" s="17">
        <f t="shared" ref="K307" si="599">+AE307</f>
        <v>0</v>
      </c>
      <c r="L307" s="16">
        <f t="shared" ref="L307" si="600">+AJ307</f>
        <v>0</v>
      </c>
      <c r="M307" s="32" t="s">
        <v>5</v>
      </c>
      <c r="N307" s="30"/>
      <c r="O307" s="2"/>
      <c r="P307" s="30"/>
      <c r="Q307" s="32" t="s">
        <v>0</v>
      </c>
      <c r="R307" s="24"/>
      <c r="S307" s="24" t="str">
        <f t="shared" ref="S307" si="601">+RIGHT(O307,7)</f>
        <v/>
      </c>
      <c r="T307" s="2"/>
      <c r="U307" s="3" t="s">
        <v>1</v>
      </c>
      <c r="V307" s="3" t="s">
        <v>3</v>
      </c>
      <c r="W307" s="16">
        <f t="shared" ref="W307" si="602">+AI307</f>
        <v>0</v>
      </c>
      <c r="X307" s="16">
        <f t="shared" ref="X307" si="603">+AJ307</f>
        <v>0</v>
      </c>
      <c r="Y307" s="3" t="s">
        <v>4</v>
      </c>
      <c r="Z307" s="18">
        <f t="shared" ref="Z307" si="604">+F307</f>
        <v>0</v>
      </c>
      <c r="AA307" s="61"/>
      <c r="AB307" s="65"/>
      <c r="AC307" s="16">
        <f>+AB307*0.18</f>
        <v>0</v>
      </c>
      <c r="AD307" s="16">
        <f>+AB307+AC307</f>
        <v>0</v>
      </c>
      <c r="AE307" s="68"/>
      <c r="AF307" s="16">
        <f t="shared" ref="AF307" si="605">+AB307*AE307</f>
        <v>0</v>
      </c>
      <c r="AG307" s="16">
        <f t="shared" ref="AG307" si="606">+AC307*AE307</f>
        <v>0</v>
      </c>
      <c r="AH307" s="16">
        <f t="shared" ref="AH307" si="607">+AD307*AE307</f>
        <v>0</v>
      </c>
      <c r="AI307" s="16">
        <f t="shared" ref="AI307" si="608">+ROUND(AF307,2)</f>
        <v>0</v>
      </c>
      <c r="AJ307" s="16">
        <f t="shared" ref="AJ307" si="609">+ROUND(AG307,2)</f>
        <v>0</v>
      </c>
      <c r="AK307" s="16">
        <f t="shared" ref="AK307" si="610">+AI307+AJ307</f>
        <v>0</v>
      </c>
      <c r="AL307" s="16">
        <f t="shared" ref="AL307" si="611">+AI307+AJ307-AK307</f>
        <v>0</v>
      </c>
      <c r="AM307" s="44"/>
      <c r="AN307" s="41" t="str">
        <f t="shared" ref="AN307" si="612">+LEFT(AM307,2)</f>
        <v/>
      </c>
      <c r="AO307" s="41" t="str">
        <f t="shared" ref="AO307" si="613">+MID(AM307,4,2)</f>
        <v/>
      </c>
      <c r="AP307" s="41" t="str">
        <f t="shared" ref="AP307" si="614">+RIGHT(AM307,2)</f>
        <v/>
      </c>
      <c r="AQ307" s="41" t="str">
        <f t="shared" ref="AQ307" si="615">+CONCATENATE(AN307,AO307,AP307)</f>
        <v/>
      </c>
      <c r="AR307" s="45">
        <f t="shared" ref="AR307" si="616">+AM307+30</f>
        <v>30</v>
      </c>
      <c r="AS307" s="46">
        <f t="shared" ref="AS307" si="617">+DAY(AR307)</f>
        <v>30</v>
      </c>
      <c r="AT307" s="41">
        <f t="shared" ref="AT307" si="618">+MONTH(AR307)</f>
        <v>1</v>
      </c>
      <c r="AU307" s="41">
        <f t="shared" ref="AU307" si="619">+YEAR(AR307)</f>
        <v>1900</v>
      </c>
      <c r="AV307" s="41" t="str">
        <f t="shared" ref="AV307" si="620">+CONCATENATE(TEXT(AS307,"00"),TEXT(AT307,"00"),RIGHT(AU307,2))</f>
        <v>300100</v>
      </c>
    </row>
    <row r="308" spans="1:48" hidden="1" x14ac:dyDescent="0.25">
      <c r="A308" s="31"/>
      <c r="B308" s="31"/>
      <c r="C308" s="3"/>
      <c r="D308" s="3"/>
      <c r="E308" s="2"/>
      <c r="F308" s="3"/>
      <c r="G308" s="3"/>
      <c r="H308" s="16"/>
      <c r="I308" s="16"/>
      <c r="J308" s="3"/>
      <c r="K308" s="17"/>
      <c r="L308" s="16"/>
      <c r="M308" s="3"/>
      <c r="N308" s="3"/>
      <c r="O308" s="2"/>
      <c r="P308" s="3" t="s">
        <v>54</v>
      </c>
      <c r="Q308" s="3"/>
      <c r="R308" s="3"/>
      <c r="S308" s="16"/>
      <c r="T308" s="3"/>
      <c r="U308" s="3"/>
      <c r="V308" s="3"/>
      <c r="W308" s="16"/>
      <c r="X308" s="16"/>
      <c r="Y308" s="3"/>
      <c r="Z308" s="18"/>
      <c r="AA308" s="3"/>
      <c r="AB308" s="16"/>
      <c r="AC308" s="16"/>
      <c r="AD308" s="16"/>
      <c r="AE308" s="9"/>
      <c r="AF308" s="16"/>
      <c r="AG308" s="16"/>
      <c r="AH308" s="16"/>
      <c r="AI308" s="16"/>
      <c r="AJ308" s="16"/>
      <c r="AK308" s="16"/>
      <c r="AL308" s="16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 spans="1:48" hidden="1" x14ac:dyDescent="0.25">
      <c r="A309" s="31"/>
      <c r="B309" s="31"/>
      <c r="C309" s="3"/>
      <c r="D309" s="3"/>
      <c r="E309" s="2"/>
      <c r="F309" s="3"/>
      <c r="G309" s="3"/>
      <c r="H309" s="16"/>
      <c r="I309" s="16"/>
      <c r="J309" s="3"/>
      <c r="K309" s="17"/>
      <c r="L309" s="16"/>
      <c r="M309" s="3"/>
      <c r="N309" s="3"/>
      <c r="O309" s="2"/>
      <c r="P309" s="3" t="s">
        <v>54</v>
      </c>
      <c r="Q309" s="3"/>
      <c r="R309" s="3"/>
      <c r="S309" s="16"/>
      <c r="T309" s="3"/>
      <c r="U309" s="3"/>
      <c r="V309" s="3"/>
      <c r="W309" s="16"/>
      <c r="X309" s="16"/>
      <c r="Y309" s="3"/>
      <c r="Z309" s="18"/>
      <c r="AA309" s="3"/>
      <c r="AB309" s="16"/>
      <c r="AC309" s="16"/>
      <c r="AD309" s="16"/>
      <c r="AE309" s="9"/>
      <c r="AF309" s="16"/>
      <c r="AG309" s="16"/>
      <c r="AH309" s="16"/>
      <c r="AI309" s="16"/>
      <c r="AJ309" s="16"/>
      <c r="AK309" s="16"/>
      <c r="AL309" s="16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 spans="1:48" hidden="1" x14ac:dyDescent="0.25">
      <c r="A310" s="31"/>
      <c r="B310" s="31"/>
      <c r="C310" s="3"/>
      <c r="D310" s="3"/>
      <c r="E310" s="2"/>
      <c r="F310" s="3"/>
      <c r="G310" s="3"/>
      <c r="H310" s="16"/>
      <c r="I310" s="16"/>
      <c r="J310" s="3"/>
      <c r="K310" s="17"/>
      <c r="L310" s="16"/>
      <c r="M310" s="3"/>
      <c r="N310" s="3"/>
      <c r="O310" s="2"/>
      <c r="P310" s="3" t="s">
        <v>54</v>
      </c>
      <c r="Q310" s="3"/>
      <c r="R310" s="3"/>
      <c r="S310" s="16"/>
      <c r="T310" s="3"/>
      <c r="U310" s="3"/>
      <c r="V310" s="3"/>
      <c r="W310" s="16"/>
      <c r="X310" s="16"/>
      <c r="Y310" s="3"/>
      <c r="Z310" s="18"/>
      <c r="AA310" s="3"/>
      <c r="AB310" s="16"/>
      <c r="AC310" s="16"/>
      <c r="AD310" s="16"/>
      <c r="AE310" s="9"/>
      <c r="AF310" s="16"/>
      <c r="AG310" s="16"/>
      <c r="AH310" s="16"/>
      <c r="AI310" s="16"/>
      <c r="AJ310" s="16"/>
      <c r="AK310" s="16"/>
      <c r="AL310" s="16"/>
      <c r="AM310" s="3"/>
      <c r="AN310" s="3"/>
      <c r="AO310" s="3"/>
      <c r="AP310" s="3"/>
      <c r="AQ310" s="3"/>
      <c r="AR310" s="3"/>
      <c r="AS310" s="3"/>
      <c r="AT310" s="3"/>
      <c r="AU310" s="3"/>
      <c r="AV310" s="3"/>
    </row>
    <row r="311" spans="1:48" x14ac:dyDescent="0.25">
      <c r="A311" s="15">
        <f t="shared" ref="A311" si="621">1+A307</f>
        <v>78</v>
      </c>
      <c r="B311" s="15"/>
      <c r="C311" s="2"/>
      <c r="D311" s="2"/>
      <c r="E311" s="24" t="str">
        <f t="shared" ref="E311" si="622">+AQ311</f>
        <v/>
      </c>
      <c r="F311" s="30"/>
      <c r="G311" s="24" t="str">
        <f t="shared" ref="G311" si="623">+AV311</f>
        <v>300100</v>
      </c>
      <c r="H311" s="16">
        <f t="shared" ref="H311" si="624">+AK311</f>
        <v>0</v>
      </c>
      <c r="I311" s="16">
        <f t="shared" ref="I311" si="625">+ROUND(AD311,2)</f>
        <v>0</v>
      </c>
      <c r="J311" s="2"/>
      <c r="K311" s="17">
        <f t="shared" ref="K311" si="626">+AE311</f>
        <v>0</v>
      </c>
      <c r="L311" s="16">
        <f t="shared" ref="L311" si="627">+AJ311</f>
        <v>0</v>
      </c>
      <c r="M311" s="32" t="s">
        <v>5</v>
      </c>
      <c r="N311" s="30"/>
      <c r="O311" s="2"/>
      <c r="P311" s="30"/>
      <c r="Q311" s="32" t="s">
        <v>0</v>
      </c>
      <c r="R311" s="24"/>
      <c r="S311" s="24" t="str">
        <f t="shared" ref="S311" si="628">+RIGHT(O311,7)</f>
        <v/>
      </c>
      <c r="T311" s="2"/>
      <c r="U311" s="3" t="s">
        <v>1</v>
      </c>
      <c r="V311" s="3" t="s">
        <v>3</v>
      </c>
      <c r="W311" s="16">
        <f t="shared" ref="W311" si="629">+AI311</f>
        <v>0</v>
      </c>
      <c r="X311" s="16">
        <f t="shared" ref="X311" si="630">+AJ311</f>
        <v>0</v>
      </c>
      <c r="Y311" s="3" t="s">
        <v>4</v>
      </c>
      <c r="Z311" s="18">
        <f t="shared" ref="Z311" si="631">+F311</f>
        <v>0</v>
      </c>
      <c r="AA311" s="61"/>
      <c r="AB311" s="65"/>
      <c r="AC311" s="16">
        <f>+AB311*0.18</f>
        <v>0</v>
      </c>
      <c r="AD311" s="16">
        <f>+AB311+AC311</f>
        <v>0</v>
      </c>
      <c r="AE311" s="68"/>
      <c r="AF311" s="16">
        <f t="shared" ref="AF311" si="632">+AB311*AE311</f>
        <v>0</v>
      </c>
      <c r="AG311" s="16">
        <f t="shared" ref="AG311" si="633">+AC311*AE311</f>
        <v>0</v>
      </c>
      <c r="AH311" s="16">
        <f t="shared" ref="AH311" si="634">+AD311*AE311</f>
        <v>0</v>
      </c>
      <c r="AI311" s="16">
        <f t="shared" ref="AI311" si="635">+ROUND(AF311,2)</f>
        <v>0</v>
      </c>
      <c r="AJ311" s="16">
        <f t="shared" ref="AJ311" si="636">+ROUND(AG311,2)</f>
        <v>0</v>
      </c>
      <c r="AK311" s="16">
        <f t="shared" ref="AK311" si="637">+AI311+AJ311</f>
        <v>0</v>
      </c>
      <c r="AL311" s="16">
        <f t="shared" ref="AL311" si="638">+AI311+AJ311-AK311</f>
        <v>0</v>
      </c>
      <c r="AM311" s="44"/>
      <c r="AN311" s="41" t="str">
        <f t="shared" ref="AN311" si="639">+LEFT(AM311,2)</f>
        <v/>
      </c>
      <c r="AO311" s="41" t="str">
        <f t="shared" ref="AO311" si="640">+MID(AM311,4,2)</f>
        <v/>
      </c>
      <c r="AP311" s="41" t="str">
        <f t="shared" ref="AP311" si="641">+RIGHT(AM311,2)</f>
        <v/>
      </c>
      <c r="AQ311" s="41" t="str">
        <f t="shared" ref="AQ311" si="642">+CONCATENATE(AN311,AO311,AP311)</f>
        <v/>
      </c>
      <c r="AR311" s="45">
        <f t="shared" ref="AR311" si="643">+AM311+30</f>
        <v>30</v>
      </c>
      <c r="AS311" s="46">
        <f t="shared" ref="AS311" si="644">+DAY(AR311)</f>
        <v>30</v>
      </c>
      <c r="AT311" s="41">
        <f t="shared" ref="AT311" si="645">+MONTH(AR311)</f>
        <v>1</v>
      </c>
      <c r="AU311" s="41">
        <f t="shared" ref="AU311" si="646">+YEAR(AR311)</f>
        <v>1900</v>
      </c>
      <c r="AV311" s="41" t="str">
        <f t="shared" ref="AV311" si="647">+CONCATENATE(TEXT(AS311,"00"),TEXT(AT311,"00"),RIGHT(AU311,2))</f>
        <v>300100</v>
      </c>
    </row>
    <row r="312" spans="1:48" hidden="1" x14ac:dyDescent="0.25">
      <c r="A312" s="31"/>
      <c r="B312" s="31"/>
      <c r="C312" s="3"/>
      <c r="D312" s="3"/>
      <c r="E312" s="2"/>
      <c r="F312" s="3"/>
      <c r="G312" s="3"/>
      <c r="H312" s="16"/>
      <c r="I312" s="16"/>
      <c r="J312" s="3"/>
      <c r="K312" s="17"/>
      <c r="L312" s="16"/>
      <c r="M312" s="3"/>
      <c r="N312" s="3"/>
      <c r="O312" s="2"/>
      <c r="P312" s="3" t="s">
        <v>54</v>
      </c>
      <c r="Q312" s="3"/>
      <c r="R312" s="3"/>
      <c r="S312" s="16"/>
      <c r="T312" s="3"/>
      <c r="U312" s="3"/>
      <c r="V312" s="3"/>
      <c r="W312" s="16"/>
      <c r="X312" s="16"/>
      <c r="Y312" s="3"/>
      <c r="Z312" s="18"/>
      <c r="AA312" s="3"/>
      <c r="AB312" s="16"/>
      <c r="AC312" s="16"/>
      <c r="AD312" s="16"/>
      <c r="AE312" s="9"/>
      <c r="AF312" s="16"/>
      <c r="AG312" s="16"/>
      <c r="AH312" s="16"/>
      <c r="AI312" s="16"/>
      <c r="AJ312" s="16"/>
      <c r="AK312" s="16"/>
      <c r="AL312" s="16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 spans="1:48" hidden="1" x14ac:dyDescent="0.25">
      <c r="A313" s="31"/>
      <c r="B313" s="31"/>
      <c r="C313" s="3"/>
      <c r="D313" s="3"/>
      <c r="E313" s="2"/>
      <c r="F313" s="3"/>
      <c r="G313" s="3"/>
      <c r="H313" s="16"/>
      <c r="I313" s="16"/>
      <c r="J313" s="3"/>
      <c r="K313" s="17"/>
      <c r="L313" s="16"/>
      <c r="M313" s="3"/>
      <c r="N313" s="3"/>
      <c r="O313" s="2"/>
      <c r="P313" s="3" t="s">
        <v>54</v>
      </c>
      <c r="Q313" s="3"/>
      <c r="R313" s="3"/>
      <c r="S313" s="16"/>
      <c r="T313" s="3"/>
      <c r="U313" s="3"/>
      <c r="V313" s="3"/>
      <c r="W313" s="16"/>
      <c r="X313" s="16"/>
      <c r="Y313" s="3"/>
      <c r="Z313" s="18"/>
      <c r="AA313" s="3"/>
      <c r="AB313" s="16"/>
      <c r="AC313" s="16"/>
      <c r="AD313" s="16"/>
      <c r="AE313" s="9"/>
      <c r="AF313" s="16"/>
      <c r="AG313" s="16"/>
      <c r="AH313" s="16"/>
      <c r="AI313" s="16"/>
      <c r="AJ313" s="16"/>
      <c r="AK313" s="16"/>
      <c r="AL313" s="16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 spans="1:48" hidden="1" x14ac:dyDescent="0.25">
      <c r="A314" s="31"/>
      <c r="B314" s="31"/>
      <c r="C314" s="3"/>
      <c r="D314" s="3"/>
      <c r="E314" s="2"/>
      <c r="F314" s="3"/>
      <c r="G314" s="3"/>
      <c r="H314" s="16"/>
      <c r="I314" s="16"/>
      <c r="J314" s="3"/>
      <c r="K314" s="17"/>
      <c r="L314" s="16"/>
      <c r="M314" s="3"/>
      <c r="N314" s="3"/>
      <c r="O314" s="2"/>
      <c r="P314" s="3" t="s">
        <v>54</v>
      </c>
      <c r="Q314" s="3"/>
      <c r="R314" s="3"/>
      <c r="S314" s="16"/>
      <c r="T314" s="3"/>
      <c r="U314" s="3"/>
      <c r="V314" s="3"/>
      <c r="W314" s="16"/>
      <c r="X314" s="16"/>
      <c r="Y314" s="3"/>
      <c r="Z314" s="18"/>
      <c r="AA314" s="3"/>
      <c r="AB314" s="16"/>
      <c r="AC314" s="16"/>
      <c r="AD314" s="16"/>
      <c r="AE314" s="9"/>
      <c r="AF314" s="16"/>
      <c r="AG314" s="16"/>
      <c r="AH314" s="16"/>
      <c r="AI314" s="16"/>
      <c r="AJ314" s="16"/>
      <c r="AK314" s="16"/>
      <c r="AL314" s="16"/>
      <c r="AM314" s="3"/>
      <c r="AN314" s="3"/>
      <c r="AO314" s="3"/>
      <c r="AP314" s="3"/>
      <c r="AQ314" s="3"/>
      <c r="AR314" s="3"/>
      <c r="AS314" s="3"/>
      <c r="AT314" s="3"/>
      <c r="AU314" s="3"/>
      <c r="AV314" s="3"/>
    </row>
    <row r="315" spans="1:48" x14ac:dyDescent="0.25">
      <c r="A315" s="15">
        <f t="shared" ref="A315" si="648">1+A311</f>
        <v>79</v>
      </c>
      <c r="B315" s="15"/>
      <c r="C315" s="2"/>
      <c r="D315" s="2"/>
      <c r="E315" s="24" t="str">
        <f t="shared" ref="E315" si="649">+AQ315</f>
        <v/>
      </c>
      <c r="F315" s="30"/>
      <c r="G315" s="24" t="str">
        <f t="shared" ref="G315" si="650">+AV315</f>
        <v>300100</v>
      </c>
      <c r="H315" s="16">
        <f t="shared" ref="H315" si="651">+AK315</f>
        <v>0</v>
      </c>
      <c r="I315" s="16">
        <f t="shared" ref="I315" si="652">+ROUND(AD315,2)</f>
        <v>0</v>
      </c>
      <c r="J315" s="2"/>
      <c r="K315" s="17">
        <f t="shared" ref="K315" si="653">+AE315</f>
        <v>0</v>
      </c>
      <c r="L315" s="16">
        <f t="shared" ref="L315" si="654">+AJ315</f>
        <v>0</v>
      </c>
      <c r="M315" s="32" t="s">
        <v>5</v>
      </c>
      <c r="N315" s="30"/>
      <c r="O315" s="2"/>
      <c r="P315" s="30"/>
      <c r="Q315" s="32" t="s">
        <v>0</v>
      </c>
      <c r="R315" s="24"/>
      <c r="S315" s="24" t="str">
        <f t="shared" ref="S315" si="655">+RIGHT(O315,7)</f>
        <v/>
      </c>
      <c r="T315" s="2"/>
      <c r="U315" s="3" t="s">
        <v>1</v>
      </c>
      <c r="V315" s="3" t="s">
        <v>3</v>
      </c>
      <c r="W315" s="16">
        <f t="shared" ref="W315" si="656">+AI315</f>
        <v>0</v>
      </c>
      <c r="X315" s="16">
        <f t="shared" ref="X315" si="657">+AJ315</f>
        <v>0</v>
      </c>
      <c r="Y315" s="3" t="s">
        <v>4</v>
      </c>
      <c r="Z315" s="18">
        <f t="shared" ref="Z315" si="658">+F315</f>
        <v>0</v>
      </c>
      <c r="AA315" s="61"/>
      <c r="AB315" s="65"/>
      <c r="AC315" s="16">
        <f>+AB315*0.18</f>
        <v>0</v>
      </c>
      <c r="AD315" s="16">
        <f>+AB315+AC315</f>
        <v>0</v>
      </c>
      <c r="AE315" s="68"/>
      <c r="AF315" s="16">
        <f t="shared" ref="AF315" si="659">+AB315*AE315</f>
        <v>0</v>
      </c>
      <c r="AG315" s="16">
        <f t="shared" ref="AG315" si="660">+AC315*AE315</f>
        <v>0</v>
      </c>
      <c r="AH315" s="16">
        <f t="shared" ref="AH315" si="661">+AD315*AE315</f>
        <v>0</v>
      </c>
      <c r="AI315" s="16">
        <f t="shared" ref="AI315" si="662">+ROUND(AF315,2)</f>
        <v>0</v>
      </c>
      <c r="AJ315" s="16">
        <f t="shared" ref="AJ315" si="663">+ROUND(AG315,2)</f>
        <v>0</v>
      </c>
      <c r="AK315" s="16">
        <f t="shared" ref="AK315" si="664">+AI315+AJ315</f>
        <v>0</v>
      </c>
      <c r="AL315" s="16">
        <f t="shared" ref="AL315" si="665">+AI315+AJ315-AK315</f>
        <v>0</v>
      </c>
      <c r="AM315" s="44"/>
      <c r="AN315" s="41" t="str">
        <f t="shared" ref="AN315" si="666">+LEFT(AM315,2)</f>
        <v/>
      </c>
      <c r="AO315" s="41" t="str">
        <f t="shared" ref="AO315" si="667">+MID(AM315,4,2)</f>
        <v/>
      </c>
      <c r="AP315" s="41" t="str">
        <f t="shared" ref="AP315" si="668">+RIGHT(AM315,2)</f>
        <v/>
      </c>
      <c r="AQ315" s="41" t="str">
        <f t="shared" ref="AQ315" si="669">+CONCATENATE(AN315,AO315,AP315)</f>
        <v/>
      </c>
      <c r="AR315" s="45">
        <f t="shared" ref="AR315" si="670">+AM315+30</f>
        <v>30</v>
      </c>
      <c r="AS315" s="46">
        <f t="shared" ref="AS315" si="671">+DAY(AR315)</f>
        <v>30</v>
      </c>
      <c r="AT315" s="41">
        <f t="shared" ref="AT315" si="672">+MONTH(AR315)</f>
        <v>1</v>
      </c>
      <c r="AU315" s="41">
        <f t="shared" ref="AU315" si="673">+YEAR(AR315)</f>
        <v>1900</v>
      </c>
      <c r="AV315" s="41" t="str">
        <f t="shared" ref="AV315" si="674">+CONCATENATE(TEXT(AS315,"00"),TEXT(AT315,"00"),RIGHT(AU315,2))</f>
        <v>300100</v>
      </c>
    </row>
    <row r="316" spans="1:48" hidden="1" x14ac:dyDescent="0.25">
      <c r="A316" s="31"/>
      <c r="B316" s="31"/>
      <c r="C316" s="3"/>
      <c r="D316" s="3"/>
      <c r="E316" s="2"/>
      <c r="F316" s="3"/>
      <c r="G316" s="3"/>
      <c r="H316" s="16"/>
      <c r="I316" s="16"/>
      <c r="J316" s="3"/>
      <c r="K316" s="17"/>
      <c r="L316" s="16"/>
      <c r="M316" s="3"/>
      <c r="N316" s="3"/>
      <c r="O316" s="2"/>
      <c r="P316" s="3" t="s">
        <v>54</v>
      </c>
      <c r="Q316" s="3"/>
      <c r="R316" s="3"/>
      <c r="S316" s="16"/>
      <c r="T316" s="3"/>
      <c r="U316" s="3"/>
      <c r="V316" s="3"/>
      <c r="W316" s="16"/>
      <c r="X316" s="16"/>
      <c r="Y316" s="3"/>
      <c r="Z316" s="18"/>
      <c r="AA316" s="3"/>
      <c r="AB316" s="16"/>
      <c r="AC316" s="16"/>
      <c r="AD316" s="16"/>
      <c r="AE316" s="9"/>
      <c r="AF316" s="16"/>
      <c r="AG316" s="16"/>
      <c r="AH316" s="16"/>
      <c r="AI316" s="16"/>
      <c r="AJ316" s="16"/>
      <c r="AK316" s="16"/>
      <c r="AL316" s="16"/>
      <c r="AM316" s="3"/>
      <c r="AN316" s="3"/>
      <c r="AO316" s="3"/>
      <c r="AP316" s="3"/>
      <c r="AQ316" s="3"/>
      <c r="AR316" s="3"/>
      <c r="AS316" s="3"/>
      <c r="AT316" s="3"/>
      <c r="AU316" s="3"/>
      <c r="AV316" s="3"/>
    </row>
    <row r="317" spans="1:48" hidden="1" x14ac:dyDescent="0.25">
      <c r="A317" s="31"/>
      <c r="B317" s="31"/>
      <c r="C317" s="3"/>
      <c r="D317" s="3"/>
      <c r="E317" s="2"/>
      <c r="F317" s="3"/>
      <c r="G317" s="3"/>
      <c r="H317" s="16"/>
      <c r="I317" s="16"/>
      <c r="J317" s="3"/>
      <c r="K317" s="17"/>
      <c r="L317" s="16"/>
      <c r="M317" s="3"/>
      <c r="N317" s="3"/>
      <c r="O317" s="2"/>
      <c r="P317" s="3" t="s">
        <v>54</v>
      </c>
      <c r="Q317" s="3"/>
      <c r="R317" s="3"/>
      <c r="S317" s="16"/>
      <c r="T317" s="3"/>
      <c r="U317" s="3"/>
      <c r="V317" s="3"/>
      <c r="W317" s="16"/>
      <c r="X317" s="16"/>
      <c r="Y317" s="3"/>
      <c r="Z317" s="18"/>
      <c r="AA317" s="3"/>
      <c r="AB317" s="16"/>
      <c r="AC317" s="16"/>
      <c r="AD317" s="16"/>
      <c r="AE317" s="9"/>
      <c r="AF317" s="16"/>
      <c r="AG317" s="16"/>
      <c r="AH317" s="16"/>
      <c r="AI317" s="16"/>
      <c r="AJ317" s="16"/>
      <c r="AK317" s="16"/>
      <c r="AL317" s="16"/>
      <c r="AM317" s="3"/>
      <c r="AN317" s="3"/>
      <c r="AO317" s="3"/>
      <c r="AP317" s="3"/>
      <c r="AQ317" s="3"/>
      <c r="AR317" s="3"/>
      <c r="AS317" s="3"/>
      <c r="AT317" s="3"/>
      <c r="AU317" s="3"/>
      <c r="AV317" s="3"/>
    </row>
    <row r="318" spans="1:48" hidden="1" x14ac:dyDescent="0.25">
      <c r="A318" s="31"/>
      <c r="B318" s="31"/>
      <c r="C318" s="3"/>
      <c r="D318" s="3"/>
      <c r="E318" s="2"/>
      <c r="F318" s="3"/>
      <c r="G318" s="3"/>
      <c r="H318" s="16"/>
      <c r="I318" s="16"/>
      <c r="J318" s="3"/>
      <c r="K318" s="17"/>
      <c r="L318" s="16"/>
      <c r="M318" s="3"/>
      <c r="N318" s="3"/>
      <c r="O318" s="2"/>
      <c r="P318" s="3" t="s">
        <v>54</v>
      </c>
      <c r="Q318" s="3"/>
      <c r="R318" s="3"/>
      <c r="S318" s="16"/>
      <c r="T318" s="3"/>
      <c r="U318" s="3"/>
      <c r="V318" s="3"/>
      <c r="W318" s="16"/>
      <c r="X318" s="16"/>
      <c r="Y318" s="3"/>
      <c r="Z318" s="18"/>
      <c r="AA318" s="3"/>
      <c r="AB318" s="16"/>
      <c r="AC318" s="16"/>
      <c r="AD318" s="16"/>
      <c r="AE318" s="9"/>
      <c r="AF318" s="16"/>
      <c r="AG318" s="16"/>
      <c r="AH318" s="16"/>
      <c r="AI318" s="16"/>
      <c r="AJ318" s="16"/>
      <c r="AK318" s="16"/>
      <c r="AL318" s="16"/>
      <c r="AM318" s="3"/>
      <c r="AN318" s="3"/>
      <c r="AO318" s="3"/>
      <c r="AP318" s="3"/>
      <c r="AQ318" s="3"/>
      <c r="AR318" s="3"/>
      <c r="AS318" s="3"/>
      <c r="AT318" s="3"/>
      <c r="AU318" s="3"/>
      <c r="AV318" s="3"/>
    </row>
    <row r="319" spans="1:48" x14ac:dyDescent="0.25">
      <c r="A319" s="15">
        <f t="shared" ref="A319" si="675">1+A315</f>
        <v>80</v>
      </c>
      <c r="B319" s="15"/>
      <c r="C319" s="2"/>
      <c r="D319" s="2"/>
      <c r="E319" s="24" t="str">
        <f t="shared" ref="E319" si="676">+AQ319</f>
        <v/>
      </c>
      <c r="F319" s="30"/>
      <c r="G319" s="24" t="str">
        <f t="shared" ref="G319" si="677">+AV319</f>
        <v>300100</v>
      </c>
      <c r="H319" s="16">
        <f t="shared" ref="H319" si="678">+AK319</f>
        <v>0</v>
      </c>
      <c r="I319" s="16">
        <f t="shared" ref="I319" si="679">+ROUND(AD319,2)</f>
        <v>0</v>
      </c>
      <c r="J319" s="2"/>
      <c r="K319" s="17">
        <f t="shared" ref="K319" si="680">+AE319</f>
        <v>0</v>
      </c>
      <c r="L319" s="16">
        <f t="shared" ref="L319" si="681">+AJ319</f>
        <v>0</v>
      </c>
      <c r="M319" s="32" t="s">
        <v>5</v>
      </c>
      <c r="N319" s="30"/>
      <c r="O319" s="2"/>
      <c r="P319" s="30"/>
      <c r="Q319" s="32" t="s">
        <v>0</v>
      </c>
      <c r="R319" s="24"/>
      <c r="S319" s="24" t="str">
        <f t="shared" ref="S319" si="682">+RIGHT(O319,7)</f>
        <v/>
      </c>
      <c r="T319" s="2"/>
      <c r="U319" s="3" t="s">
        <v>1</v>
      </c>
      <c r="V319" s="3" t="s">
        <v>3</v>
      </c>
      <c r="W319" s="16">
        <f t="shared" ref="W319" si="683">+AI319</f>
        <v>0</v>
      </c>
      <c r="X319" s="16">
        <f t="shared" ref="X319" si="684">+AJ319</f>
        <v>0</v>
      </c>
      <c r="Y319" s="3" t="s">
        <v>4</v>
      </c>
      <c r="Z319" s="18">
        <f t="shared" ref="Z319" si="685">+F319</f>
        <v>0</v>
      </c>
      <c r="AA319" s="61"/>
      <c r="AB319" s="65"/>
      <c r="AC319" s="16">
        <f>+AB319*0.18</f>
        <v>0</v>
      </c>
      <c r="AD319" s="16">
        <f>+AB319+AC319</f>
        <v>0</v>
      </c>
      <c r="AE319" s="68"/>
      <c r="AF319" s="16">
        <f t="shared" ref="AF319" si="686">+AB319*AE319</f>
        <v>0</v>
      </c>
      <c r="AG319" s="16">
        <f t="shared" ref="AG319" si="687">+AC319*AE319</f>
        <v>0</v>
      </c>
      <c r="AH319" s="16">
        <f t="shared" ref="AH319" si="688">+AD319*AE319</f>
        <v>0</v>
      </c>
      <c r="AI319" s="16">
        <f t="shared" ref="AI319" si="689">+ROUND(AF319,2)</f>
        <v>0</v>
      </c>
      <c r="AJ319" s="16">
        <f t="shared" ref="AJ319" si="690">+ROUND(AG319,2)</f>
        <v>0</v>
      </c>
      <c r="AK319" s="16">
        <f t="shared" ref="AK319" si="691">+AI319+AJ319</f>
        <v>0</v>
      </c>
      <c r="AL319" s="16">
        <f t="shared" ref="AL319" si="692">+AI319+AJ319-AK319</f>
        <v>0</v>
      </c>
      <c r="AM319" s="44"/>
      <c r="AN319" s="41" t="str">
        <f t="shared" ref="AN319" si="693">+LEFT(AM319,2)</f>
        <v/>
      </c>
      <c r="AO319" s="41" t="str">
        <f t="shared" ref="AO319" si="694">+MID(AM319,4,2)</f>
        <v/>
      </c>
      <c r="AP319" s="41" t="str">
        <f t="shared" ref="AP319" si="695">+RIGHT(AM319,2)</f>
        <v/>
      </c>
      <c r="AQ319" s="41" t="str">
        <f t="shared" ref="AQ319" si="696">+CONCATENATE(AN319,AO319,AP319)</f>
        <v/>
      </c>
      <c r="AR319" s="45">
        <f t="shared" ref="AR319" si="697">+AM319+30</f>
        <v>30</v>
      </c>
      <c r="AS319" s="46">
        <f t="shared" ref="AS319" si="698">+DAY(AR319)</f>
        <v>30</v>
      </c>
      <c r="AT319" s="41">
        <f t="shared" ref="AT319" si="699">+MONTH(AR319)</f>
        <v>1</v>
      </c>
      <c r="AU319" s="41">
        <f t="shared" ref="AU319" si="700">+YEAR(AR319)</f>
        <v>1900</v>
      </c>
      <c r="AV319" s="41" t="str">
        <f t="shared" ref="AV319" si="701">+CONCATENATE(TEXT(AS319,"00"),TEXT(AT319,"00"),RIGHT(AU319,2))</f>
        <v>300100</v>
      </c>
    </row>
    <row r="320" spans="1:48" hidden="1" x14ac:dyDescent="0.25">
      <c r="A320" s="31"/>
      <c r="B320" s="31"/>
      <c r="C320" s="3"/>
      <c r="D320" s="3"/>
      <c r="E320" s="2"/>
      <c r="F320" s="3"/>
      <c r="G320" s="3"/>
      <c r="H320" s="16"/>
      <c r="I320" s="16"/>
      <c r="J320" s="3"/>
      <c r="K320" s="17"/>
      <c r="L320" s="16"/>
      <c r="M320" s="3"/>
      <c r="N320" s="3"/>
      <c r="O320" s="2"/>
      <c r="P320" s="3" t="s">
        <v>54</v>
      </c>
      <c r="Q320" s="3"/>
      <c r="R320" s="3"/>
      <c r="S320" s="16"/>
      <c r="T320" s="3"/>
      <c r="U320" s="3"/>
      <c r="V320" s="3"/>
      <c r="W320" s="16"/>
      <c r="X320" s="16"/>
      <c r="Y320" s="3"/>
      <c r="Z320" s="18"/>
      <c r="AA320" s="3"/>
      <c r="AB320" s="16"/>
      <c r="AC320" s="16"/>
      <c r="AD320" s="16"/>
      <c r="AE320" s="9"/>
      <c r="AF320" s="16"/>
      <c r="AG320" s="16"/>
      <c r="AH320" s="16"/>
      <c r="AI320" s="16"/>
      <c r="AJ320" s="16"/>
      <c r="AK320" s="16"/>
      <c r="AL320" s="16"/>
      <c r="AM320" s="3"/>
      <c r="AN320" s="3"/>
      <c r="AO320" s="3"/>
      <c r="AP320" s="3"/>
      <c r="AQ320" s="3"/>
      <c r="AR320" s="3"/>
      <c r="AS320" s="3"/>
      <c r="AT320" s="3"/>
      <c r="AU320" s="3"/>
      <c r="AV320" s="3"/>
    </row>
    <row r="321" spans="1:48" hidden="1" x14ac:dyDescent="0.25">
      <c r="A321" s="31"/>
      <c r="B321" s="31"/>
      <c r="C321" s="3"/>
      <c r="D321" s="3"/>
      <c r="E321" s="2"/>
      <c r="F321" s="3"/>
      <c r="G321" s="3"/>
      <c r="H321" s="16"/>
      <c r="I321" s="16"/>
      <c r="J321" s="3"/>
      <c r="K321" s="17"/>
      <c r="L321" s="16"/>
      <c r="M321" s="3"/>
      <c r="N321" s="3"/>
      <c r="O321" s="2"/>
      <c r="P321" s="3" t="s">
        <v>54</v>
      </c>
      <c r="Q321" s="3"/>
      <c r="R321" s="3"/>
      <c r="S321" s="16"/>
      <c r="T321" s="3"/>
      <c r="U321" s="3"/>
      <c r="V321" s="3"/>
      <c r="W321" s="16"/>
      <c r="X321" s="16"/>
      <c r="Y321" s="3"/>
      <c r="Z321" s="18"/>
      <c r="AA321" s="3"/>
      <c r="AB321" s="16"/>
      <c r="AC321" s="16"/>
      <c r="AD321" s="16"/>
      <c r="AE321" s="9"/>
      <c r="AF321" s="16"/>
      <c r="AG321" s="16"/>
      <c r="AH321" s="16"/>
      <c r="AI321" s="16"/>
      <c r="AJ321" s="16"/>
      <c r="AK321" s="16"/>
      <c r="AL321" s="16"/>
      <c r="AM321" s="3"/>
      <c r="AN321" s="3"/>
      <c r="AO321" s="3"/>
      <c r="AP321" s="3"/>
      <c r="AQ321" s="3"/>
      <c r="AR321" s="3"/>
      <c r="AS321" s="3"/>
      <c r="AT321" s="3"/>
      <c r="AU321" s="3"/>
      <c r="AV321" s="3"/>
    </row>
    <row r="322" spans="1:48" hidden="1" x14ac:dyDescent="0.25">
      <c r="A322" s="31"/>
      <c r="B322" s="31"/>
      <c r="C322" s="3"/>
      <c r="D322" s="3"/>
      <c r="E322" s="2"/>
      <c r="F322" s="3"/>
      <c r="G322" s="3"/>
      <c r="H322" s="16"/>
      <c r="I322" s="16"/>
      <c r="J322" s="3"/>
      <c r="K322" s="17"/>
      <c r="L322" s="16"/>
      <c r="M322" s="3"/>
      <c r="N322" s="3"/>
      <c r="O322" s="2"/>
      <c r="P322" s="3" t="s">
        <v>54</v>
      </c>
      <c r="Q322" s="3"/>
      <c r="R322" s="3"/>
      <c r="S322" s="16"/>
      <c r="T322" s="3"/>
      <c r="U322" s="3"/>
      <c r="V322" s="3"/>
      <c r="W322" s="16"/>
      <c r="X322" s="16"/>
      <c r="Y322" s="3"/>
      <c r="Z322" s="18"/>
      <c r="AA322" s="3"/>
      <c r="AB322" s="16"/>
      <c r="AC322" s="16"/>
      <c r="AD322" s="16"/>
      <c r="AE322" s="9"/>
      <c r="AF322" s="16"/>
      <c r="AG322" s="16"/>
      <c r="AH322" s="16"/>
      <c r="AI322" s="16"/>
      <c r="AJ322" s="16"/>
      <c r="AK322" s="16"/>
      <c r="AL322" s="16"/>
      <c r="AM322" s="3"/>
      <c r="AN322" s="3"/>
      <c r="AO322" s="3"/>
      <c r="AP322" s="3"/>
      <c r="AQ322" s="3"/>
      <c r="AR322" s="3"/>
      <c r="AS322" s="3"/>
      <c r="AT322" s="3"/>
      <c r="AU322" s="3"/>
      <c r="AV322" s="3"/>
    </row>
    <row r="323" spans="1:48" x14ac:dyDescent="0.25">
      <c r="A323" s="15">
        <f t="shared" ref="A323" si="702">1+A319</f>
        <v>81</v>
      </c>
      <c r="B323" s="15"/>
      <c r="C323" s="2"/>
      <c r="D323" s="2"/>
      <c r="E323" s="24" t="str">
        <f t="shared" ref="E323" si="703">+AQ323</f>
        <v/>
      </c>
      <c r="F323" s="30"/>
      <c r="G323" s="24" t="str">
        <f t="shared" ref="G323" si="704">+AV323</f>
        <v>300100</v>
      </c>
      <c r="H323" s="16">
        <f t="shared" ref="H323" si="705">+AK323</f>
        <v>0</v>
      </c>
      <c r="I323" s="16">
        <f t="shared" ref="I323" si="706">+ROUND(AD323,2)</f>
        <v>0</v>
      </c>
      <c r="J323" s="2"/>
      <c r="K323" s="17">
        <f t="shared" ref="K323" si="707">+AE323</f>
        <v>0</v>
      </c>
      <c r="L323" s="16">
        <f t="shared" ref="L323" si="708">+AJ323</f>
        <v>0</v>
      </c>
      <c r="M323" s="32" t="s">
        <v>5</v>
      </c>
      <c r="N323" s="30"/>
      <c r="O323" s="2"/>
      <c r="P323" s="30"/>
      <c r="Q323" s="32" t="s">
        <v>0</v>
      </c>
      <c r="R323" s="24"/>
      <c r="S323" s="24" t="str">
        <f t="shared" ref="S323" si="709">+RIGHT(O323,7)</f>
        <v/>
      </c>
      <c r="T323" s="2"/>
      <c r="U323" s="3" t="s">
        <v>1</v>
      </c>
      <c r="V323" s="3" t="s">
        <v>3</v>
      </c>
      <c r="W323" s="16">
        <f t="shared" ref="W323" si="710">+AI323</f>
        <v>0</v>
      </c>
      <c r="X323" s="16">
        <f t="shared" ref="X323" si="711">+AJ323</f>
        <v>0</v>
      </c>
      <c r="Y323" s="3" t="s">
        <v>4</v>
      </c>
      <c r="Z323" s="18">
        <f t="shared" ref="Z323" si="712">+F323</f>
        <v>0</v>
      </c>
      <c r="AA323" s="61"/>
      <c r="AB323" s="65"/>
      <c r="AC323" s="16">
        <f>+AB323*0.18</f>
        <v>0</v>
      </c>
      <c r="AD323" s="16">
        <f>+AB323+AC323</f>
        <v>0</v>
      </c>
      <c r="AE323" s="68"/>
      <c r="AF323" s="16">
        <f t="shared" ref="AF323" si="713">+AB323*AE323</f>
        <v>0</v>
      </c>
      <c r="AG323" s="16">
        <f t="shared" ref="AG323" si="714">+AC323*AE323</f>
        <v>0</v>
      </c>
      <c r="AH323" s="16">
        <f t="shared" ref="AH323" si="715">+AD323*AE323</f>
        <v>0</v>
      </c>
      <c r="AI323" s="16">
        <f t="shared" ref="AI323" si="716">+ROUND(AF323,2)</f>
        <v>0</v>
      </c>
      <c r="AJ323" s="16">
        <f t="shared" ref="AJ323" si="717">+ROUND(AG323,2)</f>
        <v>0</v>
      </c>
      <c r="AK323" s="16">
        <f t="shared" ref="AK323" si="718">+AI323+AJ323</f>
        <v>0</v>
      </c>
      <c r="AL323" s="16">
        <f t="shared" ref="AL323" si="719">+AI323+AJ323-AK323</f>
        <v>0</v>
      </c>
      <c r="AM323" s="44"/>
      <c r="AN323" s="41" t="str">
        <f t="shared" ref="AN323" si="720">+LEFT(AM323,2)</f>
        <v/>
      </c>
      <c r="AO323" s="41" t="str">
        <f t="shared" ref="AO323" si="721">+MID(AM323,4,2)</f>
        <v/>
      </c>
      <c r="AP323" s="41" t="str">
        <f t="shared" ref="AP323" si="722">+RIGHT(AM323,2)</f>
        <v/>
      </c>
      <c r="AQ323" s="41" t="str">
        <f t="shared" ref="AQ323" si="723">+CONCATENATE(AN323,AO323,AP323)</f>
        <v/>
      </c>
      <c r="AR323" s="45">
        <f t="shared" ref="AR323" si="724">+AM323+30</f>
        <v>30</v>
      </c>
      <c r="AS323" s="46">
        <f t="shared" ref="AS323" si="725">+DAY(AR323)</f>
        <v>30</v>
      </c>
      <c r="AT323" s="41">
        <f t="shared" ref="AT323" si="726">+MONTH(AR323)</f>
        <v>1</v>
      </c>
      <c r="AU323" s="41">
        <f t="shared" ref="AU323" si="727">+YEAR(AR323)</f>
        <v>1900</v>
      </c>
      <c r="AV323" s="41" t="str">
        <f t="shared" ref="AV323" si="728">+CONCATENATE(TEXT(AS323,"00"),TEXT(AT323,"00"),RIGHT(AU323,2))</f>
        <v>300100</v>
      </c>
    </row>
    <row r="324" spans="1:48" hidden="1" x14ac:dyDescent="0.25">
      <c r="A324" s="31"/>
      <c r="B324" s="31"/>
      <c r="C324" s="3"/>
      <c r="D324" s="3"/>
      <c r="E324" s="2"/>
      <c r="F324" s="3"/>
      <c r="G324" s="3"/>
      <c r="H324" s="16"/>
      <c r="I324" s="16"/>
      <c r="J324" s="3"/>
      <c r="K324" s="17"/>
      <c r="L324" s="16"/>
      <c r="M324" s="3"/>
      <c r="N324" s="3"/>
      <c r="O324" s="2"/>
      <c r="P324" s="3" t="s">
        <v>54</v>
      </c>
      <c r="Q324" s="3"/>
      <c r="R324" s="3"/>
      <c r="S324" s="16"/>
      <c r="T324" s="3"/>
      <c r="U324" s="3"/>
      <c r="V324" s="3"/>
      <c r="W324" s="16"/>
      <c r="X324" s="16"/>
      <c r="Y324" s="3"/>
      <c r="Z324" s="18"/>
      <c r="AA324" s="3"/>
      <c r="AB324" s="16"/>
      <c r="AC324" s="16"/>
      <c r="AD324" s="16"/>
      <c r="AE324" s="9"/>
      <c r="AF324" s="16"/>
      <c r="AG324" s="16"/>
      <c r="AH324" s="16"/>
      <c r="AI324" s="16"/>
      <c r="AJ324" s="16"/>
      <c r="AK324" s="16"/>
      <c r="AL324" s="16"/>
      <c r="AM324" s="3"/>
      <c r="AN324" s="3"/>
      <c r="AO324" s="3"/>
      <c r="AP324" s="3"/>
      <c r="AQ324" s="3"/>
      <c r="AR324" s="3"/>
      <c r="AS324" s="3"/>
      <c r="AT324" s="3"/>
      <c r="AU324" s="3"/>
      <c r="AV324" s="3"/>
    </row>
    <row r="325" spans="1:48" hidden="1" x14ac:dyDescent="0.25">
      <c r="A325" s="31"/>
      <c r="B325" s="31"/>
      <c r="C325" s="3"/>
      <c r="D325" s="3"/>
      <c r="E325" s="2"/>
      <c r="F325" s="3"/>
      <c r="G325" s="3"/>
      <c r="H325" s="16"/>
      <c r="I325" s="16"/>
      <c r="J325" s="3"/>
      <c r="K325" s="17"/>
      <c r="L325" s="16"/>
      <c r="M325" s="3"/>
      <c r="N325" s="3"/>
      <c r="O325" s="2"/>
      <c r="P325" s="3" t="s">
        <v>54</v>
      </c>
      <c r="Q325" s="3"/>
      <c r="R325" s="3"/>
      <c r="S325" s="16"/>
      <c r="T325" s="3"/>
      <c r="U325" s="3"/>
      <c r="V325" s="3"/>
      <c r="W325" s="16"/>
      <c r="X325" s="16"/>
      <c r="Y325" s="3"/>
      <c r="Z325" s="18"/>
      <c r="AA325" s="3"/>
      <c r="AB325" s="16"/>
      <c r="AC325" s="16"/>
      <c r="AD325" s="16"/>
      <c r="AE325" s="9"/>
      <c r="AF325" s="16"/>
      <c r="AG325" s="16"/>
      <c r="AH325" s="16"/>
      <c r="AI325" s="16"/>
      <c r="AJ325" s="16"/>
      <c r="AK325" s="16"/>
      <c r="AL325" s="16"/>
      <c r="AM325" s="3"/>
      <c r="AN325" s="3"/>
      <c r="AO325" s="3"/>
      <c r="AP325" s="3"/>
      <c r="AQ325" s="3"/>
      <c r="AR325" s="3"/>
      <c r="AS325" s="3"/>
      <c r="AT325" s="3"/>
      <c r="AU325" s="3"/>
      <c r="AV325" s="3"/>
    </row>
    <row r="326" spans="1:48" hidden="1" x14ac:dyDescent="0.25">
      <c r="A326" s="31"/>
      <c r="B326" s="31"/>
      <c r="C326" s="3"/>
      <c r="D326" s="3"/>
      <c r="E326" s="2"/>
      <c r="F326" s="3"/>
      <c r="G326" s="3"/>
      <c r="H326" s="16"/>
      <c r="I326" s="16"/>
      <c r="J326" s="3"/>
      <c r="K326" s="17"/>
      <c r="L326" s="16"/>
      <c r="M326" s="3"/>
      <c r="N326" s="3"/>
      <c r="O326" s="2"/>
      <c r="P326" s="3" t="s">
        <v>54</v>
      </c>
      <c r="Q326" s="3"/>
      <c r="R326" s="3"/>
      <c r="S326" s="16"/>
      <c r="T326" s="3"/>
      <c r="U326" s="3"/>
      <c r="V326" s="3"/>
      <c r="W326" s="16"/>
      <c r="X326" s="16"/>
      <c r="Y326" s="3"/>
      <c r="Z326" s="18"/>
      <c r="AA326" s="3"/>
      <c r="AB326" s="16"/>
      <c r="AC326" s="16"/>
      <c r="AD326" s="16"/>
      <c r="AE326" s="9"/>
      <c r="AF326" s="16"/>
      <c r="AG326" s="16"/>
      <c r="AH326" s="16"/>
      <c r="AI326" s="16"/>
      <c r="AJ326" s="16"/>
      <c r="AK326" s="16"/>
      <c r="AL326" s="16"/>
      <c r="AM326" s="3"/>
      <c r="AN326" s="3"/>
      <c r="AO326" s="3"/>
      <c r="AP326" s="3"/>
      <c r="AQ326" s="3"/>
      <c r="AR326" s="3"/>
      <c r="AS326" s="3"/>
      <c r="AT326" s="3"/>
      <c r="AU326" s="3"/>
      <c r="AV326" s="3"/>
    </row>
    <row r="327" spans="1:48" x14ac:dyDescent="0.25">
      <c r="A327" s="15">
        <f t="shared" ref="A327" si="729">1+A323</f>
        <v>82</v>
      </c>
      <c r="B327" s="15"/>
      <c r="C327" s="2"/>
      <c r="D327" s="2"/>
      <c r="E327" s="24" t="str">
        <f t="shared" ref="E327" si="730">+AQ327</f>
        <v/>
      </c>
      <c r="F327" s="30"/>
      <c r="G327" s="24" t="str">
        <f t="shared" ref="G327" si="731">+AV327</f>
        <v>300100</v>
      </c>
      <c r="H327" s="16">
        <f t="shared" ref="H327" si="732">+AK327</f>
        <v>0</v>
      </c>
      <c r="I327" s="16">
        <f t="shared" ref="I327" si="733">+ROUND(AD327,2)</f>
        <v>0</v>
      </c>
      <c r="J327" s="2"/>
      <c r="K327" s="17">
        <f t="shared" ref="K327" si="734">+AE327</f>
        <v>0</v>
      </c>
      <c r="L327" s="16">
        <f t="shared" ref="L327" si="735">+AJ327</f>
        <v>0</v>
      </c>
      <c r="M327" s="32" t="s">
        <v>5</v>
      </c>
      <c r="N327" s="30"/>
      <c r="O327" s="2"/>
      <c r="P327" s="30"/>
      <c r="Q327" s="32" t="s">
        <v>0</v>
      </c>
      <c r="R327" s="24"/>
      <c r="S327" s="24" t="str">
        <f t="shared" ref="S327" si="736">+RIGHT(O327,7)</f>
        <v/>
      </c>
      <c r="T327" s="2"/>
      <c r="U327" s="3" t="s">
        <v>1</v>
      </c>
      <c r="V327" s="3" t="s">
        <v>3</v>
      </c>
      <c r="W327" s="16">
        <f t="shared" ref="W327" si="737">+AI327</f>
        <v>0</v>
      </c>
      <c r="X327" s="16">
        <f t="shared" ref="X327" si="738">+AJ327</f>
        <v>0</v>
      </c>
      <c r="Y327" s="3" t="s">
        <v>4</v>
      </c>
      <c r="Z327" s="18">
        <f t="shared" ref="Z327" si="739">+F327</f>
        <v>0</v>
      </c>
      <c r="AA327" s="61"/>
      <c r="AB327" s="65"/>
      <c r="AC327" s="16">
        <f>+AB327*0.18</f>
        <v>0</v>
      </c>
      <c r="AD327" s="16">
        <f>+AB327+AC327</f>
        <v>0</v>
      </c>
      <c r="AE327" s="68"/>
      <c r="AF327" s="16">
        <f t="shared" ref="AF327" si="740">+AB327*AE327</f>
        <v>0</v>
      </c>
      <c r="AG327" s="16">
        <f t="shared" ref="AG327" si="741">+AC327*AE327</f>
        <v>0</v>
      </c>
      <c r="AH327" s="16">
        <f t="shared" ref="AH327" si="742">+AD327*AE327</f>
        <v>0</v>
      </c>
      <c r="AI327" s="16">
        <f t="shared" ref="AI327" si="743">+ROUND(AF327,2)</f>
        <v>0</v>
      </c>
      <c r="AJ327" s="16">
        <f t="shared" ref="AJ327" si="744">+ROUND(AG327,2)</f>
        <v>0</v>
      </c>
      <c r="AK327" s="16">
        <f t="shared" ref="AK327" si="745">+AI327+AJ327</f>
        <v>0</v>
      </c>
      <c r="AL327" s="16">
        <f t="shared" ref="AL327" si="746">+AI327+AJ327-AK327</f>
        <v>0</v>
      </c>
      <c r="AM327" s="44"/>
      <c r="AN327" s="41" t="str">
        <f t="shared" ref="AN327" si="747">+LEFT(AM327,2)</f>
        <v/>
      </c>
      <c r="AO327" s="41" t="str">
        <f t="shared" ref="AO327" si="748">+MID(AM327,4,2)</f>
        <v/>
      </c>
      <c r="AP327" s="41" t="str">
        <f t="shared" ref="AP327" si="749">+RIGHT(AM327,2)</f>
        <v/>
      </c>
      <c r="AQ327" s="41" t="str">
        <f t="shared" ref="AQ327" si="750">+CONCATENATE(AN327,AO327,AP327)</f>
        <v/>
      </c>
      <c r="AR327" s="45">
        <f t="shared" ref="AR327" si="751">+AM327+30</f>
        <v>30</v>
      </c>
      <c r="AS327" s="46">
        <f t="shared" ref="AS327" si="752">+DAY(AR327)</f>
        <v>30</v>
      </c>
      <c r="AT327" s="41">
        <f t="shared" ref="AT327" si="753">+MONTH(AR327)</f>
        <v>1</v>
      </c>
      <c r="AU327" s="41">
        <f t="shared" ref="AU327" si="754">+YEAR(AR327)</f>
        <v>1900</v>
      </c>
      <c r="AV327" s="41" t="str">
        <f t="shared" ref="AV327" si="755">+CONCATENATE(TEXT(AS327,"00"),TEXT(AT327,"00"),RIGHT(AU327,2))</f>
        <v>300100</v>
      </c>
    </row>
    <row r="328" spans="1:48" hidden="1" x14ac:dyDescent="0.25">
      <c r="A328" s="31"/>
      <c r="B328" s="31"/>
      <c r="C328" s="3"/>
      <c r="D328" s="3"/>
      <c r="E328" s="2"/>
      <c r="F328" s="3"/>
      <c r="G328" s="3"/>
      <c r="H328" s="16"/>
      <c r="I328" s="16"/>
      <c r="J328" s="3"/>
      <c r="K328" s="17"/>
      <c r="L328" s="16"/>
      <c r="M328" s="3"/>
      <c r="N328" s="3"/>
      <c r="O328" s="2"/>
      <c r="P328" s="3" t="s">
        <v>54</v>
      </c>
      <c r="Q328" s="3"/>
      <c r="R328" s="3"/>
      <c r="S328" s="16"/>
      <c r="T328" s="3"/>
      <c r="U328" s="3"/>
      <c r="V328" s="3"/>
      <c r="W328" s="16"/>
      <c r="X328" s="16"/>
      <c r="Y328" s="3"/>
      <c r="Z328" s="18"/>
      <c r="AA328" s="3"/>
      <c r="AB328" s="16"/>
      <c r="AC328" s="16"/>
      <c r="AD328" s="16"/>
      <c r="AE328" s="9"/>
      <c r="AF328" s="16"/>
      <c r="AG328" s="16"/>
      <c r="AH328" s="16"/>
      <c r="AI328" s="16"/>
      <c r="AJ328" s="16"/>
      <c r="AK328" s="16"/>
      <c r="AL328" s="16"/>
      <c r="AM328" s="3"/>
      <c r="AN328" s="3"/>
      <c r="AO328" s="3"/>
      <c r="AP328" s="3"/>
      <c r="AQ328" s="3"/>
      <c r="AR328" s="3"/>
      <c r="AS328" s="3"/>
      <c r="AT328" s="3"/>
      <c r="AU328" s="3"/>
      <c r="AV328" s="3"/>
    </row>
    <row r="329" spans="1:48" hidden="1" x14ac:dyDescent="0.25">
      <c r="A329" s="31"/>
      <c r="B329" s="31"/>
      <c r="C329" s="3"/>
      <c r="D329" s="3"/>
      <c r="E329" s="2"/>
      <c r="F329" s="3"/>
      <c r="G329" s="3"/>
      <c r="H329" s="16"/>
      <c r="I329" s="16"/>
      <c r="J329" s="3"/>
      <c r="K329" s="17"/>
      <c r="L329" s="16"/>
      <c r="M329" s="3"/>
      <c r="N329" s="3"/>
      <c r="O329" s="2"/>
      <c r="P329" s="3" t="s">
        <v>54</v>
      </c>
      <c r="Q329" s="3"/>
      <c r="R329" s="3"/>
      <c r="S329" s="16"/>
      <c r="T329" s="3"/>
      <c r="U329" s="3"/>
      <c r="V329" s="3"/>
      <c r="W329" s="16"/>
      <c r="X329" s="16"/>
      <c r="Y329" s="3"/>
      <c r="Z329" s="18"/>
      <c r="AA329" s="3"/>
      <c r="AB329" s="16"/>
      <c r="AC329" s="16"/>
      <c r="AD329" s="16"/>
      <c r="AE329" s="9"/>
      <c r="AF329" s="16"/>
      <c r="AG329" s="16"/>
      <c r="AH329" s="16"/>
      <c r="AI329" s="16"/>
      <c r="AJ329" s="16"/>
      <c r="AK329" s="16"/>
      <c r="AL329" s="16"/>
      <c r="AM329" s="3"/>
      <c r="AN329" s="3"/>
      <c r="AO329" s="3"/>
      <c r="AP329" s="3"/>
      <c r="AQ329" s="3"/>
      <c r="AR329" s="3"/>
      <c r="AS329" s="3"/>
      <c r="AT329" s="3"/>
      <c r="AU329" s="3"/>
      <c r="AV329" s="3"/>
    </row>
    <row r="330" spans="1:48" hidden="1" x14ac:dyDescent="0.25">
      <c r="A330" s="31"/>
      <c r="B330" s="31"/>
      <c r="C330" s="3"/>
      <c r="D330" s="3"/>
      <c r="E330" s="2"/>
      <c r="F330" s="3"/>
      <c r="G330" s="3"/>
      <c r="H330" s="16"/>
      <c r="I330" s="16"/>
      <c r="J330" s="3"/>
      <c r="K330" s="17"/>
      <c r="L330" s="16"/>
      <c r="M330" s="3"/>
      <c r="N330" s="3"/>
      <c r="O330" s="2"/>
      <c r="P330" s="3" t="s">
        <v>54</v>
      </c>
      <c r="Q330" s="3"/>
      <c r="R330" s="3"/>
      <c r="S330" s="16"/>
      <c r="T330" s="3"/>
      <c r="U330" s="3"/>
      <c r="V330" s="3"/>
      <c r="W330" s="16"/>
      <c r="X330" s="16"/>
      <c r="Y330" s="3"/>
      <c r="Z330" s="18"/>
      <c r="AA330" s="3"/>
      <c r="AB330" s="16"/>
      <c r="AC330" s="16"/>
      <c r="AD330" s="16"/>
      <c r="AE330" s="9"/>
      <c r="AF330" s="16"/>
      <c r="AG330" s="16"/>
      <c r="AH330" s="16"/>
      <c r="AI330" s="16"/>
      <c r="AJ330" s="16"/>
      <c r="AK330" s="16"/>
      <c r="AL330" s="16"/>
      <c r="AM330" s="3"/>
      <c r="AN330" s="3"/>
      <c r="AO330" s="3"/>
      <c r="AP330" s="3"/>
      <c r="AQ330" s="3"/>
      <c r="AR330" s="3"/>
      <c r="AS330" s="3"/>
      <c r="AT330" s="3"/>
      <c r="AU330" s="3"/>
      <c r="AV330" s="3"/>
    </row>
    <row r="331" spans="1:48" x14ac:dyDescent="0.25">
      <c r="A331" s="15">
        <f t="shared" ref="A331" si="756">1+A327</f>
        <v>83</v>
      </c>
      <c r="B331" s="15"/>
      <c r="C331" s="2"/>
      <c r="D331" s="2"/>
      <c r="E331" s="24" t="str">
        <f t="shared" ref="E331" si="757">+AQ331</f>
        <v/>
      </c>
      <c r="F331" s="30"/>
      <c r="G331" s="24" t="str">
        <f t="shared" ref="G331" si="758">+AV331</f>
        <v>300100</v>
      </c>
      <c r="H331" s="16">
        <f t="shared" ref="H331" si="759">+AK331</f>
        <v>0</v>
      </c>
      <c r="I331" s="16">
        <f t="shared" ref="I331" si="760">+ROUND(AD331,2)</f>
        <v>0</v>
      </c>
      <c r="J331" s="2"/>
      <c r="K331" s="17">
        <f t="shared" ref="K331" si="761">+AE331</f>
        <v>0</v>
      </c>
      <c r="L331" s="16">
        <f t="shared" ref="L331" si="762">+AJ331</f>
        <v>0</v>
      </c>
      <c r="M331" s="32" t="s">
        <v>5</v>
      </c>
      <c r="N331" s="30"/>
      <c r="O331" s="2"/>
      <c r="P331" s="30"/>
      <c r="Q331" s="32" t="s">
        <v>0</v>
      </c>
      <c r="R331" s="24"/>
      <c r="S331" s="24" t="str">
        <f t="shared" ref="S331" si="763">+RIGHT(O331,7)</f>
        <v/>
      </c>
      <c r="T331" s="2"/>
      <c r="U331" s="3" t="s">
        <v>1</v>
      </c>
      <c r="V331" s="3" t="s">
        <v>3</v>
      </c>
      <c r="W331" s="16">
        <f t="shared" ref="W331" si="764">+AI331</f>
        <v>0</v>
      </c>
      <c r="X331" s="16">
        <f t="shared" ref="X331" si="765">+AJ331</f>
        <v>0</v>
      </c>
      <c r="Y331" s="3" t="s">
        <v>4</v>
      </c>
      <c r="Z331" s="18">
        <f t="shared" ref="Z331" si="766">+F331</f>
        <v>0</v>
      </c>
      <c r="AA331" s="61"/>
      <c r="AB331" s="65"/>
      <c r="AC331" s="16">
        <f>+AB331*0.18</f>
        <v>0</v>
      </c>
      <c r="AD331" s="16">
        <f>+AB331+AC331</f>
        <v>0</v>
      </c>
      <c r="AE331" s="68"/>
      <c r="AF331" s="16">
        <f t="shared" ref="AF331" si="767">+AB331*AE331</f>
        <v>0</v>
      </c>
      <c r="AG331" s="16">
        <f t="shared" ref="AG331" si="768">+AC331*AE331</f>
        <v>0</v>
      </c>
      <c r="AH331" s="16">
        <f t="shared" ref="AH331" si="769">+AD331*AE331</f>
        <v>0</v>
      </c>
      <c r="AI331" s="16">
        <f t="shared" ref="AI331" si="770">+ROUND(AF331,2)</f>
        <v>0</v>
      </c>
      <c r="AJ331" s="16">
        <f t="shared" ref="AJ331" si="771">+ROUND(AG331,2)</f>
        <v>0</v>
      </c>
      <c r="AK331" s="16">
        <f t="shared" ref="AK331" si="772">+AI331+AJ331</f>
        <v>0</v>
      </c>
      <c r="AL331" s="16">
        <f t="shared" ref="AL331" si="773">+AI331+AJ331-AK331</f>
        <v>0</v>
      </c>
      <c r="AM331" s="44"/>
      <c r="AN331" s="41" t="str">
        <f t="shared" ref="AN331" si="774">+LEFT(AM331,2)</f>
        <v/>
      </c>
      <c r="AO331" s="41" t="str">
        <f t="shared" ref="AO331" si="775">+MID(AM331,4,2)</f>
        <v/>
      </c>
      <c r="AP331" s="41" t="str">
        <f t="shared" ref="AP331" si="776">+RIGHT(AM331,2)</f>
        <v/>
      </c>
      <c r="AQ331" s="41" t="str">
        <f t="shared" ref="AQ331" si="777">+CONCATENATE(AN331,AO331,AP331)</f>
        <v/>
      </c>
      <c r="AR331" s="45">
        <f t="shared" ref="AR331" si="778">+AM331+30</f>
        <v>30</v>
      </c>
      <c r="AS331" s="46">
        <f t="shared" ref="AS331" si="779">+DAY(AR331)</f>
        <v>30</v>
      </c>
      <c r="AT331" s="41">
        <f t="shared" ref="AT331" si="780">+MONTH(AR331)</f>
        <v>1</v>
      </c>
      <c r="AU331" s="41">
        <f t="shared" ref="AU331" si="781">+YEAR(AR331)</f>
        <v>1900</v>
      </c>
      <c r="AV331" s="41" t="str">
        <f t="shared" ref="AV331" si="782">+CONCATENATE(TEXT(AS331,"00"),TEXT(AT331,"00"),RIGHT(AU331,2))</f>
        <v>300100</v>
      </c>
    </row>
    <row r="332" spans="1:48" hidden="1" x14ac:dyDescent="0.25">
      <c r="A332" s="31"/>
      <c r="B332" s="31"/>
      <c r="C332" s="3"/>
      <c r="D332" s="3"/>
      <c r="E332" s="2"/>
      <c r="F332" s="3"/>
      <c r="G332" s="3"/>
      <c r="H332" s="16"/>
      <c r="I332" s="16"/>
      <c r="J332" s="3"/>
      <c r="K332" s="17"/>
      <c r="L332" s="16"/>
      <c r="M332" s="3"/>
      <c r="N332" s="3"/>
      <c r="O332" s="2"/>
      <c r="P332" s="3" t="s">
        <v>54</v>
      </c>
      <c r="Q332" s="3"/>
      <c r="R332" s="3"/>
      <c r="S332" s="16"/>
      <c r="T332" s="3"/>
      <c r="U332" s="3"/>
      <c r="V332" s="3"/>
      <c r="W332" s="16"/>
      <c r="X332" s="16"/>
      <c r="Y332" s="3"/>
      <c r="Z332" s="18"/>
      <c r="AA332" s="3"/>
      <c r="AB332" s="16"/>
      <c r="AC332" s="16"/>
      <c r="AD332" s="16"/>
      <c r="AE332" s="9"/>
      <c r="AF332" s="16"/>
      <c r="AG332" s="16"/>
      <c r="AH332" s="16"/>
      <c r="AI332" s="16"/>
      <c r="AJ332" s="16"/>
      <c r="AK332" s="16"/>
      <c r="AL332" s="16"/>
      <c r="AM332" s="3"/>
      <c r="AN332" s="3"/>
      <c r="AO332" s="3"/>
      <c r="AP332" s="3"/>
      <c r="AQ332" s="3"/>
      <c r="AR332" s="3"/>
      <c r="AS332" s="3"/>
      <c r="AT332" s="3"/>
      <c r="AU332" s="3"/>
      <c r="AV332" s="3"/>
    </row>
    <row r="333" spans="1:48" hidden="1" x14ac:dyDescent="0.25">
      <c r="A333" s="31"/>
      <c r="B333" s="31"/>
      <c r="C333" s="3"/>
      <c r="D333" s="3"/>
      <c r="E333" s="2"/>
      <c r="F333" s="3"/>
      <c r="G333" s="3"/>
      <c r="H333" s="16"/>
      <c r="I333" s="16"/>
      <c r="J333" s="3"/>
      <c r="K333" s="17"/>
      <c r="L333" s="16"/>
      <c r="M333" s="3"/>
      <c r="N333" s="3"/>
      <c r="O333" s="2"/>
      <c r="P333" s="3" t="s">
        <v>54</v>
      </c>
      <c r="Q333" s="3"/>
      <c r="R333" s="3"/>
      <c r="S333" s="16"/>
      <c r="T333" s="3"/>
      <c r="U333" s="3"/>
      <c r="V333" s="3"/>
      <c r="W333" s="16"/>
      <c r="X333" s="16"/>
      <c r="Y333" s="3"/>
      <c r="Z333" s="18"/>
      <c r="AA333" s="3"/>
      <c r="AB333" s="16"/>
      <c r="AC333" s="16"/>
      <c r="AD333" s="16"/>
      <c r="AE333" s="9"/>
      <c r="AF333" s="16"/>
      <c r="AG333" s="16"/>
      <c r="AH333" s="16"/>
      <c r="AI333" s="16"/>
      <c r="AJ333" s="16"/>
      <c r="AK333" s="16"/>
      <c r="AL333" s="16"/>
      <c r="AM333" s="3"/>
      <c r="AN333" s="3"/>
      <c r="AO333" s="3"/>
      <c r="AP333" s="3"/>
      <c r="AQ333" s="3"/>
      <c r="AR333" s="3"/>
      <c r="AS333" s="3"/>
      <c r="AT333" s="3"/>
      <c r="AU333" s="3"/>
      <c r="AV333" s="3"/>
    </row>
    <row r="334" spans="1:48" hidden="1" x14ac:dyDescent="0.25">
      <c r="A334" s="31"/>
      <c r="B334" s="31"/>
      <c r="C334" s="3"/>
      <c r="D334" s="3"/>
      <c r="E334" s="2"/>
      <c r="F334" s="3"/>
      <c r="G334" s="3"/>
      <c r="H334" s="16"/>
      <c r="I334" s="16"/>
      <c r="J334" s="3"/>
      <c r="K334" s="17"/>
      <c r="L334" s="16"/>
      <c r="M334" s="3"/>
      <c r="N334" s="3"/>
      <c r="O334" s="2"/>
      <c r="P334" s="3" t="s">
        <v>54</v>
      </c>
      <c r="Q334" s="3"/>
      <c r="R334" s="3"/>
      <c r="S334" s="16"/>
      <c r="T334" s="3"/>
      <c r="U334" s="3"/>
      <c r="V334" s="3"/>
      <c r="W334" s="16"/>
      <c r="X334" s="16"/>
      <c r="Y334" s="3"/>
      <c r="Z334" s="18"/>
      <c r="AA334" s="3"/>
      <c r="AB334" s="16"/>
      <c r="AC334" s="16"/>
      <c r="AD334" s="16"/>
      <c r="AE334" s="9"/>
      <c r="AF334" s="16"/>
      <c r="AG334" s="16"/>
      <c r="AH334" s="16"/>
      <c r="AI334" s="16"/>
      <c r="AJ334" s="16"/>
      <c r="AK334" s="16"/>
      <c r="AL334" s="16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 spans="1:48" x14ac:dyDescent="0.25">
      <c r="A335" s="15">
        <f t="shared" ref="A335" si="783">1+A331</f>
        <v>84</v>
      </c>
      <c r="B335" s="15"/>
      <c r="C335" s="2"/>
      <c r="D335" s="2"/>
      <c r="E335" s="24" t="str">
        <f t="shared" ref="E335" si="784">+AQ335</f>
        <v/>
      </c>
      <c r="F335" s="30"/>
      <c r="G335" s="24" t="str">
        <f t="shared" ref="G335" si="785">+AV335</f>
        <v>300100</v>
      </c>
      <c r="H335" s="16">
        <f t="shared" ref="H335" si="786">+AK335</f>
        <v>0</v>
      </c>
      <c r="I335" s="16">
        <f t="shared" ref="I335" si="787">+ROUND(AD335,2)</f>
        <v>0</v>
      </c>
      <c r="J335" s="2"/>
      <c r="K335" s="17">
        <f t="shared" ref="K335" si="788">+AE335</f>
        <v>0</v>
      </c>
      <c r="L335" s="16">
        <f t="shared" ref="L335" si="789">+AJ335</f>
        <v>0</v>
      </c>
      <c r="M335" s="32" t="s">
        <v>5</v>
      </c>
      <c r="N335" s="30"/>
      <c r="O335" s="2"/>
      <c r="P335" s="30"/>
      <c r="Q335" s="32" t="s">
        <v>0</v>
      </c>
      <c r="R335" s="24"/>
      <c r="S335" s="24" t="str">
        <f t="shared" ref="S335" si="790">+RIGHT(O335,7)</f>
        <v/>
      </c>
      <c r="T335" s="2"/>
      <c r="U335" s="3" t="s">
        <v>1</v>
      </c>
      <c r="V335" s="3" t="s">
        <v>3</v>
      </c>
      <c r="W335" s="16">
        <f t="shared" ref="W335" si="791">+AI335</f>
        <v>0</v>
      </c>
      <c r="X335" s="16">
        <f t="shared" ref="X335" si="792">+AJ335</f>
        <v>0</v>
      </c>
      <c r="Y335" s="3" t="s">
        <v>4</v>
      </c>
      <c r="Z335" s="18">
        <f t="shared" ref="Z335" si="793">+F335</f>
        <v>0</v>
      </c>
      <c r="AA335" s="61"/>
      <c r="AB335" s="65"/>
      <c r="AC335" s="16">
        <f>+AB335*0.18</f>
        <v>0</v>
      </c>
      <c r="AD335" s="16">
        <f>+AB335+AC335</f>
        <v>0</v>
      </c>
      <c r="AE335" s="68"/>
      <c r="AF335" s="16">
        <f t="shared" ref="AF335" si="794">+AB335*AE335</f>
        <v>0</v>
      </c>
      <c r="AG335" s="16">
        <f t="shared" ref="AG335" si="795">+AC335*AE335</f>
        <v>0</v>
      </c>
      <c r="AH335" s="16">
        <f t="shared" ref="AH335" si="796">+AD335*AE335</f>
        <v>0</v>
      </c>
      <c r="AI335" s="16">
        <f t="shared" ref="AI335" si="797">+ROUND(AF335,2)</f>
        <v>0</v>
      </c>
      <c r="AJ335" s="16">
        <f t="shared" ref="AJ335" si="798">+ROUND(AG335,2)</f>
        <v>0</v>
      </c>
      <c r="AK335" s="16">
        <f t="shared" ref="AK335" si="799">+AI335+AJ335</f>
        <v>0</v>
      </c>
      <c r="AL335" s="16">
        <f t="shared" ref="AL335" si="800">+AI335+AJ335-AK335</f>
        <v>0</v>
      </c>
      <c r="AM335" s="44"/>
      <c r="AN335" s="41" t="str">
        <f t="shared" ref="AN335" si="801">+LEFT(AM335,2)</f>
        <v/>
      </c>
      <c r="AO335" s="41" t="str">
        <f t="shared" ref="AO335" si="802">+MID(AM335,4,2)</f>
        <v/>
      </c>
      <c r="AP335" s="41" t="str">
        <f t="shared" ref="AP335" si="803">+RIGHT(AM335,2)</f>
        <v/>
      </c>
      <c r="AQ335" s="41" t="str">
        <f t="shared" ref="AQ335" si="804">+CONCATENATE(AN335,AO335,AP335)</f>
        <v/>
      </c>
      <c r="AR335" s="45">
        <f t="shared" ref="AR335" si="805">+AM335+30</f>
        <v>30</v>
      </c>
      <c r="AS335" s="46">
        <f t="shared" ref="AS335" si="806">+DAY(AR335)</f>
        <v>30</v>
      </c>
      <c r="AT335" s="41">
        <f t="shared" ref="AT335" si="807">+MONTH(AR335)</f>
        <v>1</v>
      </c>
      <c r="AU335" s="41">
        <f t="shared" ref="AU335" si="808">+YEAR(AR335)</f>
        <v>1900</v>
      </c>
      <c r="AV335" s="41" t="str">
        <f t="shared" ref="AV335" si="809">+CONCATENATE(TEXT(AS335,"00"),TEXT(AT335,"00"),RIGHT(AU335,2))</f>
        <v>300100</v>
      </c>
    </row>
    <row r="336" spans="1:48" hidden="1" x14ac:dyDescent="0.25">
      <c r="A336" s="31"/>
      <c r="B336" s="31"/>
      <c r="C336" s="3"/>
      <c r="D336" s="3"/>
      <c r="E336" s="2"/>
      <c r="F336" s="3"/>
      <c r="G336" s="3"/>
      <c r="H336" s="16"/>
      <c r="I336" s="16"/>
      <c r="J336" s="3"/>
      <c r="K336" s="17"/>
      <c r="L336" s="16"/>
      <c r="M336" s="3"/>
      <c r="N336" s="3"/>
      <c r="O336" s="2"/>
      <c r="P336" s="3" t="s">
        <v>54</v>
      </c>
      <c r="Q336" s="3"/>
      <c r="R336" s="3"/>
      <c r="S336" s="16"/>
      <c r="T336" s="3"/>
      <c r="U336" s="3"/>
      <c r="V336" s="3"/>
      <c r="W336" s="16"/>
      <c r="X336" s="16"/>
      <c r="Y336" s="3"/>
      <c r="Z336" s="18"/>
      <c r="AA336" s="3"/>
      <c r="AB336" s="16"/>
      <c r="AC336" s="16"/>
      <c r="AD336" s="16"/>
      <c r="AE336" s="9"/>
      <c r="AF336" s="16"/>
      <c r="AG336" s="16"/>
      <c r="AH336" s="16"/>
      <c r="AI336" s="16"/>
      <c r="AJ336" s="16"/>
      <c r="AK336" s="16"/>
      <c r="AL336" s="16"/>
      <c r="AM336" s="3"/>
      <c r="AN336" s="3"/>
      <c r="AO336" s="3"/>
      <c r="AP336" s="3"/>
      <c r="AQ336" s="3"/>
      <c r="AR336" s="3"/>
      <c r="AS336" s="3"/>
      <c r="AT336" s="3"/>
      <c r="AU336" s="3"/>
      <c r="AV336" s="3"/>
    </row>
    <row r="337" spans="1:48" hidden="1" x14ac:dyDescent="0.25">
      <c r="A337" s="31"/>
      <c r="B337" s="31"/>
      <c r="C337" s="3"/>
      <c r="D337" s="3"/>
      <c r="E337" s="2"/>
      <c r="F337" s="3"/>
      <c r="G337" s="3"/>
      <c r="H337" s="16"/>
      <c r="I337" s="16"/>
      <c r="J337" s="3"/>
      <c r="K337" s="17"/>
      <c r="L337" s="16"/>
      <c r="M337" s="3"/>
      <c r="N337" s="3"/>
      <c r="O337" s="2"/>
      <c r="P337" s="3" t="s">
        <v>54</v>
      </c>
      <c r="Q337" s="3"/>
      <c r="R337" s="3"/>
      <c r="S337" s="16"/>
      <c r="T337" s="3"/>
      <c r="U337" s="3"/>
      <c r="V337" s="3"/>
      <c r="W337" s="16"/>
      <c r="X337" s="16"/>
      <c r="Y337" s="3"/>
      <c r="Z337" s="18"/>
      <c r="AA337" s="3"/>
      <c r="AB337" s="16"/>
      <c r="AC337" s="16"/>
      <c r="AD337" s="16"/>
      <c r="AE337" s="9"/>
      <c r="AF337" s="16"/>
      <c r="AG337" s="16"/>
      <c r="AH337" s="16"/>
      <c r="AI337" s="16"/>
      <c r="AJ337" s="16"/>
      <c r="AK337" s="16"/>
      <c r="AL337" s="16"/>
      <c r="AM337" s="3"/>
      <c r="AN337" s="3"/>
      <c r="AO337" s="3"/>
      <c r="AP337" s="3"/>
      <c r="AQ337" s="3"/>
      <c r="AR337" s="3"/>
      <c r="AS337" s="3"/>
      <c r="AT337" s="3"/>
      <c r="AU337" s="3"/>
      <c r="AV337" s="3"/>
    </row>
    <row r="338" spans="1:48" hidden="1" x14ac:dyDescent="0.25">
      <c r="A338" s="31"/>
      <c r="B338" s="31"/>
      <c r="C338" s="3"/>
      <c r="D338" s="3"/>
      <c r="E338" s="2"/>
      <c r="F338" s="3"/>
      <c r="G338" s="3"/>
      <c r="H338" s="16"/>
      <c r="I338" s="16"/>
      <c r="J338" s="3"/>
      <c r="K338" s="17"/>
      <c r="L338" s="16"/>
      <c r="M338" s="3"/>
      <c r="N338" s="3"/>
      <c r="O338" s="2"/>
      <c r="P338" s="3" t="s">
        <v>54</v>
      </c>
      <c r="Q338" s="3"/>
      <c r="R338" s="3"/>
      <c r="S338" s="16"/>
      <c r="T338" s="3"/>
      <c r="U338" s="3"/>
      <c r="V338" s="3"/>
      <c r="W338" s="16"/>
      <c r="X338" s="16"/>
      <c r="Y338" s="3"/>
      <c r="Z338" s="18"/>
      <c r="AA338" s="3"/>
      <c r="AB338" s="16"/>
      <c r="AC338" s="16"/>
      <c r="AD338" s="16"/>
      <c r="AE338" s="9"/>
      <c r="AF338" s="16"/>
      <c r="AG338" s="16"/>
      <c r="AH338" s="16"/>
      <c r="AI338" s="16"/>
      <c r="AJ338" s="16"/>
      <c r="AK338" s="16"/>
      <c r="AL338" s="16"/>
      <c r="AM338" s="3"/>
      <c r="AN338" s="3"/>
      <c r="AO338" s="3"/>
      <c r="AP338" s="3"/>
      <c r="AQ338" s="3"/>
      <c r="AR338" s="3"/>
      <c r="AS338" s="3"/>
      <c r="AT338" s="3"/>
      <c r="AU338" s="3"/>
      <c r="AV338" s="3"/>
    </row>
    <row r="339" spans="1:48" x14ac:dyDescent="0.25">
      <c r="A339" s="15">
        <f t="shared" ref="A339" si="810">1+A335</f>
        <v>85</v>
      </c>
      <c r="B339" s="15"/>
      <c r="C339" s="2"/>
      <c r="D339" s="2"/>
      <c r="E339" s="24" t="str">
        <f t="shared" ref="E339" si="811">+AQ339</f>
        <v/>
      </c>
      <c r="F339" s="30"/>
      <c r="G339" s="24" t="str">
        <f t="shared" ref="G339" si="812">+AV339</f>
        <v>300100</v>
      </c>
      <c r="H339" s="16">
        <f t="shared" ref="H339" si="813">+AK339</f>
        <v>0</v>
      </c>
      <c r="I339" s="16">
        <f t="shared" ref="I339" si="814">+ROUND(AD339,2)</f>
        <v>0</v>
      </c>
      <c r="J339" s="2"/>
      <c r="K339" s="17">
        <f t="shared" ref="K339" si="815">+AE339</f>
        <v>0</v>
      </c>
      <c r="L339" s="16">
        <f t="shared" ref="L339" si="816">+AJ339</f>
        <v>0</v>
      </c>
      <c r="M339" s="32" t="s">
        <v>5</v>
      </c>
      <c r="N339" s="30"/>
      <c r="O339" s="2"/>
      <c r="P339" s="30"/>
      <c r="Q339" s="32" t="s">
        <v>0</v>
      </c>
      <c r="R339" s="24"/>
      <c r="S339" s="24" t="str">
        <f t="shared" ref="S339" si="817">+RIGHT(O339,7)</f>
        <v/>
      </c>
      <c r="T339" s="2"/>
      <c r="U339" s="3" t="s">
        <v>1</v>
      </c>
      <c r="V339" s="3" t="s">
        <v>3</v>
      </c>
      <c r="W339" s="16">
        <f t="shared" ref="W339" si="818">+AI339</f>
        <v>0</v>
      </c>
      <c r="X339" s="16">
        <f t="shared" ref="X339" si="819">+AJ339</f>
        <v>0</v>
      </c>
      <c r="Y339" s="3" t="s">
        <v>4</v>
      </c>
      <c r="Z339" s="18">
        <f t="shared" ref="Z339" si="820">+F339</f>
        <v>0</v>
      </c>
      <c r="AA339" s="61"/>
      <c r="AB339" s="65"/>
      <c r="AC339" s="16">
        <f>+AB339*0.18</f>
        <v>0</v>
      </c>
      <c r="AD339" s="16">
        <f>+AB339+AC339</f>
        <v>0</v>
      </c>
      <c r="AE339" s="68"/>
      <c r="AF339" s="16">
        <f t="shared" ref="AF339" si="821">+AB339*AE339</f>
        <v>0</v>
      </c>
      <c r="AG339" s="16">
        <f t="shared" ref="AG339" si="822">+AC339*AE339</f>
        <v>0</v>
      </c>
      <c r="AH339" s="16">
        <f t="shared" ref="AH339" si="823">+AD339*AE339</f>
        <v>0</v>
      </c>
      <c r="AI339" s="16">
        <f t="shared" ref="AI339" si="824">+ROUND(AF339,2)</f>
        <v>0</v>
      </c>
      <c r="AJ339" s="16">
        <f t="shared" ref="AJ339" si="825">+ROUND(AG339,2)</f>
        <v>0</v>
      </c>
      <c r="AK339" s="16">
        <f t="shared" ref="AK339" si="826">+AI339+AJ339</f>
        <v>0</v>
      </c>
      <c r="AL339" s="16">
        <f t="shared" ref="AL339" si="827">+AI339+AJ339-AK339</f>
        <v>0</v>
      </c>
      <c r="AM339" s="44"/>
      <c r="AN339" s="41" t="str">
        <f t="shared" ref="AN339" si="828">+LEFT(AM339,2)</f>
        <v/>
      </c>
      <c r="AO339" s="41" t="str">
        <f t="shared" ref="AO339" si="829">+MID(AM339,4,2)</f>
        <v/>
      </c>
      <c r="AP339" s="41" t="str">
        <f t="shared" ref="AP339" si="830">+RIGHT(AM339,2)</f>
        <v/>
      </c>
      <c r="AQ339" s="41" t="str">
        <f t="shared" ref="AQ339" si="831">+CONCATENATE(AN339,AO339,AP339)</f>
        <v/>
      </c>
      <c r="AR339" s="45">
        <f t="shared" ref="AR339" si="832">+AM339+30</f>
        <v>30</v>
      </c>
      <c r="AS339" s="46">
        <f t="shared" ref="AS339" si="833">+DAY(AR339)</f>
        <v>30</v>
      </c>
      <c r="AT339" s="41">
        <f t="shared" ref="AT339" si="834">+MONTH(AR339)</f>
        <v>1</v>
      </c>
      <c r="AU339" s="41">
        <f t="shared" ref="AU339" si="835">+YEAR(AR339)</f>
        <v>1900</v>
      </c>
      <c r="AV339" s="41" t="str">
        <f t="shared" ref="AV339" si="836">+CONCATENATE(TEXT(AS339,"00"),TEXT(AT339,"00"),RIGHT(AU339,2))</f>
        <v>300100</v>
      </c>
    </row>
    <row r="340" spans="1:48" hidden="1" x14ac:dyDescent="0.25">
      <c r="A340" s="31"/>
      <c r="B340" s="31"/>
      <c r="C340" s="3"/>
      <c r="D340" s="3"/>
      <c r="E340" s="2"/>
      <c r="F340" s="3"/>
      <c r="G340" s="3"/>
      <c r="H340" s="16"/>
      <c r="I340" s="16"/>
      <c r="J340" s="3"/>
      <c r="K340" s="17"/>
      <c r="L340" s="16"/>
      <c r="M340" s="3"/>
      <c r="N340" s="3"/>
      <c r="O340" s="2"/>
      <c r="P340" s="3" t="s">
        <v>54</v>
      </c>
      <c r="Q340" s="3"/>
      <c r="R340" s="3"/>
      <c r="S340" s="16"/>
      <c r="T340" s="3"/>
      <c r="U340" s="3"/>
      <c r="V340" s="3"/>
      <c r="W340" s="16"/>
      <c r="X340" s="16"/>
      <c r="Y340" s="3"/>
      <c r="Z340" s="18"/>
      <c r="AA340" s="3"/>
      <c r="AB340" s="16"/>
      <c r="AC340" s="16"/>
      <c r="AD340" s="16"/>
      <c r="AE340" s="9"/>
      <c r="AF340" s="16"/>
      <c r="AG340" s="16"/>
      <c r="AH340" s="16"/>
      <c r="AI340" s="16"/>
      <c r="AJ340" s="16"/>
      <c r="AK340" s="16"/>
      <c r="AL340" s="16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 spans="1:48" hidden="1" x14ac:dyDescent="0.25">
      <c r="A341" s="31"/>
      <c r="B341" s="31"/>
      <c r="C341" s="3"/>
      <c r="D341" s="3"/>
      <c r="E341" s="2"/>
      <c r="F341" s="3"/>
      <c r="G341" s="3"/>
      <c r="H341" s="16"/>
      <c r="I341" s="16"/>
      <c r="J341" s="3"/>
      <c r="K341" s="17"/>
      <c r="L341" s="16"/>
      <c r="M341" s="3"/>
      <c r="N341" s="3"/>
      <c r="O341" s="2"/>
      <c r="P341" s="3" t="s">
        <v>54</v>
      </c>
      <c r="Q341" s="3"/>
      <c r="R341" s="3"/>
      <c r="S341" s="16"/>
      <c r="T341" s="3"/>
      <c r="U341" s="3"/>
      <c r="V341" s="3"/>
      <c r="W341" s="16"/>
      <c r="X341" s="16"/>
      <c r="Y341" s="3"/>
      <c r="Z341" s="18"/>
      <c r="AA341" s="3"/>
      <c r="AB341" s="16"/>
      <c r="AC341" s="16"/>
      <c r="AD341" s="16"/>
      <c r="AE341" s="9"/>
      <c r="AF341" s="16"/>
      <c r="AG341" s="16"/>
      <c r="AH341" s="16"/>
      <c r="AI341" s="16"/>
      <c r="AJ341" s="16"/>
      <c r="AK341" s="16"/>
      <c r="AL341" s="16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 spans="1:48" hidden="1" x14ac:dyDescent="0.25">
      <c r="A342" s="31"/>
      <c r="B342" s="31"/>
      <c r="C342" s="3"/>
      <c r="D342" s="3"/>
      <c r="E342" s="2"/>
      <c r="F342" s="3"/>
      <c r="G342" s="3"/>
      <c r="H342" s="16"/>
      <c r="I342" s="16"/>
      <c r="J342" s="3"/>
      <c r="K342" s="17"/>
      <c r="L342" s="16"/>
      <c r="M342" s="3"/>
      <c r="N342" s="3"/>
      <c r="O342" s="2"/>
      <c r="P342" s="3" t="s">
        <v>54</v>
      </c>
      <c r="Q342" s="3"/>
      <c r="R342" s="3"/>
      <c r="S342" s="16"/>
      <c r="T342" s="3"/>
      <c r="U342" s="3"/>
      <c r="V342" s="3"/>
      <c r="W342" s="16"/>
      <c r="X342" s="16"/>
      <c r="Y342" s="3"/>
      <c r="Z342" s="18"/>
      <c r="AA342" s="3"/>
      <c r="AB342" s="16"/>
      <c r="AC342" s="16"/>
      <c r="AD342" s="16"/>
      <c r="AE342" s="9"/>
      <c r="AF342" s="16"/>
      <c r="AG342" s="16"/>
      <c r="AH342" s="16"/>
      <c r="AI342" s="16"/>
      <c r="AJ342" s="16"/>
      <c r="AK342" s="16"/>
      <c r="AL342" s="16"/>
      <c r="AM342" s="3"/>
      <c r="AN342" s="3"/>
      <c r="AO342" s="3"/>
      <c r="AP342" s="3"/>
      <c r="AQ342" s="3"/>
      <c r="AR342" s="3"/>
      <c r="AS342" s="3"/>
      <c r="AT342" s="3"/>
      <c r="AU342" s="3"/>
      <c r="AV342" s="3"/>
    </row>
    <row r="343" spans="1:48" x14ac:dyDescent="0.25">
      <c r="A343" s="15">
        <f t="shared" ref="A343" si="837">1+A339</f>
        <v>86</v>
      </c>
      <c r="B343" s="15"/>
      <c r="C343" s="2"/>
      <c r="D343" s="2"/>
      <c r="E343" s="24" t="str">
        <f t="shared" ref="E343" si="838">+AQ343</f>
        <v/>
      </c>
      <c r="F343" s="30"/>
      <c r="G343" s="24" t="str">
        <f t="shared" ref="G343" si="839">+AV343</f>
        <v>300100</v>
      </c>
      <c r="H343" s="16">
        <f t="shared" ref="H343" si="840">+AK343</f>
        <v>0</v>
      </c>
      <c r="I343" s="16">
        <f t="shared" ref="I343" si="841">+ROUND(AD343,2)</f>
        <v>0</v>
      </c>
      <c r="J343" s="2"/>
      <c r="K343" s="17">
        <f t="shared" ref="K343" si="842">+AE343</f>
        <v>0</v>
      </c>
      <c r="L343" s="16">
        <f t="shared" ref="L343" si="843">+AJ343</f>
        <v>0</v>
      </c>
      <c r="M343" s="32" t="s">
        <v>5</v>
      </c>
      <c r="N343" s="30"/>
      <c r="O343" s="2"/>
      <c r="P343" s="30"/>
      <c r="Q343" s="32" t="s">
        <v>0</v>
      </c>
      <c r="R343" s="24"/>
      <c r="S343" s="24" t="str">
        <f t="shared" ref="S343" si="844">+RIGHT(O343,7)</f>
        <v/>
      </c>
      <c r="T343" s="2"/>
      <c r="U343" s="3" t="s">
        <v>1</v>
      </c>
      <c r="V343" s="3" t="s">
        <v>3</v>
      </c>
      <c r="W343" s="16">
        <f t="shared" ref="W343" si="845">+AI343</f>
        <v>0</v>
      </c>
      <c r="X343" s="16">
        <f t="shared" ref="X343" si="846">+AJ343</f>
        <v>0</v>
      </c>
      <c r="Y343" s="3" t="s">
        <v>4</v>
      </c>
      <c r="Z343" s="18">
        <f t="shared" ref="Z343" si="847">+F343</f>
        <v>0</v>
      </c>
      <c r="AA343" s="61"/>
      <c r="AB343" s="65"/>
      <c r="AC343" s="16">
        <f>+AB343*0.18</f>
        <v>0</v>
      </c>
      <c r="AD343" s="16">
        <f>+AB343+AC343</f>
        <v>0</v>
      </c>
      <c r="AE343" s="68"/>
      <c r="AF343" s="16">
        <f t="shared" ref="AF343" si="848">+AB343*AE343</f>
        <v>0</v>
      </c>
      <c r="AG343" s="16">
        <f t="shared" ref="AG343" si="849">+AC343*AE343</f>
        <v>0</v>
      </c>
      <c r="AH343" s="16">
        <f t="shared" ref="AH343" si="850">+AD343*AE343</f>
        <v>0</v>
      </c>
      <c r="AI343" s="16">
        <f t="shared" ref="AI343" si="851">+ROUND(AF343,2)</f>
        <v>0</v>
      </c>
      <c r="AJ343" s="16">
        <f t="shared" ref="AJ343" si="852">+ROUND(AG343,2)</f>
        <v>0</v>
      </c>
      <c r="AK343" s="16">
        <f t="shared" ref="AK343" si="853">+AI343+AJ343</f>
        <v>0</v>
      </c>
      <c r="AL343" s="16">
        <f t="shared" ref="AL343" si="854">+AI343+AJ343-AK343</f>
        <v>0</v>
      </c>
      <c r="AM343" s="44"/>
      <c r="AN343" s="41" t="str">
        <f t="shared" ref="AN343" si="855">+LEFT(AM343,2)</f>
        <v/>
      </c>
      <c r="AO343" s="41" t="str">
        <f t="shared" ref="AO343" si="856">+MID(AM343,4,2)</f>
        <v/>
      </c>
      <c r="AP343" s="41" t="str">
        <f t="shared" ref="AP343" si="857">+RIGHT(AM343,2)</f>
        <v/>
      </c>
      <c r="AQ343" s="41" t="str">
        <f t="shared" ref="AQ343" si="858">+CONCATENATE(AN343,AO343,AP343)</f>
        <v/>
      </c>
      <c r="AR343" s="45">
        <f t="shared" ref="AR343" si="859">+AM343+30</f>
        <v>30</v>
      </c>
      <c r="AS343" s="46">
        <f t="shared" ref="AS343" si="860">+DAY(AR343)</f>
        <v>30</v>
      </c>
      <c r="AT343" s="41">
        <f t="shared" ref="AT343" si="861">+MONTH(AR343)</f>
        <v>1</v>
      </c>
      <c r="AU343" s="41">
        <f t="shared" ref="AU343" si="862">+YEAR(AR343)</f>
        <v>1900</v>
      </c>
      <c r="AV343" s="41" t="str">
        <f t="shared" ref="AV343" si="863">+CONCATENATE(TEXT(AS343,"00"),TEXT(AT343,"00"),RIGHT(AU343,2))</f>
        <v>300100</v>
      </c>
    </row>
    <row r="344" spans="1:48" hidden="1" x14ac:dyDescent="0.25">
      <c r="A344" s="31"/>
      <c r="B344" s="31"/>
      <c r="C344" s="3"/>
      <c r="D344" s="3"/>
      <c r="E344" s="2"/>
      <c r="F344" s="3"/>
      <c r="G344" s="3"/>
      <c r="H344" s="16"/>
      <c r="I344" s="16"/>
      <c r="J344" s="3"/>
      <c r="K344" s="17"/>
      <c r="L344" s="16"/>
      <c r="M344" s="3"/>
      <c r="N344" s="3"/>
      <c r="O344" s="2"/>
      <c r="P344" s="3" t="s">
        <v>54</v>
      </c>
      <c r="Q344" s="3"/>
      <c r="R344" s="3"/>
      <c r="S344" s="16"/>
      <c r="T344" s="3"/>
      <c r="U344" s="3"/>
      <c r="V344" s="3"/>
      <c r="W344" s="16"/>
      <c r="X344" s="16"/>
      <c r="Y344" s="3"/>
      <c r="Z344" s="18"/>
      <c r="AA344" s="3"/>
      <c r="AB344" s="16"/>
      <c r="AC344" s="16"/>
      <c r="AD344" s="16"/>
      <c r="AE344" s="9"/>
      <c r="AF344" s="16"/>
      <c r="AG344" s="16"/>
      <c r="AH344" s="16"/>
      <c r="AI344" s="16"/>
      <c r="AJ344" s="16"/>
      <c r="AK344" s="16"/>
      <c r="AL344" s="16"/>
      <c r="AM344" s="3"/>
      <c r="AN344" s="3"/>
      <c r="AO344" s="3"/>
      <c r="AP344" s="3"/>
      <c r="AQ344" s="3"/>
      <c r="AR344" s="3"/>
      <c r="AS344" s="3"/>
      <c r="AT344" s="3"/>
      <c r="AU344" s="3"/>
      <c r="AV344" s="3"/>
    </row>
    <row r="345" spans="1:48" hidden="1" x14ac:dyDescent="0.25">
      <c r="A345" s="31"/>
      <c r="B345" s="31"/>
      <c r="C345" s="3"/>
      <c r="D345" s="3"/>
      <c r="E345" s="2"/>
      <c r="F345" s="3"/>
      <c r="G345" s="3"/>
      <c r="H345" s="16"/>
      <c r="I345" s="16"/>
      <c r="J345" s="3"/>
      <c r="K345" s="17"/>
      <c r="L345" s="16"/>
      <c r="M345" s="3"/>
      <c r="N345" s="3"/>
      <c r="O345" s="2"/>
      <c r="P345" s="3" t="s">
        <v>54</v>
      </c>
      <c r="Q345" s="3"/>
      <c r="R345" s="3"/>
      <c r="S345" s="16"/>
      <c r="T345" s="3"/>
      <c r="U345" s="3"/>
      <c r="V345" s="3"/>
      <c r="W345" s="16"/>
      <c r="X345" s="16"/>
      <c r="Y345" s="3"/>
      <c r="Z345" s="18"/>
      <c r="AA345" s="3"/>
      <c r="AB345" s="16"/>
      <c r="AC345" s="16"/>
      <c r="AD345" s="16"/>
      <c r="AE345" s="9"/>
      <c r="AF345" s="16"/>
      <c r="AG345" s="16"/>
      <c r="AH345" s="16"/>
      <c r="AI345" s="16"/>
      <c r="AJ345" s="16"/>
      <c r="AK345" s="16"/>
      <c r="AL345" s="16"/>
      <c r="AM345" s="3"/>
      <c r="AN345" s="3"/>
      <c r="AO345" s="3"/>
      <c r="AP345" s="3"/>
      <c r="AQ345" s="3"/>
      <c r="AR345" s="3"/>
      <c r="AS345" s="3"/>
      <c r="AT345" s="3"/>
      <c r="AU345" s="3"/>
      <c r="AV345" s="3"/>
    </row>
    <row r="346" spans="1:48" hidden="1" x14ac:dyDescent="0.25">
      <c r="A346" s="31"/>
      <c r="B346" s="31"/>
      <c r="C346" s="3"/>
      <c r="D346" s="3"/>
      <c r="E346" s="2"/>
      <c r="F346" s="3"/>
      <c r="G346" s="3"/>
      <c r="H346" s="16"/>
      <c r="I346" s="16"/>
      <c r="J346" s="3"/>
      <c r="K346" s="17"/>
      <c r="L346" s="16"/>
      <c r="M346" s="3"/>
      <c r="N346" s="3"/>
      <c r="O346" s="2"/>
      <c r="P346" s="3" t="s">
        <v>54</v>
      </c>
      <c r="Q346" s="3"/>
      <c r="R346" s="3"/>
      <c r="S346" s="16"/>
      <c r="T346" s="3"/>
      <c r="U346" s="3"/>
      <c r="V346" s="3"/>
      <c r="W346" s="16"/>
      <c r="X346" s="16"/>
      <c r="Y346" s="3"/>
      <c r="Z346" s="18"/>
      <c r="AA346" s="3"/>
      <c r="AB346" s="16"/>
      <c r="AC346" s="16"/>
      <c r="AD346" s="16"/>
      <c r="AE346" s="9"/>
      <c r="AF346" s="16"/>
      <c r="AG346" s="16"/>
      <c r="AH346" s="16"/>
      <c r="AI346" s="16"/>
      <c r="AJ346" s="16"/>
      <c r="AK346" s="16"/>
      <c r="AL346" s="16"/>
      <c r="AM346" s="3"/>
      <c r="AN346" s="3"/>
      <c r="AO346" s="3"/>
      <c r="AP346" s="3"/>
      <c r="AQ346" s="3"/>
      <c r="AR346" s="3"/>
      <c r="AS346" s="3"/>
      <c r="AT346" s="3"/>
      <c r="AU346" s="3"/>
      <c r="AV346" s="3"/>
    </row>
    <row r="347" spans="1:48" x14ac:dyDescent="0.25">
      <c r="A347" s="15">
        <f t="shared" ref="A347" si="864">1+A343</f>
        <v>87</v>
      </c>
      <c r="B347" s="15"/>
      <c r="C347" s="2"/>
      <c r="D347" s="2"/>
      <c r="E347" s="24" t="str">
        <f t="shared" ref="E347" si="865">+AQ347</f>
        <v/>
      </c>
      <c r="F347" s="30"/>
      <c r="G347" s="24" t="str">
        <f t="shared" ref="G347" si="866">+AV347</f>
        <v>300100</v>
      </c>
      <c r="H347" s="16">
        <f t="shared" ref="H347" si="867">+AK347</f>
        <v>0</v>
      </c>
      <c r="I347" s="16">
        <f t="shared" ref="I347" si="868">+ROUND(AD347,2)</f>
        <v>0</v>
      </c>
      <c r="J347" s="2"/>
      <c r="K347" s="17">
        <f t="shared" ref="K347" si="869">+AE347</f>
        <v>0</v>
      </c>
      <c r="L347" s="16">
        <f t="shared" ref="L347" si="870">+AJ347</f>
        <v>0</v>
      </c>
      <c r="M347" s="32" t="s">
        <v>5</v>
      </c>
      <c r="N347" s="30"/>
      <c r="O347" s="2"/>
      <c r="P347" s="30"/>
      <c r="Q347" s="32" t="s">
        <v>0</v>
      </c>
      <c r="R347" s="24"/>
      <c r="S347" s="24" t="str">
        <f t="shared" ref="S347" si="871">+RIGHT(O347,7)</f>
        <v/>
      </c>
      <c r="T347" s="2"/>
      <c r="U347" s="3" t="s">
        <v>1</v>
      </c>
      <c r="V347" s="3" t="s">
        <v>3</v>
      </c>
      <c r="W347" s="16">
        <f t="shared" ref="W347" si="872">+AI347</f>
        <v>0</v>
      </c>
      <c r="X347" s="16">
        <f t="shared" ref="X347" si="873">+AJ347</f>
        <v>0</v>
      </c>
      <c r="Y347" s="3" t="s">
        <v>4</v>
      </c>
      <c r="Z347" s="18">
        <f t="shared" ref="Z347" si="874">+F347</f>
        <v>0</v>
      </c>
      <c r="AA347" s="61"/>
      <c r="AB347" s="65"/>
      <c r="AC347" s="16">
        <f>+AB347*0.18</f>
        <v>0</v>
      </c>
      <c r="AD347" s="16">
        <f>+AB347+AC347</f>
        <v>0</v>
      </c>
      <c r="AE347" s="68"/>
      <c r="AF347" s="16">
        <f t="shared" ref="AF347" si="875">+AB347*AE347</f>
        <v>0</v>
      </c>
      <c r="AG347" s="16">
        <f t="shared" ref="AG347" si="876">+AC347*AE347</f>
        <v>0</v>
      </c>
      <c r="AH347" s="16">
        <f t="shared" ref="AH347" si="877">+AD347*AE347</f>
        <v>0</v>
      </c>
      <c r="AI347" s="16">
        <f t="shared" ref="AI347" si="878">+ROUND(AF347,2)</f>
        <v>0</v>
      </c>
      <c r="AJ347" s="16">
        <f t="shared" ref="AJ347" si="879">+ROUND(AG347,2)</f>
        <v>0</v>
      </c>
      <c r="AK347" s="16">
        <f t="shared" ref="AK347" si="880">+AI347+AJ347</f>
        <v>0</v>
      </c>
      <c r="AL347" s="16">
        <f t="shared" ref="AL347" si="881">+AI347+AJ347-AK347</f>
        <v>0</v>
      </c>
      <c r="AM347" s="44"/>
      <c r="AN347" s="41" t="str">
        <f t="shared" ref="AN347" si="882">+LEFT(AM347,2)</f>
        <v/>
      </c>
      <c r="AO347" s="41" t="str">
        <f t="shared" ref="AO347" si="883">+MID(AM347,4,2)</f>
        <v/>
      </c>
      <c r="AP347" s="41" t="str">
        <f t="shared" ref="AP347" si="884">+RIGHT(AM347,2)</f>
        <v/>
      </c>
      <c r="AQ347" s="41" t="str">
        <f t="shared" ref="AQ347" si="885">+CONCATENATE(AN347,AO347,AP347)</f>
        <v/>
      </c>
      <c r="AR347" s="45">
        <f t="shared" ref="AR347" si="886">+AM347+30</f>
        <v>30</v>
      </c>
      <c r="AS347" s="46">
        <f t="shared" ref="AS347" si="887">+DAY(AR347)</f>
        <v>30</v>
      </c>
      <c r="AT347" s="41">
        <f t="shared" ref="AT347" si="888">+MONTH(AR347)</f>
        <v>1</v>
      </c>
      <c r="AU347" s="41">
        <f t="shared" ref="AU347" si="889">+YEAR(AR347)</f>
        <v>1900</v>
      </c>
      <c r="AV347" s="41" t="str">
        <f t="shared" ref="AV347" si="890">+CONCATENATE(TEXT(AS347,"00"),TEXT(AT347,"00"),RIGHT(AU347,2))</f>
        <v>300100</v>
      </c>
    </row>
    <row r="348" spans="1:48" hidden="1" x14ac:dyDescent="0.25">
      <c r="A348" s="31"/>
      <c r="B348" s="31"/>
      <c r="C348" s="3"/>
      <c r="D348" s="3"/>
      <c r="E348" s="2"/>
      <c r="F348" s="3"/>
      <c r="G348" s="3"/>
      <c r="H348" s="16"/>
      <c r="I348" s="16"/>
      <c r="J348" s="3"/>
      <c r="K348" s="17"/>
      <c r="L348" s="16"/>
      <c r="M348" s="3"/>
      <c r="N348" s="3"/>
      <c r="O348" s="2"/>
      <c r="P348" s="3" t="s">
        <v>54</v>
      </c>
      <c r="Q348" s="3"/>
      <c r="R348" s="3"/>
      <c r="S348" s="16"/>
      <c r="T348" s="3"/>
      <c r="U348" s="3"/>
      <c r="V348" s="3"/>
      <c r="W348" s="16"/>
      <c r="X348" s="16"/>
      <c r="Y348" s="3"/>
      <c r="Z348" s="18"/>
      <c r="AA348" s="3"/>
      <c r="AB348" s="16"/>
      <c r="AC348" s="16"/>
      <c r="AD348" s="16"/>
      <c r="AE348" s="9"/>
      <c r="AF348" s="16"/>
      <c r="AG348" s="16"/>
      <c r="AH348" s="16"/>
      <c r="AI348" s="16"/>
      <c r="AJ348" s="16"/>
      <c r="AK348" s="16"/>
      <c r="AL348" s="16"/>
      <c r="AM348" s="3"/>
      <c r="AN348" s="3"/>
      <c r="AO348" s="3"/>
      <c r="AP348" s="3"/>
      <c r="AQ348" s="3"/>
      <c r="AR348" s="3"/>
      <c r="AS348" s="3"/>
      <c r="AT348" s="3"/>
      <c r="AU348" s="3"/>
      <c r="AV348" s="3"/>
    </row>
    <row r="349" spans="1:48" hidden="1" x14ac:dyDescent="0.25">
      <c r="A349" s="31"/>
      <c r="B349" s="31"/>
      <c r="C349" s="3"/>
      <c r="D349" s="3"/>
      <c r="E349" s="2"/>
      <c r="F349" s="3"/>
      <c r="G349" s="3"/>
      <c r="H349" s="16"/>
      <c r="I349" s="16"/>
      <c r="J349" s="3"/>
      <c r="K349" s="17"/>
      <c r="L349" s="16"/>
      <c r="M349" s="3"/>
      <c r="N349" s="3"/>
      <c r="O349" s="2"/>
      <c r="P349" s="3" t="s">
        <v>54</v>
      </c>
      <c r="Q349" s="3"/>
      <c r="R349" s="3"/>
      <c r="S349" s="16"/>
      <c r="T349" s="3"/>
      <c r="U349" s="3"/>
      <c r="V349" s="3"/>
      <c r="W349" s="16"/>
      <c r="X349" s="16"/>
      <c r="Y349" s="3"/>
      <c r="Z349" s="18"/>
      <c r="AA349" s="3"/>
      <c r="AB349" s="16"/>
      <c r="AC349" s="16"/>
      <c r="AD349" s="16"/>
      <c r="AE349" s="9"/>
      <c r="AF349" s="16"/>
      <c r="AG349" s="16"/>
      <c r="AH349" s="16"/>
      <c r="AI349" s="16"/>
      <c r="AJ349" s="16"/>
      <c r="AK349" s="16"/>
      <c r="AL349" s="16"/>
      <c r="AM349" s="3"/>
      <c r="AN349" s="3"/>
      <c r="AO349" s="3"/>
      <c r="AP349" s="3"/>
      <c r="AQ349" s="3"/>
      <c r="AR349" s="3"/>
      <c r="AS349" s="3"/>
      <c r="AT349" s="3"/>
      <c r="AU349" s="3"/>
      <c r="AV349" s="3"/>
    </row>
    <row r="350" spans="1:48" hidden="1" x14ac:dyDescent="0.25">
      <c r="A350" s="31"/>
      <c r="B350" s="31"/>
      <c r="C350" s="3"/>
      <c r="D350" s="3"/>
      <c r="E350" s="2"/>
      <c r="F350" s="3"/>
      <c r="G350" s="3"/>
      <c r="H350" s="16"/>
      <c r="I350" s="16"/>
      <c r="J350" s="3"/>
      <c r="K350" s="17"/>
      <c r="L350" s="16"/>
      <c r="M350" s="3"/>
      <c r="N350" s="3"/>
      <c r="O350" s="2"/>
      <c r="P350" s="3" t="s">
        <v>54</v>
      </c>
      <c r="Q350" s="3"/>
      <c r="R350" s="3"/>
      <c r="S350" s="16"/>
      <c r="T350" s="3"/>
      <c r="U350" s="3"/>
      <c r="V350" s="3"/>
      <c r="W350" s="16"/>
      <c r="X350" s="16"/>
      <c r="Y350" s="3"/>
      <c r="Z350" s="18"/>
      <c r="AA350" s="3"/>
      <c r="AB350" s="16"/>
      <c r="AC350" s="16"/>
      <c r="AD350" s="16"/>
      <c r="AE350" s="9"/>
      <c r="AF350" s="16"/>
      <c r="AG350" s="16"/>
      <c r="AH350" s="16"/>
      <c r="AI350" s="16"/>
      <c r="AJ350" s="16"/>
      <c r="AK350" s="16"/>
      <c r="AL350" s="16"/>
      <c r="AM350" s="3"/>
      <c r="AN350" s="3"/>
      <c r="AO350" s="3"/>
      <c r="AP350" s="3"/>
      <c r="AQ350" s="3"/>
      <c r="AR350" s="3"/>
      <c r="AS350" s="3"/>
      <c r="AT350" s="3"/>
      <c r="AU350" s="3"/>
      <c r="AV350" s="3"/>
    </row>
    <row r="351" spans="1:48" x14ac:dyDescent="0.25">
      <c r="A351" s="15">
        <f t="shared" ref="A351" si="891">1+A347</f>
        <v>88</v>
      </c>
      <c r="B351" s="15"/>
      <c r="C351" s="2"/>
      <c r="D351" s="2"/>
      <c r="E351" s="24" t="str">
        <f t="shared" ref="E351" si="892">+AQ351</f>
        <v/>
      </c>
      <c r="F351" s="30"/>
      <c r="G351" s="24" t="str">
        <f t="shared" ref="G351" si="893">+AV351</f>
        <v>300100</v>
      </c>
      <c r="H351" s="16">
        <f t="shared" ref="H351" si="894">+AK351</f>
        <v>0</v>
      </c>
      <c r="I351" s="16">
        <f t="shared" ref="I351" si="895">+ROUND(AD351,2)</f>
        <v>0</v>
      </c>
      <c r="J351" s="2"/>
      <c r="K351" s="17">
        <f t="shared" ref="K351" si="896">+AE351</f>
        <v>0</v>
      </c>
      <c r="L351" s="16">
        <f t="shared" ref="L351" si="897">+AJ351</f>
        <v>0</v>
      </c>
      <c r="M351" s="32" t="s">
        <v>5</v>
      </c>
      <c r="N351" s="30"/>
      <c r="O351" s="2"/>
      <c r="P351" s="30"/>
      <c r="Q351" s="32" t="s">
        <v>0</v>
      </c>
      <c r="R351" s="24"/>
      <c r="S351" s="24" t="str">
        <f t="shared" ref="S351" si="898">+RIGHT(O351,7)</f>
        <v/>
      </c>
      <c r="T351" s="2"/>
      <c r="U351" s="3" t="s">
        <v>1</v>
      </c>
      <c r="V351" s="3" t="s">
        <v>3</v>
      </c>
      <c r="W351" s="16">
        <f t="shared" ref="W351" si="899">+AI351</f>
        <v>0</v>
      </c>
      <c r="X351" s="16">
        <f t="shared" ref="X351" si="900">+AJ351</f>
        <v>0</v>
      </c>
      <c r="Y351" s="3" t="s">
        <v>4</v>
      </c>
      <c r="Z351" s="18">
        <f t="shared" ref="Z351" si="901">+F351</f>
        <v>0</v>
      </c>
      <c r="AA351" s="61"/>
      <c r="AB351" s="65"/>
      <c r="AC351" s="16">
        <f>+AB351*0.18</f>
        <v>0</v>
      </c>
      <c r="AD351" s="16">
        <f>+AB351+AC351</f>
        <v>0</v>
      </c>
      <c r="AE351" s="68"/>
      <c r="AF351" s="16">
        <f t="shared" ref="AF351" si="902">+AB351*AE351</f>
        <v>0</v>
      </c>
      <c r="AG351" s="16">
        <f t="shared" ref="AG351" si="903">+AC351*AE351</f>
        <v>0</v>
      </c>
      <c r="AH351" s="16">
        <f t="shared" ref="AH351" si="904">+AD351*AE351</f>
        <v>0</v>
      </c>
      <c r="AI351" s="16">
        <f t="shared" ref="AI351" si="905">+ROUND(AF351,2)</f>
        <v>0</v>
      </c>
      <c r="AJ351" s="16">
        <f t="shared" ref="AJ351" si="906">+ROUND(AG351,2)</f>
        <v>0</v>
      </c>
      <c r="AK351" s="16">
        <f t="shared" ref="AK351" si="907">+AI351+AJ351</f>
        <v>0</v>
      </c>
      <c r="AL351" s="16">
        <f t="shared" ref="AL351" si="908">+AI351+AJ351-AK351</f>
        <v>0</v>
      </c>
      <c r="AM351" s="44"/>
      <c r="AN351" s="41" t="str">
        <f t="shared" ref="AN351" si="909">+LEFT(AM351,2)</f>
        <v/>
      </c>
      <c r="AO351" s="41" t="str">
        <f t="shared" ref="AO351" si="910">+MID(AM351,4,2)</f>
        <v/>
      </c>
      <c r="AP351" s="41" t="str">
        <f t="shared" ref="AP351" si="911">+RIGHT(AM351,2)</f>
        <v/>
      </c>
      <c r="AQ351" s="41" t="str">
        <f t="shared" ref="AQ351" si="912">+CONCATENATE(AN351,AO351,AP351)</f>
        <v/>
      </c>
      <c r="AR351" s="45">
        <f t="shared" ref="AR351" si="913">+AM351+30</f>
        <v>30</v>
      </c>
      <c r="AS351" s="46">
        <f t="shared" ref="AS351" si="914">+DAY(AR351)</f>
        <v>30</v>
      </c>
      <c r="AT351" s="41">
        <f t="shared" ref="AT351" si="915">+MONTH(AR351)</f>
        <v>1</v>
      </c>
      <c r="AU351" s="41">
        <f t="shared" ref="AU351" si="916">+YEAR(AR351)</f>
        <v>1900</v>
      </c>
      <c r="AV351" s="41" t="str">
        <f t="shared" ref="AV351" si="917">+CONCATENATE(TEXT(AS351,"00"),TEXT(AT351,"00"),RIGHT(AU351,2))</f>
        <v>300100</v>
      </c>
    </row>
    <row r="352" spans="1:48" hidden="1" x14ac:dyDescent="0.25">
      <c r="A352" s="31"/>
      <c r="B352" s="31"/>
      <c r="C352" s="3"/>
      <c r="D352" s="3"/>
      <c r="E352" s="2"/>
      <c r="F352" s="3"/>
      <c r="G352" s="3"/>
      <c r="H352" s="16"/>
      <c r="I352" s="16"/>
      <c r="J352" s="3"/>
      <c r="K352" s="17"/>
      <c r="L352" s="16"/>
      <c r="M352" s="3"/>
      <c r="N352" s="3"/>
      <c r="O352" s="2"/>
      <c r="P352" s="3" t="s">
        <v>54</v>
      </c>
      <c r="Q352" s="3"/>
      <c r="R352" s="3"/>
      <c r="S352" s="16"/>
      <c r="T352" s="3"/>
      <c r="U352" s="3"/>
      <c r="V352" s="3"/>
      <c r="W352" s="16"/>
      <c r="X352" s="16"/>
      <c r="Y352" s="3"/>
      <c r="Z352" s="18"/>
      <c r="AA352" s="3"/>
      <c r="AB352" s="16"/>
      <c r="AC352" s="16"/>
      <c r="AD352" s="16"/>
      <c r="AE352" s="9"/>
      <c r="AF352" s="16"/>
      <c r="AG352" s="16"/>
      <c r="AH352" s="16"/>
      <c r="AI352" s="16"/>
      <c r="AJ352" s="16"/>
      <c r="AK352" s="16"/>
      <c r="AL352" s="16"/>
      <c r="AM352" s="3"/>
      <c r="AN352" s="3"/>
      <c r="AO352" s="3"/>
      <c r="AP352" s="3"/>
      <c r="AQ352" s="3"/>
      <c r="AR352" s="3"/>
      <c r="AS352" s="3"/>
      <c r="AT352" s="3"/>
      <c r="AU352" s="3"/>
      <c r="AV352" s="3"/>
    </row>
    <row r="353" spans="1:48" hidden="1" x14ac:dyDescent="0.25">
      <c r="A353" s="31"/>
      <c r="B353" s="31"/>
      <c r="C353" s="3"/>
      <c r="D353" s="3"/>
      <c r="E353" s="2"/>
      <c r="F353" s="3"/>
      <c r="G353" s="3"/>
      <c r="H353" s="16"/>
      <c r="I353" s="16"/>
      <c r="J353" s="3"/>
      <c r="K353" s="17"/>
      <c r="L353" s="16"/>
      <c r="M353" s="3"/>
      <c r="N353" s="3"/>
      <c r="O353" s="2"/>
      <c r="P353" s="3" t="s">
        <v>54</v>
      </c>
      <c r="Q353" s="3"/>
      <c r="R353" s="3"/>
      <c r="S353" s="16"/>
      <c r="T353" s="3"/>
      <c r="U353" s="3"/>
      <c r="V353" s="3"/>
      <c r="W353" s="16"/>
      <c r="X353" s="16"/>
      <c r="Y353" s="3"/>
      <c r="Z353" s="18"/>
      <c r="AA353" s="3"/>
      <c r="AB353" s="16"/>
      <c r="AC353" s="16"/>
      <c r="AD353" s="16"/>
      <c r="AE353" s="9"/>
      <c r="AF353" s="16"/>
      <c r="AG353" s="16"/>
      <c r="AH353" s="16"/>
      <c r="AI353" s="16"/>
      <c r="AJ353" s="16"/>
      <c r="AK353" s="16"/>
      <c r="AL353" s="16"/>
      <c r="AM353" s="3"/>
      <c r="AN353" s="3"/>
      <c r="AO353" s="3"/>
      <c r="AP353" s="3"/>
      <c r="AQ353" s="3"/>
      <c r="AR353" s="3"/>
      <c r="AS353" s="3"/>
      <c r="AT353" s="3"/>
      <c r="AU353" s="3"/>
      <c r="AV353" s="3"/>
    </row>
    <row r="354" spans="1:48" hidden="1" x14ac:dyDescent="0.25">
      <c r="A354" s="31"/>
      <c r="B354" s="31"/>
      <c r="C354" s="3"/>
      <c r="D354" s="3"/>
      <c r="E354" s="2"/>
      <c r="F354" s="3"/>
      <c r="G354" s="3"/>
      <c r="H354" s="16"/>
      <c r="I354" s="16"/>
      <c r="J354" s="3"/>
      <c r="K354" s="17"/>
      <c r="L354" s="16"/>
      <c r="M354" s="3"/>
      <c r="N354" s="3"/>
      <c r="O354" s="2"/>
      <c r="P354" s="3" t="s">
        <v>54</v>
      </c>
      <c r="Q354" s="3"/>
      <c r="R354" s="3"/>
      <c r="S354" s="16"/>
      <c r="T354" s="3"/>
      <c r="U354" s="3"/>
      <c r="V354" s="3"/>
      <c r="W354" s="16"/>
      <c r="X354" s="16"/>
      <c r="Y354" s="3"/>
      <c r="Z354" s="18"/>
      <c r="AA354" s="3"/>
      <c r="AB354" s="16"/>
      <c r="AC354" s="16"/>
      <c r="AD354" s="16"/>
      <c r="AE354" s="9"/>
      <c r="AF354" s="16"/>
      <c r="AG354" s="16"/>
      <c r="AH354" s="16"/>
      <c r="AI354" s="16"/>
      <c r="AJ354" s="16"/>
      <c r="AK354" s="16"/>
      <c r="AL354" s="16"/>
      <c r="AM354" s="3"/>
      <c r="AN354" s="3"/>
      <c r="AO354" s="3"/>
      <c r="AP354" s="3"/>
      <c r="AQ354" s="3"/>
      <c r="AR354" s="3"/>
      <c r="AS354" s="3"/>
      <c r="AT354" s="3"/>
      <c r="AU354" s="3"/>
      <c r="AV354" s="3"/>
    </row>
    <row r="355" spans="1:48" x14ac:dyDescent="0.25">
      <c r="A355" s="15">
        <f t="shared" ref="A355" si="918">1+A351</f>
        <v>89</v>
      </c>
      <c r="B355" s="15"/>
      <c r="C355" s="2"/>
      <c r="D355" s="2"/>
      <c r="E355" s="24" t="str">
        <f t="shared" ref="E355" si="919">+AQ355</f>
        <v/>
      </c>
      <c r="F355" s="30"/>
      <c r="G355" s="24" t="str">
        <f t="shared" ref="G355" si="920">+AV355</f>
        <v>300100</v>
      </c>
      <c r="H355" s="16">
        <f t="shared" ref="H355" si="921">+AK355</f>
        <v>0</v>
      </c>
      <c r="I355" s="16">
        <f t="shared" ref="I355" si="922">+ROUND(AD355,2)</f>
        <v>0</v>
      </c>
      <c r="J355" s="2"/>
      <c r="K355" s="17">
        <f t="shared" ref="K355" si="923">+AE355</f>
        <v>0</v>
      </c>
      <c r="L355" s="16">
        <f t="shared" ref="L355" si="924">+AJ355</f>
        <v>0</v>
      </c>
      <c r="M355" s="32" t="s">
        <v>5</v>
      </c>
      <c r="N355" s="30"/>
      <c r="O355" s="2"/>
      <c r="P355" s="30"/>
      <c r="Q355" s="32" t="s">
        <v>0</v>
      </c>
      <c r="R355" s="24"/>
      <c r="S355" s="24" t="str">
        <f t="shared" ref="S355" si="925">+RIGHT(O355,7)</f>
        <v/>
      </c>
      <c r="T355" s="2"/>
      <c r="U355" s="3" t="s">
        <v>1</v>
      </c>
      <c r="V355" s="3" t="s">
        <v>3</v>
      </c>
      <c r="W355" s="16">
        <f t="shared" ref="W355" si="926">+AI355</f>
        <v>0</v>
      </c>
      <c r="X355" s="16">
        <f t="shared" ref="X355" si="927">+AJ355</f>
        <v>0</v>
      </c>
      <c r="Y355" s="3" t="s">
        <v>4</v>
      </c>
      <c r="Z355" s="18">
        <f t="shared" ref="Z355" si="928">+F355</f>
        <v>0</v>
      </c>
      <c r="AA355" s="61"/>
      <c r="AB355" s="65"/>
      <c r="AC355" s="16">
        <f>+AB355*0.18</f>
        <v>0</v>
      </c>
      <c r="AD355" s="16">
        <f>+AB355+AC355</f>
        <v>0</v>
      </c>
      <c r="AE355" s="68"/>
      <c r="AF355" s="16">
        <f t="shared" ref="AF355" si="929">+AB355*AE355</f>
        <v>0</v>
      </c>
      <c r="AG355" s="16">
        <f t="shared" ref="AG355" si="930">+AC355*AE355</f>
        <v>0</v>
      </c>
      <c r="AH355" s="16">
        <f t="shared" ref="AH355" si="931">+AD355*AE355</f>
        <v>0</v>
      </c>
      <c r="AI355" s="16">
        <f t="shared" ref="AI355" si="932">+ROUND(AF355,2)</f>
        <v>0</v>
      </c>
      <c r="AJ355" s="16">
        <f t="shared" ref="AJ355" si="933">+ROUND(AG355,2)</f>
        <v>0</v>
      </c>
      <c r="AK355" s="16">
        <f t="shared" ref="AK355" si="934">+AI355+AJ355</f>
        <v>0</v>
      </c>
      <c r="AL355" s="16">
        <f t="shared" ref="AL355" si="935">+AI355+AJ355-AK355</f>
        <v>0</v>
      </c>
      <c r="AM355" s="44"/>
      <c r="AN355" s="41" t="str">
        <f t="shared" ref="AN355" si="936">+LEFT(AM355,2)</f>
        <v/>
      </c>
      <c r="AO355" s="41" t="str">
        <f t="shared" ref="AO355" si="937">+MID(AM355,4,2)</f>
        <v/>
      </c>
      <c r="AP355" s="41" t="str">
        <f t="shared" ref="AP355" si="938">+RIGHT(AM355,2)</f>
        <v/>
      </c>
      <c r="AQ355" s="41" t="str">
        <f t="shared" ref="AQ355" si="939">+CONCATENATE(AN355,AO355,AP355)</f>
        <v/>
      </c>
      <c r="AR355" s="45">
        <f t="shared" ref="AR355" si="940">+AM355+30</f>
        <v>30</v>
      </c>
      <c r="AS355" s="46">
        <f t="shared" ref="AS355" si="941">+DAY(AR355)</f>
        <v>30</v>
      </c>
      <c r="AT355" s="41">
        <f t="shared" ref="AT355" si="942">+MONTH(AR355)</f>
        <v>1</v>
      </c>
      <c r="AU355" s="41">
        <f t="shared" ref="AU355" si="943">+YEAR(AR355)</f>
        <v>1900</v>
      </c>
      <c r="AV355" s="41" t="str">
        <f t="shared" ref="AV355" si="944">+CONCATENATE(TEXT(AS355,"00"),TEXT(AT355,"00"),RIGHT(AU355,2))</f>
        <v>300100</v>
      </c>
    </row>
    <row r="356" spans="1:48" hidden="1" x14ac:dyDescent="0.25">
      <c r="A356" s="31"/>
      <c r="B356" s="31"/>
      <c r="C356" s="3"/>
      <c r="D356" s="3"/>
      <c r="E356" s="2"/>
      <c r="F356" s="3"/>
      <c r="G356" s="3"/>
      <c r="H356" s="16"/>
      <c r="I356" s="16"/>
      <c r="J356" s="3"/>
      <c r="K356" s="17"/>
      <c r="L356" s="16"/>
      <c r="M356" s="3"/>
      <c r="N356" s="3"/>
      <c r="O356" s="2"/>
      <c r="P356" s="3" t="s">
        <v>54</v>
      </c>
      <c r="Q356" s="3"/>
      <c r="R356" s="3"/>
      <c r="S356" s="16"/>
      <c r="T356" s="3"/>
      <c r="U356" s="3"/>
      <c r="V356" s="3"/>
      <c r="W356" s="16"/>
      <c r="X356" s="16"/>
      <c r="Y356" s="3"/>
      <c r="Z356" s="18"/>
      <c r="AA356" s="3"/>
      <c r="AB356" s="16"/>
      <c r="AC356" s="16"/>
      <c r="AD356" s="16"/>
      <c r="AE356" s="9"/>
      <c r="AF356" s="16"/>
      <c r="AG356" s="16"/>
      <c r="AH356" s="16"/>
      <c r="AI356" s="16"/>
      <c r="AJ356" s="16"/>
      <c r="AK356" s="16"/>
      <c r="AL356" s="16"/>
      <c r="AM356" s="3"/>
      <c r="AN356" s="3"/>
      <c r="AO356" s="3"/>
      <c r="AP356" s="3"/>
      <c r="AQ356" s="3"/>
      <c r="AR356" s="3"/>
      <c r="AS356" s="3"/>
      <c r="AT356" s="3"/>
      <c r="AU356" s="3"/>
      <c r="AV356" s="3"/>
    </row>
    <row r="357" spans="1:48" hidden="1" x14ac:dyDescent="0.25">
      <c r="A357" s="31"/>
      <c r="B357" s="31"/>
      <c r="C357" s="3"/>
      <c r="D357" s="3"/>
      <c r="E357" s="2"/>
      <c r="F357" s="3"/>
      <c r="G357" s="3"/>
      <c r="H357" s="16"/>
      <c r="I357" s="16"/>
      <c r="J357" s="3"/>
      <c r="K357" s="17"/>
      <c r="L357" s="16"/>
      <c r="M357" s="3"/>
      <c r="N357" s="3"/>
      <c r="O357" s="2"/>
      <c r="P357" s="3" t="s">
        <v>54</v>
      </c>
      <c r="Q357" s="3"/>
      <c r="R357" s="3"/>
      <c r="S357" s="16"/>
      <c r="T357" s="3"/>
      <c r="U357" s="3"/>
      <c r="V357" s="3"/>
      <c r="W357" s="16"/>
      <c r="X357" s="16"/>
      <c r="Y357" s="3"/>
      <c r="Z357" s="18"/>
      <c r="AA357" s="3"/>
      <c r="AB357" s="16"/>
      <c r="AC357" s="16"/>
      <c r="AD357" s="16"/>
      <c r="AE357" s="9"/>
      <c r="AF357" s="16"/>
      <c r="AG357" s="16"/>
      <c r="AH357" s="16"/>
      <c r="AI357" s="16"/>
      <c r="AJ357" s="16"/>
      <c r="AK357" s="16"/>
      <c r="AL357" s="16"/>
      <c r="AM357" s="3"/>
      <c r="AN357" s="3"/>
      <c r="AO357" s="3"/>
      <c r="AP357" s="3"/>
      <c r="AQ357" s="3"/>
      <c r="AR357" s="3"/>
      <c r="AS357" s="3"/>
      <c r="AT357" s="3"/>
      <c r="AU357" s="3"/>
      <c r="AV357" s="3"/>
    </row>
    <row r="358" spans="1:48" hidden="1" x14ac:dyDescent="0.25">
      <c r="A358" s="31"/>
      <c r="B358" s="31"/>
      <c r="C358" s="3"/>
      <c r="D358" s="3"/>
      <c r="E358" s="2"/>
      <c r="F358" s="3"/>
      <c r="G358" s="3"/>
      <c r="H358" s="16"/>
      <c r="I358" s="16"/>
      <c r="J358" s="3"/>
      <c r="K358" s="17"/>
      <c r="L358" s="16"/>
      <c r="M358" s="3"/>
      <c r="N358" s="3"/>
      <c r="O358" s="2"/>
      <c r="P358" s="3" t="s">
        <v>54</v>
      </c>
      <c r="Q358" s="3"/>
      <c r="R358" s="3"/>
      <c r="S358" s="16"/>
      <c r="T358" s="3"/>
      <c r="U358" s="3"/>
      <c r="V358" s="3"/>
      <c r="W358" s="16"/>
      <c r="X358" s="16"/>
      <c r="Y358" s="3"/>
      <c r="Z358" s="18"/>
      <c r="AA358" s="3"/>
      <c r="AB358" s="16"/>
      <c r="AC358" s="16"/>
      <c r="AD358" s="16"/>
      <c r="AE358" s="9"/>
      <c r="AF358" s="16"/>
      <c r="AG358" s="16"/>
      <c r="AH358" s="16"/>
      <c r="AI358" s="16"/>
      <c r="AJ358" s="16"/>
      <c r="AK358" s="16"/>
      <c r="AL358" s="16"/>
      <c r="AM358" s="3"/>
      <c r="AN358" s="3"/>
      <c r="AO358" s="3"/>
      <c r="AP358" s="3"/>
      <c r="AQ358" s="3"/>
      <c r="AR358" s="3"/>
      <c r="AS358" s="3"/>
      <c r="AT358" s="3"/>
      <c r="AU358" s="3"/>
      <c r="AV358" s="3"/>
    </row>
    <row r="359" spans="1:48" x14ac:dyDescent="0.25">
      <c r="A359" s="15">
        <f t="shared" ref="A359" si="945">1+A355</f>
        <v>90</v>
      </c>
      <c r="B359" s="15"/>
      <c r="C359" s="2"/>
      <c r="D359" s="2"/>
      <c r="E359" s="24" t="str">
        <f t="shared" ref="E359" si="946">+AQ359</f>
        <v/>
      </c>
      <c r="F359" s="30"/>
      <c r="G359" s="24" t="str">
        <f t="shared" ref="G359" si="947">+AV359</f>
        <v>300100</v>
      </c>
      <c r="H359" s="16">
        <f t="shared" ref="H359" si="948">+AK359</f>
        <v>0</v>
      </c>
      <c r="I359" s="16">
        <f t="shared" ref="I359" si="949">+ROUND(AD359,2)</f>
        <v>0</v>
      </c>
      <c r="J359" s="2"/>
      <c r="K359" s="17">
        <f t="shared" ref="K359" si="950">+AE359</f>
        <v>0</v>
      </c>
      <c r="L359" s="16">
        <f t="shared" ref="L359" si="951">+AJ359</f>
        <v>0</v>
      </c>
      <c r="M359" s="32" t="s">
        <v>5</v>
      </c>
      <c r="N359" s="30"/>
      <c r="O359" s="2"/>
      <c r="P359" s="30"/>
      <c r="Q359" s="32" t="s">
        <v>0</v>
      </c>
      <c r="R359" s="24"/>
      <c r="S359" s="24" t="str">
        <f t="shared" ref="S359" si="952">+RIGHT(O359,7)</f>
        <v/>
      </c>
      <c r="T359" s="2"/>
      <c r="U359" s="3" t="s">
        <v>1</v>
      </c>
      <c r="V359" s="3" t="s">
        <v>3</v>
      </c>
      <c r="W359" s="16">
        <f t="shared" ref="W359" si="953">+AI359</f>
        <v>0</v>
      </c>
      <c r="X359" s="16">
        <f t="shared" ref="X359" si="954">+AJ359</f>
        <v>0</v>
      </c>
      <c r="Y359" s="3" t="s">
        <v>4</v>
      </c>
      <c r="Z359" s="18">
        <f t="shared" ref="Z359" si="955">+F359</f>
        <v>0</v>
      </c>
      <c r="AA359" s="61"/>
      <c r="AB359" s="65"/>
      <c r="AC359" s="16">
        <f>+AB359*0.18</f>
        <v>0</v>
      </c>
      <c r="AD359" s="16">
        <f>+AB359+AC359</f>
        <v>0</v>
      </c>
      <c r="AE359" s="68"/>
      <c r="AF359" s="16">
        <f t="shared" ref="AF359" si="956">+AB359*AE359</f>
        <v>0</v>
      </c>
      <c r="AG359" s="16">
        <f t="shared" ref="AG359" si="957">+AC359*AE359</f>
        <v>0</v>
      </c>
      <c r="AH359" s="16">
        <f t="shared" ref="AH359" si="958">+AD359*AE359</f>
        <v>0</v>
      </c>
      <c r="AI359" s="16">
        <f t="shared" ref="AI359" si="959">+ROUND(AF359,2)</f>
        <v>0</v>
      </c>
      <c r="AJ359" s="16">
        <f t="shared" ref="AJ359" si="960">+ROUND(AG359,2)</f>
        <v>0</v>
      </c>
      <c r="AK359" s="16">
        <f t="shared" ref="AK359" si="961">+AI359+AJ359</f>
        <v>0</v>
      </c>
      <c r="AL359" s="16">
        <f t="shared" ref="AL359" si="962">+AI359+AJ359-AK359</f>
        <v>0</v>
      </c>
      <c r="AM359" s="44"/>
      <c r="AN359" s="41" t="str">
        <f t="shared" ref="AN359" si="963">+LEFT(AM359,2)</f>
        <v/>
      </c>
      <c r="AO359" s="41" t="str">
        <f t="shared" ref="AO359" si="964">+MID(AM359,4,2)</f>
        <v/>
      </c>
      <c r="AP359" s="41" t="str">
        <f t="shared" ref="AP359" si="965">+RIGHT(AM359,2)</f>
        <v/>
      </c>
      <c r="AQ359" s="41" t="str">
        <f t="shared" ref="AQ359" si="966">+CONCATENATE(AN359,AO359,AP359)</f>
        <v/>
      </c>
      <c r="AR359" s="45">
        <f t="shared" ref="AR359" si="967">+AM359+30</f>
        <v>30</v>
      </c>
      <c r="AS359" s="46">
        <f t="shared" ref="AS359" si="968">+DAY(AR359)</f>
        <v>30</v>
      </c>
      <c r="AT359" s="41">
        <f t="shared" ref="AT359" si="969">+MONTH(AR359)</f>
        <v>1</v>
      </c>
      <c r="AU359" s="41">
        <f t="shared" ref="AU359" si="970">+YEAR(AR359)</f>
        <v>1900</v>
      </c>
      <c r="AV359" s="41" t="str">
        <f t="shared" ref="AV359" si="971">+CONCATENATE(TEXT(AS359,"00"),TEXT(AT359,"00"),RIGHT(AU359,2))</f>
        <v>300100</v>
      </c>
    </row>
    <row r="360" spans="1:48" hidden="1" x14ac:dyDescent="0.25">
      <c r="A360" s="31"/>
      <c r="B360" s="31"/>
      <c r="C360" s="3"/>
      <c r="D360" s="3"/>
      <c r="E360" s="2"/>
      <c r="F360" s="3"/>
      <c r="G360" s="3"/>
      <c r="H360" s="16"/>
      <c r="I360" s="16"/>
      <c r="J360" s="3"/>
      <c r="K360" s="17"/>
      <c r="L360" s="16"/>
      <c r="M360" s="3"/>
      <c r="N360" s="3"/>
      <c r="O360" s="2"/>
      <c r="P360" s="3" t="s">
        <v>54</v>
      </c>
      <c r="Q360" s="3"/>
      <c r="R360" s="3"/>
      <c r="S360" s="16"/>
      <c r="T360" s="3"/>
      <c r="U360" s="3"/>
      <c r="V360" s="3"/>
      <c r="W360" s="16"/>
      <c r="X360" s="16"/>
      <c r="Y360" s="3"/>
      <c r="Z360" s="18"/>
      <c r="AA360" s="3"/>
      <c r="AB360" s="16"/>
      <c r="AC360" s="16"/>
      <c r="AD360" s="16"/>
      <c r="AE360" s="9"/>
      <c r="AF360" s="16"/>
      <c r="AG360" s="16"/>
      <c r="AH360" s="16"/>
      <c r="AI360" s="16"/>
      <c r="AJ360" s="16"/>
      <c r="AK360" s="16"/>
      <c r="AL360" s="16"/>
      <c r="AM360" s="3"/>
      <c r="AN360" s="3"/>
      <c r="AO360" s="3"/>
      <c r="AP360" s="3"/>
      <c r="AQ360" s="3"/>
      <c r="AR360" s="3"/>
      <c r="AS360" s="3"/>
      <c r="AT360" s="3"/>
      <c r="AU360" s="3"/>
      <c r="AV360" s="3"/>
    </row>
    <row r="361" spans="1:48" hidden="1" x14ac:dyDescent="0.25">
      <c r="A361" s="31"/>
      <c r="B361" s="31"/>
      <c r="C361" s="3"/>
      <c r="D361" s="3"/>
      <c r="E361" s="2"/>
      <c r="F361" s="3"/>
      <c r="G361" s="3"/>
      <c r="H361" s="16"/>
      <c r="I361" s="16"/>
      <c r="J361" s="3"/>
      <c r="K361" s="17"/>
      <c r="L361" s="16"/>
      <c r="M361" s="3"/>
      <c r="N361" s="3"/>
      <c r="O361" s="2"/>
      <c r="P361" s="3" t="s">
        <v>54</v>
      </c>
      <c r="Q361" s="3"/>
      <c r="R361" s="3"/>
      <c r="S361" s="16"/>
      <c r="T361" s="3"/>
      <c r="U361" s="3"/>
      <c r="V361" s="3"/>
      <c r="W361" s="16"/>
      <c r="X361" s="16"/>
      <c r="Y361" s="3"/>
      <c r="Z361" s="18"/>
      <c r="AA361" s="3"/>
      <c r="AB361" s="16"/>
      <c r="AC361" s="16"/>
      <c r="AD361" s="16"/>
      <c r="AE361" s="9"/>
      <c r="AF361" s="16"/>
      <c r="AG361" s="16"/>
      <c r="AH361" s="16"/>
      <c r="AI361" s="16"/>
      <c r="AJ361" s="16"/>
      <c r="AK361" s="16"/>
      <c r="AL361" s="16"/>
      <c r="AM361" s="3"/>
      <c r="AN361" s="3"/>
      <c r="AO361" s="3"/>
      <c r="AP361" s="3"/>
      <c r="AQ361" s="3"/>
      <c r="AR361" s="3"/>
      <c r="AS361" s="3"/>
      <c r="AT361" s="3"/>
      <c r="AU361" s="3"/>
      <c r="AV361" s="3"/>
    </row>
    <row r="362" spans="1:48" hidden="1" x14ac:dyDescent="0.25">
      <c r="A362" s="31"/>
      <c r="B362" s="31"/>
      <c r="C362" s="3"/>
      <c r="D362" s="3"/>
      <c r="E362" s="2"/>
      <c r="F362" s="3"/>
      <c r="G362" s="3"/>
      <c r="H362" s="16"/>
      <c r="I362" s="16"/>
      <c r="J362" s="3"/>
      <c r="K362" s="17"/>
      <c r="L362" s="16"/>
      <c r="M362" s="3"/>
      <c r="N362" s="3"/>
      <c r="O362" s="2"/>
      <c r="P362" s="3" t="s">
        <v>54</v>
      </c>
      <c r="Q362" s="3"/>
      <c r="R362" s="3"/>
      <c r="S362" s="16"/>
      <c r="T362" s="3"/>
      <c r="U362" s="3"/>
      <c r="V362" s="3"/>
      <c r="W362" s="16"/>
      <c r="X362" s="16"/>
      <c r="Y362" s="3"/>
      <c r="Z362" s="18"/>
      <c r="AA362" s="3"/>
      <c r="AB362" s="16"/>
      <c r="AC362" s="16"/>
      <c r="AD362" s="16"/>
      <c r="AE362" s="9"/>
      <c r="AF362" s="16"/>
      <c r="AG362" s="16"/>
      <c r="AH362" s="16"/>
      <c r="AI362" s="16"/>
      <c r="AJ362" s="16"/>
      <c r="AK362" s="16"/>
      <c r="AL362" s="16"/>
      <c r="AM362" s="3"/>
      <c r="AN362" s="3"/>
      <c r="AO362" s="3"/>
      <c r="AP362" s="3"/>
      <c r="AQ362" s="3"/>
      <c r="AR362" s="3"/>
      <c r="AS362" s="3"/>
      <c r="AT362" s="3"/>
      <c r="AU362" s="3"/>
      <c r="AV362" s="3"/>
    </row>
    <row r="363" spans="1:48" x14ac:dyDescent="0.25">
      <c r="A363" s="15">
        <f t="shared" ref="A363" si="972">1+A359</f>
        <v>91</v>
      </c>
      <c r="B363" s="15"/>
      <c r="C363" s="2"/>
      <c r="D363" s="2"/>
      <c r="E363" s="24" t="str">
        <f t="shared" ref="E363" si="973">+AQ363</f>
        <v/>
      </c>
      <c r="F363" s="30"/>
      <c r="G363" s="24" t="str">
        <f t="shared" ref="G363" si="974">+AV363</f>
        <v>300100</v>
      </c>
      <c r="H363" s="16">
        <f t="shared" ref="H363" si="975">+AK363</f>
        <v>0</v>
      </c>
      <c r="I363" s="16">
        <f t="shared" ref="I363" si="976">+ROUND(AD363,2)</f>
        <v>0</v>
      </c>
      <c r="J363" s="2"/>
      <c r="K363" s="17">
        <f t="shared" ref="K363" si="977">+AE363</f>
        <v>0</v>
      </c>
      <c r="L363" s="16">
        <f t="shared" ref="L363" si="978">+AJ363</f>
        <v>0</v>
      </c>
      <c r="M363" s="32" t="s">
        <v>5</v>
      </c>
      <c r="N363" s="30"/>
      <c r="O363" s="2"/>
      <c r="P363" s="30"/>
      <c r="Q363" s="32" t="s">
        <v>0</v>
      </c>
      <c r="R363" s="24"/>
      <c r="S363" s="24" t="str">
        <f t="shared" ref="S363" si="979">+RIGHT(O363,7)</f>
        <v/>
      </c>
      <c r="T363" s="2"/>
      <c r="U363" s="3" t="s">
        <v>1</v>
      </c>
      <c r="V363" s="3" t="s">
        <v>3</v>
      </c>
      <c r="W363" s="16">
        <f t="shared" ref="W363" si="980">+AI363</f>
        <v>0</v>
      </c>
      <c r="X363" s="16">
        <f t="shared" ref="X363" si="981">+AJ363</f>
        <v>0</v>
      </c>
      <c r="Y363" s="3" t="s">
        <v>4</v>
      </c>
      <c r="Z363" s="18">
        <f t="shared" ref="Z363" si="982">+F363</f>
        <v>0</v>
      </c>
      <c r="AA363" s="61"/>
      <c r="AB363" s="65"/>
      <c r="AC363" s="16">
        <f>+AB363*0.18</f>
        <v>0</v>
      </c>
      <c r="AD363" s="16">
        <f>+AB363+AC363</f>
        <v>0</v>
      </c>
      <c r="AE363" s="68"/>
      <c r="AF363" s="16">
        <f t="shared" ref="AF363" si="983">+AB363*AE363</f>
        <v>0</v>
      </c>
      <c r="AG363" s="16">
        <f t="shared" ref="AG363" si="984">+AC363*AE363</f>
        <v>0</v>
      </c>
      <c r="AH363" s="16">
        <f t="shared" ref="AH363" si="985">+AD363*AE363</f>
        <v>0</v>
      </c>
      <c r="AI363" s="16">
        <f t="shared" ref="AI363" si="986">+ROUND(AF363,2)</f>
        <v>0</v>
      </c>
      <c r="AJ363" s="16">
        <f t="shared" ref="AJ363" si="987">+ROUND(AG363,2)</f>
        <v>0</v>
      </c>
      <c r="AK363" s="16">
        <f t="shared" ref="AK363" si="988">+AI363+AJ363</f>
        <v>0</v>
      </c>
      <c r="AL363" s="16">
        <f t="shared" ref="AL363" si="989">+AI363+AJ363-AK363</f>
        <v>0</v>
      </c>
      <c r="AM363" s="44"/>
      <c r="AN363" s="41" t="str">
        <f t="shared" ref="AN363" si="990">+LEFT(AM363,2)</f>
        <v/>
      </c>
      <c r="AO363" s="41" t="str">
        <f t="shared" ref="AO363" si="991">+MID(AM363,4,2)</f>
        <v/>
      </c>
      <c r="AP363" s="41" t="str">
        <f t="shared" ref="AP363" si="992">+RIGHT(AM363,2)</f>
        <v/>
      </c>
      <c r="AQ363" s="41" t="str">
        <f t="shared" ref="AQ363" si="993">+CONCATENATE(AN363,AO363,AP363)</f>
        <v/>
      </c>
      <c r="AR363" s="45">
        <f t="shared" ref="AR363" si="994">+AM363+30</f>
        <v>30</v>
      </c>
      <c r="AS363" s="46">
        <f t="shared" ref="AS363" si="995">+DAY(AR363)</f>
        <v>30</v>
      </c>
      <c r="AT363" s="41">
        <f t="shared" ref="AT363" si="996">+MONTH(AR363)</f>
        <v>1</v>
      </c>
      <c r="AU363" s="41">
        <f t="shared" ref="AU363" si="997">+YEAR(AR363)</f>
        <v>1900</v>
      </c>
      <c r="AV363" s="41" t="str">
        <f t="shared" ref="AV363" si="998">+CONCATENATE(TEXT(AS363,"00"),TEXT(AT363,"00"),RIGHT(AU363,2))</f>
        <v>300100</v>
      </c>
    </row>
    <row r="364" spans="1:48" hidden="1" x14ac:dyDescent="0.25">
      <c r="A364" s="31"/>
      <c r="B364" s="31"/>
      <c r="C364" s="3"/>
      <c r="D364" s="3"/>
      <c r="E364" s="2"/>
      <c r="F364" s="3"/>
      <c r="G364" s="3"/>
      <c r="H364" s="16"/>
      <c r="I364" s="16"/>
      <c r="J364" s="3"/>
      <c r="K364" s="17"/>
      <c r="L364" s="16"/>
      <c r="M364" s="3"/>
      <c r="N364" s="3"/>
      <c r="O364" s="2"/>
      <c r="P364" s="3" t="s">
        <v>54</v>
      </c>
      <c r="Q364" s="3"/>
      <c r="R364" s="3"/>
      <c r="S364" s="16"/>
      <c r="T364" s="3"/>
      <c r="U364" s="3"/>
      <c r="V364" s="3"/>
      <c r="W364" s="16"/>
      <c r="X364" s="16"/>
      <c r="Y364" s="3"/>
      <c r="Z364" s="18"/>
      <c r="AA364" s="3"/>
      <c r="AB364" s="16"/>
      <c r="AC364" s="16"/>
      <c r="AD364" s="16"/>
      <c r="AE364" s="9"/>
      <c r="AF364" s="16"/>
      <c r="AG364" s="16"/>
      <c r="AH364" s="16"/>
      <c r="AI364" s="16"/>
      <c r="AJ364" s="16"/>
      <c r="AK364" s="16"/>
      <c r="AL364" s="16"/>
      <c r="AM364" s="3"/>
      <c r="AN364" s="3"/>
      <c r="AO364" s="3"/>
      <c r="AP364" s="3"/>
      <c r="AQ364" s="3"/>
      <c r="AR364" s="3"/>
      <c r="AS364" s="3"/>
      <c r="AT364" s="3"/>
      <c r="AU364" s="3"/>
      <c r="AV364" s="3"/>
    </row>
    <row r="365" spans="1:48" hidden="1" x14ac:dyDescent="0.25">
      <c r="A365" s="31"/>
      <c r="B365" s="31"/>
      <c r="C365" s="3"/>
      <c r="D365" s="3"/>
      <c r="E365" s="2"/>
      <c r="F365" s="3"/>
      <c r="G365" s="3"/>
      <c r="H365" s="16"/>
      <c r="I365" s="16"/>
      <c r="J365" s="3"/>
      <c r="K365" s="17"/>
      <c r="L365" s="16"/>
      <c r="M365" s="3"/>
      <c r="N365" s="3"/>
      <c r="O365" s="2"/>
      <c r="P365" s="3" t="s">
        <v>54</v>
      </c>
      <c r="Q365" s="3"/>
      <c r="R365" s="3"/>
      <c r="S365" s="16"/>
      <c r="T365" s="3"/>
      <c r="U365" s="3"/>
      <c r="V365" s="3"/>
      <c r="W365" s="16"/>
      <c r="X365" s="16"/>
      <c r="Y365" s="3"/>
      <c r="Z365" s="18"/>
      <c r="AA365" s="3"/>
      <c r="AB365" s="16"/>
      <c r="AC365" s="16"/>
      <c r="AD365" s="16"/>
      <c r="AE365" s="9"/>
      <c r="AF365" s="16"/>
      <c r="AG365" s="16"/>
      <c r="AH365" s="16"/>
      <c r="AI365" s="16"/>
      <c r="AJ365" s="16"/>
      <c r="AK365" s="16"/>
      <c r="AL365" s="16"/>
      <c r="AM365" s="3"/>
      <c r="AN365" s="3"/>
      <c r="AO365" s="3"/>
      <c r="AP365" s="3"/>
      <c r="AQ365" s="3"/>
      <c r="AR365" s="3"/>
      <c r="AS365" s="3"/>
      <c r="AT365" s="3"/>
      <c r="AU365" s="3"/>
      <c r="AV365" s="3"/>
    </row>
    <row r="366" spans="1:48" hidden="1" x14ac:dyDescent="0.25">
      <c r="A366" s="31"/>
      <c r="B366" s="31"/>
      <c r="C366" s="3"/>
      <c r="D366" s="3"/>
      <c r="E366" s="2"/>
      <c r="F366" s="3"/>
      <c r="G366" s="3"/>
      <c r="H366" s="16"/>
      <c r="I366" s="16"/>
      <c r="J366" s="3"/>
      <c r="K366" s="17"/>
      <c r="L366" s="16"/>
      <c r="M366" s="3"/>
      <c r="N366" s="3"/>
      <c r="O366" s="2"/>
      <c r="P366" s="3" t="s">
        <v>54</v>
      </c>
      <c r="Q366" s="3"/>
      <c r="R366" s="3"/>
      <c r="S366" s="16"/>
      <c r="T366" s="3"/>
      <c r="U366" s="3"/>
      <c r="V366" s="3"/>
      <c r="W366" s="16"/>
      <c r="X366" s="16"/>
      <c r="Y366" s="3"/>
      <c r="Z366" s="18"/>
      <c r="AA366" s="3"/>
      <c r="AB366" s="16"/>
      <c r="AC366" s="16"/>
      <c r="AD366" s="16"/>
      <c r="AE366" s="9"/>
      <c r="AF366" s="16"/>
      <c r="AG366" s="16"/>
      <c r="AH366" s="16"/>
      <c r="AI366" s="16"/>
      <c r="AJ366" s="16"/>
      <c r="AK366" s="16"/>
      <c r="AL366" s="16"/>
      <c r="AM366" s="3"/>
      <c r="AN366" s="3"/>
      <c r="AO366" s="3"/>
      <c r="AP366" s="3"/>
      <c r="AQ366" s="3"/>
      <c r="AR366" s="3"/>
      <c r="AS366" s="3"/>
      <c r="AT366" s="3"/>
      <c r="AU366" s="3"/>
      <c r="AV366" s="3"/>
    </row>
    <row r="367" spans="1:48" x14ac:dyDescent="0.25">
      <c r="A367" s="15">
        <f t="shared" ref="A367" si="999">1+A363</f>
        <v>92</v>
      </c>
      <c r="B367" s="15"/>
      <c r="C367" s="2"/>
      <c r="D367" s="2"/>
      <c r="E367" s="24" t="str">
        <f t="shared" ref="E367" si="1000">+AQ367</f>
        <v/>
      </c>
      <c r="F367" s="30"/>
      <c r="G367" s="24" t="str">
        <f t="shared" ref="G367" si="1001">+AV367</f>
        <v>300100</v>
      </c>
      <c r="H367" s="16">
        <f t="shared" ref="H367" si="1002">+AK367</f>
        <v>0</v>
      </c>
      <c r="I367" s="16">
        <f t="shared" ref="I367" si="1003">+ROUND(AD367,2)</f>
        <v>0</v>
      </c>
      <c r="J367" s="2"/>
      <c r="K367" s="17">
        <f t="shared" ref="K367" si="1004">+AE367</f>
        <v>0</v>
      </c>
      <c r="L367" s="16">
        <f t="shared" ref="L367" si="1005">+AJ367</f>
        <v>0</v>
      </c>
      <c r="M367" s="32" t="s">
        <v>5</v>
      </c>
      <c r="N367" s="30"/>
      <c r="O367" s="2"/>
      <c r="P367" s="30"/>
      <c r="Q367" s="32" t="s">
        <v>0</v>
      </c>
      <c r="R367" s="24"/>
      <c r="S367" s="24" t="str">
        <f t="shared" ref="S367" si="1006">+RIGHT(O367,7)</f>
        <v/>
      </c>
      <c r="T367" s="2"/>
      <c r="U367" s="3" t="s">
        <v>1</v>
      </c>
      <c r="V367" s="3" t="s">
        <v>3</v>
      </c>
      <c r="W367" s="16">
        <f t="shared" ref="W367" si="1007">+AI367</f>
        <v>0</v>
      </c>
      <c r="X367" s="16">
        <f t="shared" ref="X367" si="1008">+AJ367</f>
        <v>0</v>
      </c>
      <c r="Y367" s="3" t="s">
        <v>4</v>
      </c>
      <c r="Z367" s="18">
        <f t="shared" ref="Z367" si="1009">+F367</f>
        <v>0</v>
      </c>
      <c r="AA367" s="61"/>
      <c r="AB367" s="65"/>
      <c r="AC367" s="16">
        <f>+AB367*0.18</f>
        <v>0</v>
      </c>
      <c r="AD367" s="16">
        <f>+AB367+AC367</f>
        <v>0</v>
      </c>
      <c r="AE367" s="68"/>
      <c r="AF367" s="16">
        <f t="shared" ref="AF367" si="1010">+AB367*AE367</f>
        <v>0</v>
      </c>
      <c r="AG367" s="16">
        <f t="shared" ref="AG367" si="1011">+AC367*AE367</f>
        <v>0</v>
      </c>
      <c r="AH367" s="16">
        <f t="shared" ref="AH367" si="1012">+AD367*AE367</f>
        <v>0</v>
      </c>
      <c r="AI367" s="16">
        <f t="shared" ref="AI367" si="1013">+ROUND(AF367,2)</f>
        <v>0</v>
      </c>
      <c r="AJ367" s="16">
        <f t="shared" ref="AJ367" si="1014">+ROUND(AG367,2)</f>
        <v>0</v>
      </c>
      <c r="AK367" s="16">
        <f t="shared" ref="AK367" si="1015">+AI367+AJ367</f>
        <v>0</v>
      </c>
      <c r="AL367" s="16">
        <f t="shared" ref="AL367" si="1016">+AI367+AJ367-AK367</f>
        <v>0</v>
      </c>
      <c r="AM367" s="44"/>
      <c r="AN367" s="41" t="str">
        <f t="shared" ref="AN367" si="1017">+LEFT(AM367,2)</f>
        <v/>
      </c>
      <c r="AO367" s="41" t="str">
        <f t="shared" ref="AO367" si="1018">+MID(AM367,4,2)</f>
        <v/>
      </c>
      <c r="AP367" s="41" t="str">
        <f t="shared" ref="AP367" si="1019">+RIGHT(AM367,2)</f>
        <v/>
      </c>
      <c r="AQ367" s="41" t="str">
        <f t="shared" ref="AQ367" si="1020">+CONCATENATE(AN367,AO367,AP367)</f>
        <v/>
      </c>
      <c r="AR367" s="45">
        <f t="shared" ref="AR367" si="1021">+AM367+30</f>
        <v>30</v>
      </c>
      <c r="AS367" s="46">
        <f t="shared" ref="AS367" si="1022">+DAY(AR367)</f>
        <v>30</v>
      </c>
      <c r="AT367" s="41">
        <f t="shared" ref="AT367" si="1023">+MONTH(AR367)</f>
        <v>1</v>
      </c>
      <c r="AU367" s="41">
        <f t="shared" ref="AU367" si="1024">+YEAR(AR367)</f>
        <v>1900</v>
      </c>
      <c r="AV367" s="41" t="str">
        <f t="shared" ref="AV367" si="1025">+CONCATENATE(TEXT(AS367,"00"),TEXT(AT367,"00"),RIGHT(AU367,2))</f>
        <v>300100</v>
      </c>
    </row>
    <row r="368" spans="1:48" hidden="1" x14ac:dyDescent="0.25">
      <c r="A368" s="31"/>
      <c r="B368" s="31"/>
      <c r="C368" s="3"/>
      <c r="D368" s="3"/>
      <c r="E368" s="2"/>
      <c r="F368" s="3"/>
      <c r="G368" s="3"/>
      <c r="H368" s="16"/>
      <c r="I368" s="16"/>
      <c r="J368" s="3"/>
      <c r="K368" s="17"/>
      <c r="L368" s="16"/>
      <c r="M368" s="3"/>
      <c r="N368" s="3"/>
      <c r="O368" s="2"/>
      <c r="P368" s="3" t="s">
        <v>54</v>
      </c>
      <c r="Q368" s="3"/>
      <c r="R368" s="3"/>
      <c r="S368" s="16"/>
      <c r="T368" s="3"/>
      <c r="U368" s="3"/>
      <c r="V368" s="3"/>
      <c r="W368" s="16"/>
      <c r="X368" s="16"/>
      <c r="Y368" s="3"/>
      <c r="Z368" s="18"/>
      <c r="AA368" s="3"/>
      <c r="AB368" s="16"/>
      <c r="AC368" s="16"/>
      <c r="AD368" s="16"/>
      <c r="AE368" s="9"/>
      <c r="AF368" s="16"/>
      <c r="AG368" s="16"/>
      <c r="AH368" s="16"/>
      <c r="AI368" s="16"/>
      <c r="AJ368" s="16"/>
      <c r="AK368" s="16"/>
      <c r="AL368" s="16"/>
      <c r="AM368" s="3"/>
      <c r="AN368" s="3"/>
      <c r="AO368" s="3"/>
      <c r="AP368" s="3"/>
      <c r="AQ368" s="3"/>
      <c r="AR368" s="3"/>
      <c r="AS368" s="3"/>
      <c r="AT368" s="3"/>
      <c r="AU368" s="3"/>
      <c r="AV368" s="3"/>
    </row>
    <row r="369" spans="1:48" hidden="1" x14ac:dyDescent="0.25">
      <c r="A369" s="31"/>
      <c r="B369" s="31"/>
      <c r="C369" s="3"/>
      <c r="D369" s="3"/>
      <c r="E369" s="2"/>
      <c r="F369" s="3"/>
      <c r="G369" s="3"/>
      <c r="H369" s="16"/>
      <c r="I369" s="16"/>
      <c r="J369" s="3"/>
      <c r="K369" s="17"/>
      <c r="L369" s="16"/>
      <c r="M369" s="3"/>
      <c r="N369" s="3"/>
      <c r="O369" s="2"/>
      <c r="P369" s="3" t="s">
        <v>54</v>
      </c>
      <c r="Q369" s="3"/>
      <c r="R369" s="3"/>
      <c r="S369" s="16"/>
      <c r="T369" s="3"/>
      <c r="U369" s="3"/>
      <c r="V369" s="3"/>
      <c r="W369" s="16"/>
      <c r="X369" s="16"/>
      <c r="Y369" s="3"/>
      <c r="Z369" s="18"/>
      <c r="AA369" s="3"/>
      <c r="AB369" s="16"/>
      <c r="AC369" s="16"/>
      <c r="AD369" s="16"/>
      <c r="AE369" s="9"/>
      <c r="AF369" s="16"/>
      <c r="AG369" s="16"/>
      <c r="AH369" s="16"/>
      <c r="AI369" s="16"/>
      <c r="AJ369" s="16"/>
      <c r="AK369" s="16"/>
      <c r="AL369" s="16"/>
      <c r="AM369" s="3"/>
      <c r="AN369" s="3"/>
      <c r="AO369" s="3"/>
      <c r="AP369" s="3"/>
      <c r="AQ369" s="3"/>
      <c r="AR369" s="3"/>
      <c r="AS369" s="3"/>
      <c r="AT369" s="3"/>
      <c r="AU369" s="3"/>
      <c r="AV369" s="3"/>
    </row>
    <row r="370" spans="1:48" hidden="1" x14ac:dyDescent="0.25">
      <c r="A370" s="31"/>
      <c r="B370" s="31"/>
      <c r="C370" s="3"/>
      <c r="D370" s="3"/>
      <c r="E370" s="2"/>
      <c r="F370" s="3"/>
      <c r="G370" s="3"/>
      <c r="H370" s="16"/>
      <c r="I370" s="16"/>
      <c r="J370" s="3"/>
      <c r="K370" s="17"/>
      <c r="L370" s="16"/>
      <c r="M370" s="3"/>
      <c r="N370" s="3"/>
      <c r="O370" s="2"/>
      <c r="P370" s="3" t="s">
        <v>54</v>
      </c>
      <c r="Q370" s="3"/>
      <c r="R370" s="3"/>
      <c r="S370" s="16"/>
      <c r="T370" s="3"/>
      <c r="U370" s="3"/>
      <c r="V370" s="3"/>
      <c r="W370" s="16"/>
      <c r="X370" s="16"/>
      <c r="Y370" s="3"/>
      <c r="Z370" s="18"/>
      <c r="AA370" s="3"/>
      <c r="AB370" s="16"/>
      <c r="AC370" s="16"/>
      <c r="AD370" s="16"/>
      <c r="AE370" s="9"/>
      <c r="AF370" s="16"/>
      <c r="AG370" s="16"/>
      <c r="AH370" s="16"/>
      <c r="AI370" s="16"/>
      <c r="AJ370" s="16"/>
      <c r="AK370" s="16"/>
      <c r="AL370" s="16"/>
      <c r="AM370" s="3"/>
      <c r="AN370" s="3"/>
      <c r="AO370" s="3"/>
      <c r="AP370" s="3"/>
      <c r="AQ370" s="3"/>
      <c r="AR370" s="3"/>
      <c r="AS370" s="3"/>
      <c r="AT370" s="3"/>
      <c r="AU370" s="3"/>
      <c r="AV370" s="3"/>
    </row>
    <row r="371" spans="1:48" x14ac:dyDescent="0.25">
      <c r="A371" s="15">
        <f t="shared" ref="A371" si="1026">1+A367</f>
        <v>93</v>
      </c>
      <c r="B371" s="15"/>
      <c r="C371" s="2"/>
      <c r="D371" s="2"/>
      <c r="E371" s="24" t="str">
        <f t="shared" ref="E371" si="1027">+AQ371</f>
        <v/>
      </c>
      <c r="F371" s="30"/>
      <c r="G371" s="24" t="str">
        <f t="shared" ref="G371" si="1028">+AV371</f>
        <v>300100</v>
      </c>
      <c r="H371" s="16">
        <f t="shared" ref="H371" si="1029">+AK371</f>
        <v>0</v>
      </c>
      <c r="I371" s="16">
        <f t="shared" ref="I371" si="1030">+ROUND(AD371,2)</f>
        <v>0</v>
      </c>
      <c r="J371" s="2"/>
      <c r="K371" s="17">
        <f t="shared" ref="K371" si="1031">+AE371</f>
        <v>0</v>
      </c>
      <c r="L371" s="16">
        <f t="shared" ref="L371" si="1032">+AJ371</f>
        <v>0</v>
      </c>
      <c r="M371" s="32" t="s">
        <v>5</v>
      </c>
      <c r="N371" s="30"/>
      <c r="O371" s="2"/>
      <c r="P371" s="30"/>
      <c r="Q371" s="32" t="s">
        <v>0</v>
      </c>
      <c r="R371" s="24"/>
      <c r="S371" s="24" t="str">
        <f t="shared" ref="S371" si="1033">+RIGHT(O371,7)</f>
        <v/>
      </c>
      <c r="T371" s="2"/>
      <c r="U371" s="3" t="s">
        <v>1</v>
      </c>
      <c r="V371" s="3" t="s">
        <v>3</v>
      </c>
      <c r="W371" s="16">
        <f t="shared" ref="W371" si="1034">+AI371</f>
        <v>0</v>
      </c>
      <c r="X371" s="16">
        <f t="shared" ref="X371" si="1035">+AJ371</f>
        <v>0</v>
      </c>
      <c r="Y371" s="3" t="s">
        <v>4</v>
      </c>
      <c r="Z371" s="18">
        <f t="shared" ref="Z371" si="1036">+F371</f>
        <v>0</v>
      </c>
      <c r="AA371" s="61"/>
      <c r="AB371" s="65"/>
      <c r="AC371" s="16">
        <f>+AB371*0.18</f>
        <v>0</v>
      </c>
      <c r="AD371" s="16">
        <f>+AB371+AC371</f>
        <v>0</v>
      </c>
      <c r="AE371" s="68"/>
      <c r="AF371" s="16">
        <f t="shared" ref="AF371" si="1037">+AB371*AE371</f>
        <v>0</v>
      </c>
      <c r="AG371" s="16">
        <f t="shared" ref="AG371" si="1038">+AC371*AE371</f>
        <v>0</v>
      </c>
      <c r="AH371" s="16">
        <f t="shared" ref="AH371" si="1039">+AD371*AE371</f>
        <v>0</v>
      </c>
      <c r="AI371" s="16">
        <f t="shared" ref="AI371" si="1040">+ROUND(AF371,2)</f>
        <v>0</v>
      </c>
      <c r="AJ371" s="16">
        <f t="shared" ref="AJ371" si="1041">+ROUND(AG371,2)</f>
        <v>0</v>
      </c>
      <c r="AK371" s="16">
        <f t="shared" ref="AK371" si="1042">+AI371+AJ371</f>
        <v>0</v>
      </c>
      <c r="AL371" s="16">
        <f t="shared" ref="AL371" si="1043">+AI371+AJ371-AK371</f>
        <v>0</v>
      </c>
      <c r="AM371" s="44"/>
      <c r="AN371" s="41" t="str">
        <f t="shared" ref="AN371" si="1044">+LEFT(AM371,2)</f>
        <v/>
      </c>
      <c r="AO371" s="41" t="str">
        <f t="shared" ref="AO371" si="1045">+MID(AM371,4,2)</f>
        <v/>
      </c>
      <c r="AP371" s="41" t="str">
        <f t="shared" ref="AP371" si="1046">+RIGHT(AM371,2)</f>
        <v/>
      </c>
      <c r="AQ371" s="41" t="str">
        <f t="shared" ref="AQ371" si="1047">+CONCATENATE(AN371,AO371,AP371)</f>
        <v/>
      </c>
      <c r="AR371" s="45">
        <f t="shared" ref="AR371" si="1048">+AM371+30</f>
        <v>30</v>
      </c>
      <c r="AS371" s="46">
        <f t="shared" ref="AS371" si="1049">+DAY(AR371)</f>
        <v>30</v>
      </c>
      <c r="AT371" s="41">
        <f t="shared" ref="AT371" si="1050">+MONTH(AR371)</f>
        <v>1</v>
      </c>
      <c r="AU371" s="41">
        <f t="shared" ref="AU371" si="1051">+YEAR(AR371)</f>
        <v>1900</v>
      </c>
      <c r="AV371" s="41" t="str">
        <f t="shared" ref="AV371" si="1052">+CONCATENATE(TEXT(AS371,"00"),TEXT(AT371,"00"),RIGHT(AU371,2))</f>
        <v>300100</v>
      </c>
    </row>
    <row r="372" spans="1:48" hidden="1" x14ac:dyDescent="0.25">
      <c r="A372" s="31"/>
      <c r="B372" s="31"/>
      <c r="C372" s="3"/>
      <c r="D372" s="3"/>
      <c r="E372" s="2"/>
      <c r="F372" s="3"/>
      <c r="G372" s="3"/>
      <c r="H372" s="16"/>
      <c r="I372" s="16"/>
      <c r="J372" s="3"/>
      <c r="K372" s="17"/>
      <c r="L372" s="16"/>
      <c r="M372" s="3"/>
      <c r="N372" s="3"/>
      <c r="O372" s="2"/>
      <c r="P372" s="3" t="s">
        <v>54</v>
      </c>
      <c r="Q372" s="3"/>
      <c r="R372" s="3"/>
      <c r="S372" s="16"/>
      <c r="T372" s="3"/>
      <c r="U372" s="3"/>
      <c r="V372" s="3"/>
      <c r="W372" s="16"/>
      <c r="X372" s="16"/>
      <c r="Y372" s="3"/>
      <c r="Z372" s="18"/>
      <c r="AA372" s="3"/>
      <c r="AB372" s="16"/>
      <c r="AC372" s="16"/>
      <c r="AD372" s="16"/>
      <c r="AE372" s="9"/>
      <c r="AF372" s="16"/>
      <c r="AG372" s="16"/>
      <c r="AH372" s="16"/>
      <c r="AI372" s="16"/>
      <c r="AJ372" s="16"/>
      <c r="AK372" s="16"/>
      <c r="AL372" s="16"/>
      <c r="AM372" s="3"/>
      <c r="AN372" s="3"/>
      <c r="AO372" s="3"/>
      <c r="AP372" s="3"/>
      <c r="AQ372" s="3"/>
      <c r="AR372" s="3"/>
      <c r="AS372" s="3"/>
      <c r="AT372" s="3"/>
      <c r="AU372" s="3"/>
      <c r="AV372" s="3"/>
    </row>
    <row r="373" spans="1:48" hidden="1" x14ac:dyDescent="0.25">
      <c r="A373" s="31"/>
      <c r="B373" s="31"/>
      <c r="C373" s="3"/>
      <c r="D373" s="3"/>
      <c r="E373" s="2"/>
      <c r="F373" s="3"/>
      <c r="G373" s="3"/>
      <c r="H373" s="16"/>
      <c r="I373" s="16"/>
      <c r="J373" s="3"/>
      <c r="K373" s="17"/>
      <c r="L373" s="16"/>
      <c r="M373" s="3"/>
      <c r="N373" s="3"/>
      <c r="O373" s="2"/>
      <c r="P373" s="3" t="s">
        <v>54</v>
      </c>
      <c r="Q373" s="3"/>
      <c r="R373" s="3"/>
      <c r="S373" s="16"/>
      <c r="T373" s="3"/>
      <c r="U373" s="3"/>
      <c r="V373" s="3"/>
      <c r="W373" s="16"/>
      <c r="X373" s="16"/>
      <c r="Y373" s="3"/>
      <c r="Z373" s="18"/>
      <c r="AA373" s="3"/>
      <c r="AB373" s="16"/>
      <c r="AC373" s="16"/>
      <c r="AD373" s="16"/>
      <c r="AE373" s="9"/>
      <c r="AF373" s="16"/>
      <c r="AG373" s="16"/>
      <c r="AH373" s="16"/>
      <c r="AI373" s="16"/>
      <c r="AJ373" s="16"/>
      <c r="AK373" s="16"/>
      <c r="AL373" s="16"/>
      <c r="AM373" s="3"/>
      <c r="AN373" s="3"/>
      <c r="AO373" s="3"/>
      <c r="AP373" s="3"/>
      <c r="AQ373" s="3"/>
      <c r="AR373" s="3"/>
      <c r="AS373" s="3"/>
      <c r="AT373" s="3"/>
      <c r="AU373" s="3"/>
      <c r="AV373" s="3"/>
    </row>
    <row r="374" spans="1:48" hidden="1" x14ac:dyDescent="0.25">
      <c r="A374" s="31"/>
      <c r="B374" s="31"/>
      <c r="C374" s="3"/>
      <c r="D374" s="3"/>
      <c r="E374" s="2"/>
      <c r="F374" s="3"/>
      <c r="G374" s="3"/>
      <c r="H374" s="16"/>
      <c r="I374" s="16"/>
      <c r="J374" s="3"/>
      <c r="K374" s="17"/>
      <c r="L374" s="16"/>
      <c r="M374" s="3"/>
      <c r="N374" s="3"/>
      <c r="O374" s="2"/>
      <c r="P374" s="3" t="s">
        <v>54</v>
      </c>
      <c r="Q374" s="3"/>
      <c r="R374" s="3"/>
      <c r="S374" s="16"/>
      <c r="T374" s="3"/>
      <c r="U374" s="3"/>
      <c r="V374" s="3"/>
      <c r="W374" s="16"/>
      <c r="X374" s="16"/>
      <c r="Y374" s="3"/>
      <c r="Z374" s="18"/>
      <c r="AA374" s="3"/>
      <c r="AB374" s="16"/>
      <c r="AC374" s="16"/>
      <c r="AD374" s="16"/>
      <c r="AE374" s="9"/>
      <c r="AF374" s="16"/>
      <c r="AG374" s="16"/>
      <c r="AH374" s="16"/>
      <c r="AI374" s="16"/>
      <c r="AJ374" s="16"/>
      <c r="AK374" s="16"/>
      <c r="AL374" s="16"/>
      <c r="AM374" s="3"/>
      <c r="AN374" s="3"/>
      <c r="AO374" s="3"/>
      <c r="AP374" s="3"/>
      <c r="AQ374" s="3"/>
      <c r="AR374" s="3"/>
      <c r="AS374" s="3"/>
      <c r="AT374" s="3"/>
      <c r="AU374" s="3"/>
      <c r="AV374" s="3"/>
    </row>
    <row r="375" spans="1:48" x14ac:dyDescent="0.25">
      <c r="A375" s="15">
        <f t="shared" ref="A375" si="1053">1+A371</f>
        <v>94</v>
      </c>
      <c r="B375" s="15"/>
      <c r="C375" s="2"/>
      <c r="D375" s="2"/>
      <c r="E375" s="24" t="str">
        <f t="shared" ref="E375" si="1054">+AQ375</f>
        <v/>
      </c>
      <c r="F375" s="30"/>
      <c r="G375" s="24" t="str">
        <f t="shared" ref="G375" si="1055">+AV375</f>
        <v>300100</v>
      </c>
      <c r="H375" s="16">
        <f t="shared" ref="H375" si="1056">+AK375</f>
        <v>0</v>
      </c>
      <c r="I375" s="16">
        <f t="shared" ref="I375" si="1057">+ROUND(AD375,2)</f>
        <v>0</v>
      </c>
      <c r="J375" s="2"/>
      <c r="K375" s="17">
        <f t="shared" ref="K375" si="1058">+AE375</f>
        <v>0</v>
      </c>
      <c r="L375" s="16">
        <f t="shared" ref="L375" si="1059">+AJ375</f>
        <v>0</v>
      </c>
      <c r="M375" s="32" t="s">
        <v>5</v>
      </c>
      <c r="N375" s="30"/>
      <c r="O375" s="2"/>
      <c r="P375" s="30"/>
      <c r="Q375" s="32" t="s">
        <v>0</v>
      </c>
      <c r="R375" s="24"/>
      <c r="S375" s="24" t="str">
        <f t="shared" ref="S375" si="1060">+RIGHT(O375,7)</f>
        <v/>
      </c>
      <c r="T375" s="2"/>
      <c r="U375" s="3" t="s">
        <v>1</v>
      </c>
      <c r="V375" s="3" t="s">
        <v>3</v>
      </c>
      <c r="W375" s="16">
        <f t="shared" ref="W375" si="1061">+AI375</f>
        <v>0</v>
      </c>
      <c r="X375" s="16">
        <f t="shared" ref="X375" si="1062">+AJ375</f>
        <v>0</v>
      </c>
      <c r="Y375" s="3" t="s">
        <v>4</v>
      </c>
      <c r="Z375" s="18">
        <f t="shared" ref="Z375" si="1063">+F375</f>
        <v>0</v>
      </c>
      <c r="AA375" s="61"/>
      <c r="AB375" s="65"/>
      <c r="AC375" s="16">
        <f>+AB375*0.18</f>
        <v>0</v>
      </c>
      <c r="AD375" s="16">
        <f>+AB375+AC375</f>
        <v>0</v>
      </c>
      <c r="AE375" s="68"/>
      <c r="AF375" s="16">
        <f t="shared" ref="AF375" si="1064">+AB375*AE375</f>
        <v>0</v>
      </c>
      <c r="AG375" s="16">
        <f t="shared" ref="AG375" si="1065">+AC375*AE375</f>
        <v>0</v>
      </c>
      <c r="AH375" s="16">
        <f t="shared" ref="AH375" si="1066">+AD375*AE375</f>
        <v>0</v>
      </c>
      <c r="AI375" s="16">
        <f t="shared" ref="AI375" si="1067">+ROUND(AF375,2)</f>
        <v>0</v>
      </c>
      <c r="AJ375" s="16">
        <f t="shared" ref="AJ375" si="1068">+ROUND(AG375,2)</f>
        <v>0</v>
      </c>
      <c r="AK375" s="16">
        <f t="shared" ref="AK375" si="1069">+AI375+AJ375</f>
        <v>0</v>
      </c>
      <c r="AL375" s="16">
        <f t="shared" ref="AL375" si="1070">+AI375+AJ375-AK375</f>
        <v>0</v>
      </c>
      <c r="AM375" s="44"/>
      <c r="AN375" s="41" t="str">
        <f t="shared" ref="AN375" si="1071">+LEFT(AM375,2)</f>
        <v/>
      </c>
      <c r="AO375" s="41" t="str">
        <f t="shared" ref="AO375" si="1072">+MID(AM375,4,2)</f>
        <v/>
      </c>
      <c r="AP375" s="41" t="str">
        <f t="shared" ref="AP375" si="1073">+RIGHT(AM375,2)</f>
        <v/>
      </c>
      <c r="AQ375" s="41" t="str">
        <f t="shared" ref="AQ375" si="1074">+CONCATENATE(AN375,AO375,AP375)</f>
        <v/>
      </c>
      <c r="AR375" s="45">
        <f t="shared" ref="AR375" si="1075">+AM375+30</f>
        <v>30</v>
      </c>
      <c r="AS375" s="46">
        <f t="shared" ref="AS375" si="1076">+DAY(AR375)</f>
        <v>30</v>
      </c>
      <c r="AT375" s="41">
        <f t="shared" ref="AT375" si="1077">+MONTH(AR375)</f>
        <v>1</v>
      </c>
      <c r="AU375" s="41">
        <f t="shared" ref="AU375" si="1078">+YEAR(AR375)</f>
        <v>1900</v>
      </c>
      <c r="AV375" s="41" t="str">
        <f t="shared" ref="AV375" si="1079">+CONCATENATE(TEXT(AS375,"00"),TEXT(AT375,"00"),RIGHT(AU375,2))</f>
        <v>300100</v>
      </c>
    </row>
    <row r="376" spans="1:48" hidden="1" x14ac:dyDescent="0.25">
      <c r="A376" s="31"/>
      <c r="B376" s="31"/>
      <c r="C376" s="3"/>
      <c r="D376" s="3"/>
      <c r="E376" s="2"/>
      <c r="F376" s="3"/>
      <c r="G376" s="3"/>
      <c r="H376" s="16"/>
      <c r="I376" s="16"/>
      <c r="J376" s="3"/>
      <c r="K376" s="17"/>
      <c r="L376" s="16"/>
      <c r="M376" s="3"/>
      <c r="N376" s="3"/>
      <c r="O376" s="2"/>
      <c r="P376" s="3" t="s">
        <v>54</v>
      </c>
      <c r="Q376" s="3"/>
      <c r="R376" s="3"/>
      <c r="S376" s="16"/>
      <c r="T376" s="3"/>
      <c r="U376" s="3"/>
      <c r="V376" s="3"/>
      <c r="W376" s="16"/>
      <c r="X376" s="16"/>
      <c r="Y376" s="3"/>
      <c r="Z376" s="18"/>
      <c r="AA376" s="3"/>
      <c r="AB376" s="16"/>
      <c r="AC376" s="16"/>
      <c r="AD376" s="16"/>
      <c r="AE376" s="9"/>
      <c r="AF376" s="16"/>
      <c r="AG376" s="16"/>
      <c r="AH376" s="16"/>
      <c r="AI376" s="16"/>
      <c r="AJ376" s="16"/>
      <c r="AK376" s="16"/>
      <c r="AL376" s="16"/>
      <c r="AM376" s="3"/>
      <c r="AN376" s="3"/>
      <c r="AO376" s="3"/>
      <c r="AP376" s="3"/>
      <c r="AQ376" s="3"/>
      <c r="AR376" s="3"/>
      <c r="AS376" s="3"/>
      <c r="AT376" s="3"/>
      <c r="AU376" s="3"/>
      <c r="AV376" s="3"/>
    </row>
    <row r="377" spans="1:48" hidden="1" x14ac:dyDescent="0.25">
      <c r="A377" s="31"/>
      <c r="B377" s="31"/>
      <c r="C377" s="3"/>
      <c r="D377" s="3"/>
      <c r="E377" s="2"/>
      <c r="F377" s="3"/>
      <c r="G377" s="3"/>
      <c r="H377" s="16"/>
      <c r="I377" s="16"/>
      <c r="J377" s="3"/>
      <c r="K377" s="17"/>
      <c r="L377" s="16"/>
      <c r="M377" s="3"/>
      <c r="N377" s="3"/>
      <c r="O377" s="2"/>
      <c r="P377" s="3" t="s">
        <v>54</v>
      </c>
      <c r="Q377" s="3"/>
      <c r="R377" s="3"/>
      <c r="S377" s="16"/>
      <c r="T377" s="3"/>
      <c r="U377" s="3"/>
      <c r="V377" s="3"/>
      <c r="W377" s="16"/>
      <c r="X377" s="16"/>
      <c r="Y377" s="3"/>
      <c r="Z377" s="18"/>
      <c r="AA377" s="3"/>
      <c r="AB377" s="16"/>
      <c r="AC377" s="16"/>
      <c r="AD377" s="16"/>
      <c r="AE377" s="9"/>
      <c r="AF377" s="16"/>
      <c r="AG377" s="16"/>
      <c r="AH377" s="16"/>
      <c r="AI377" s="16"/>
      <c r="AJ377" s="16"/>
      <c r="AK377" s="16"/>
      <c r="AL377" s="16"/>
      <c r="AM377" s="3"/>
      <c r="AN377" s="3"/>
      <c r="AO377" s="3"/>
      <c r="AP377" s="3"/>
      <c r="AQ377" s="3"/>
      <c r="AR377" s="3"/>
      <c r="AS377" s="3"/>
      <c r="AT377" s="3"/>
      <c r="AU377" s="3"/>
      <c r="AV377" s="3"/>
    </row>
    <row r="378" spans="1:48" hidden="1" x14ac:dyDescent="0.25">
      <c r="A378" s="31"/>
      <c r="B378" s="31"/>
      <c r="C378" s="3"/>
      <c r="D378" s="3"/>
      <c r="E378" s="2"/>
      <c r="F378" s="3"/>
      <c r="G378" s="3"/>
      <c r="H378" s="16"/>
      <c r="I378" s="16"/>
      <c r="J378" s="3"/>
      <c r="K378" s="17"/>
      <c r="L378" s="16"/>
      <c r="M378" s="3"/>
      <c r="N378" s="3"/>
      <c r="O378" s="2"/>
      <c r="P378" s="3" t="s">
        <v>54</v>
      </c>
      <c r="Q378" s="3"/>
      <c r="R378" s="3"/>
      <c r="S378" s="16"/>
      <c r="T378" s="3"/>
      <c r="U378" s="3"/>
      <c r="V378" s="3"/>
      <c r="W378" s="16"/>
      <c r="X378" s="16"/>
      <c r="Y378" s="3"/>
      <c r="Z378" s="18"/>
      <c r="AA378" s="3"/>
      <c r="AB378" s="16"/>
      <c r="AC378" s="16"/>
      <c r="AD378" s="16"/>
      <c r="AE378" s="9"/>
      <c r="AF378" s="16"/>
      <c r="AG378" s="16"/>
      <c r="AH378" s="16"/>
      <c r="AI378" s="16"/>
      <c r="AJ378" s="16"/>
      <c r="AK378" s="16"/>
      <c r="AL378" s="16"/>
      <c r="AM378" s="3"/>
      <c r="AN378" s="3"/>
      <c r="AO378" s="3"/>
      <c r="AP378" s="3"/>
      <c r="AQ378" s="3"/>
      <c r="AR378" s="3"/>
      <c r="AS378" s="3"/>
      <c r="AT378" s="3"/>
      <c r="AU378" s="3"/>
      <c r="AV378" s="3"/>
    </row>
    <row r="379" spans="1:48" x14ac:dyDescent="0.25">
      <c r="A379" s="15">
        <f t="shared" ref="A379" si="1080">1+A375</f>
        <v>95</v>
      </c>
      <c r="B379" s="15"/>
      <c r="C379" s="2"/>
      <c r="D379" s="2"/>
      <c r="E379" s="24" t="str">
        <f t="shared" ref="E379" si="1081">+AQ379</f>
        <v/>
      </c>
      <c r="F379" s="30"/>
      <c r="G379" s="24" t="str">
        <f t="shared" ref="G379" si="1082">+AV379</f>
        <v>300100</v>
      </c>
      <c r="H379" s="16">
        <f t="shared" ref="H379" si="1083">+AK379</f>
        <v>0</v>
      </c>
      <c r="I379" s="16">
        <f t="shared" ref="I379" si="1084">+ROUND(AD379,2)</f>
        <v>0</v>
      </c>
      <c r="J379" s="2"/>
      <c r="K379" s="17">
        <f t="shared" ref="K379" si="1085">+AE379</f>
        <v>0</v>
      </c>
      <c r="L379" s="16">
        <f t="shared" ref="L379" si="1086">+AJ379</f>
        <v>0</v>
      </c>
      <c r="M379" s="32" t="s">
        <v>5</v>
      </c>
      <c r="N379" s="30"/>
      <c r="O379" s="2"/>
      <c r="P379" s="30"/>
      <c r="Q379" s="32" t="s">
        <v>0</v>
      </c>
      <c r="R379" s="24"/>
      <c r="S379" s="24" t="str">
        <f t="shared" ref="S379" si="1087">+RIGHT(O379,7)</f>
        <v/>
      </c>
      <c r="T379" s="2"/>
      <c r="U379" s="3" t="s">
        <v>1</v>
      </c>
      <c r="V379" s="3" t="s">
        <v>3</v>
      </c>
      <c r="W379" s="16">
        <f t="shared" ref="W379" si="1088">+AI379</f>
        <v>0</v>
      </c>
      <c r="X379" s="16">
        <f t="shared" ref="X379" si="1089">+AJ379</f>
        <v>0</v>
      </c>
      <c r="Y379" s="3" t="s">
        <v>4</v>
      </c>
      <c r="Z379" s="18">
        <f t="shared" ref="Z379" si="1090">+F379</f>
        <v>0</v>
      </c>
      <c r="AA379" s="61"/>
      <c r="AB379" s="65"/>
      <c r="AC379" s="16">
        <f>+AB379*0.18</f>
        <v>0</v>
      </c>
      <c r="AD379" s="16">
        <f>+AB379+AC379</f>
        <v>0</v>
      </c>
      <c r="AE379" s="68"/>
      <c r="AF379" s="16">
        <f t="shared" ref="AF379" si="1091">+AB379*AE379</f>
        <v>0</v>
      </c>
      <c r="AG379" s="16">
        <f t="shared" ref="AG379" si="1092">+AC379*AE379</f>
        <v>0</v>
      </c>
      <c r="AH379" s="16">
        <f t="shared" ref="AH379" si="1093">+AD379*AE379</f>
        <v>0</v>
      </c>
      <c r="AI379" s="16">
        <f t="shared" ref="AI379" si="1094">+ROUND(AF379,2)</f>
        <v>0</v>
      </c>
      <c r="AJ379" s="16">
        <f t="shared" ref="AJ379" si="1095">+ROUND(AG379,2)</f>
        <v>0</v>
      </c>
      <c r="AK379" s="16">
        <f t="shared" ref="AK379" si="1096">+AI379+AJ379</f>
        <v>0</v>
      </c>
      <c r="AL379" s="16">
        <f t="shared" ref="AL379" si="1097">+AI379+AJ379-AK379</f>
        <v>0</v>
      </c>
      <c r="AM379" s="44"/>
      <c r="AN379" s="41" t="str">
        <f t="shared" ref="AN379" si="1098">+LEFT(AM379,2)</f>
        <v/>
      </c>
      <c r="AO379" s="41" t="str">
        <f t="shared" ref="AO379" si="1099">+MID(AM379,4,2)</f>
        <v/>
      </c>
      <c r="AP379" s="41" t="str">
        <f t="shared" ref="AP379" si="1100">+RIGHT(AM379,2)</f>
        <v/>
      </c>
      <c r="AQ379" s="41" t="str">
        <f t="shared" ref="AQ379" si="1101">+CONCATENATE(AN379,AO379,AP379)</f>
        <v/>
      </c>
      <c r="AR379" s="45">
        <f t="shared" ref="AR379" si="1102">+AM379+30</f>
        <v>30</v>
      </c>
      <c r="AS379" s="46">
        <f t="shared" ref="AS379" si="1103">+DAY(AR379)</f>
        <v>30</v>
      </c>
      <c r="AT379" s="41">
        <f t="shared" ref="AT379" si="1104">+MONTH(AR379)</f>
        <v>1</v>
      </c>
      <c r="AU379" s="41">
        <f t="shared" ref="AU379" si="1105">+YEAR(AR379)</f>
        <v>1900</v>
      </c>
      <c r="AV379" s="41" t="str">
        <f t="shared" ref="AV379" si="1106">+CONCATENATE(TEXT(AS379,"00"),TEXT(AT379,"00"),RIGHT(AU379,2))</f>
        <v>300100</v>
      </c>
    </row>
    <row r="380" spans="1:48" hidden="1" x14ac:dyDescent="0.25">
      <c r="A380" s="31"/>
      <c r="B380" s="31"/>
      <c r="C380" s="3"/>
      <c r="D380" s="3"/>
      <c r="E380" s="2"/>
      <c r="F380" s="3"/>
      <c r="G380" s="3"/>
      <c r="H380" s="16"/>
      <c r="I380" s="16"/>
      <c r="J380" s="3"/>
      <c r="K380" s="17"/>
      <c r="L380" s="16"/>
      <c r="M380" s="3"/>
      <c r="N380" s="3"/>
      <c r="O380" s="2"/>
      <c r="P380" s="3" t="s">
        <v>54</v>
      </c>
      <c r="Q380" s="3"/>
      <c r="R380" s="3"/>
      <c r="S380" s="16"/>
      <c r="T380" s="3"/>
      <c r="U380" s="3"/>
      <c r="V380" s="3"/>
      <c r="W380" s="16"/>
      <c r="X380" s="16"/>
      <c r="Y380" s="3"/>
      <c r="Z380" s="18"/>
      <c r="AA380" s="3"/>
      <c r="AB380" s="16"/>
      <c r="AC380" s="16"/>
      <c r="AD380" s="16"/>
      <c r="AE380" s="9"/>
      <c r="AF380" s="16"/>
      <c r="AG380" s="16"/>
      <c r="AH380" s="16"/>
      <c r="AI380" s="16"/>
      <c r="AJ380" s="16"/>
      <c r="AK380" s="16"/>
      <c r="AL380" s="16"/>
      <c r="AM380" s="3"/>
      <c r="AN380" s="3"/>
      <c r="AO380" s="3"/>
      <c r="AP380" s="3"/>
      <c r="AQ380" s="3"/>
      <c r="AR380" s="3"/>
      <c r="AS380" s="3"/>
      <c r="AT380" s="3"/>
      <c r="AU380" s="3"/>
      <c r="AV380" s="3"/>
    </row>
    <row r="381" spans="1:48" hidden="1" x14ac:dyDescent="0.25">
      <c r="A381" s="31"/>
      <c r="B381" s="31"/>
      <c r="C381" s="3"/>
      <c r="D381" s="3"/>
      <c r="E381" s="2"/>
      <c r="F381" s="3"/>
      <c r="G381" s="3"/>
      <c r="H381" s="16"/>
      <c r="I381" s="16"/>
      <c r="J381" s="3"/>
      <c r="K381" s="17"/>
      <c r="L381" s="16"/>
      <c r="M381" s="3"/>
      <c r="N381" s="3"/>
      <c r="O381" s="2"/>
      <c r="P381" s="3" t="s">
        <v>54</v>
      </c>
      <c r="Q381" s="3"/>
      <c r="R381" s="3"/>
      <c r="S381" s="16"/>
      <c r="T381" s="3"/>
      <c r="U381" s="3"/>
      <c r="V381" s="3"/>
      <c r="W381" s="16"/>
      <c r="X381" s="16"/>
      <c r="Y381" s="3"/>
      <c r="Z381" s="18"/>
      <c r="AA381" s="3"/>
      <c r="AB381" s="16"/>
      <c r="AC381" s="16"/>
      <c r="AD381" s="16"/>
      <c r="AE381" s="9"/>
      <c r="AF381" s="16"/>
      <c r="AG381" s="16"/>
      <c r="AH381" s="16"/>
      <c r="AI381" s="16"/>
      <c r="AJ381" s="16"/>
      <c r="AK381" s="16"/>
      <c r="AL381" s="16"/>
      <c r="AM381" s="3"/>
      <c r="AN381" s="3"/>
      <c r="AO381" s="3"/>
      <c r="AP381" s="3"/>
      <c r="AQ381" s="3"/>
      <c r="AR381" s="3"/>
      <c r="AS381" s="3"/>
      <c r="AT381" s="3"/>
      <c r="AU381" s="3"/>
      <c r="AV381" s="3"/>
    </row>
    <row r="382" spans="1:48" hidden="1" x14ac:dyDescent="0.25">
      <c r="A382" s="31"/>
      <c r="B382" s="31"/>
      <c r="C382" s="3"/>
      <c r="D382" s="3"/>
      <c r="E382" s="2"/>
      <c r="F382" s="3"/>
      <c r="G382" s="3"/>
      <c r="H382" s="16"/>
      <c r="I382" s="16"/>
      <c r="J382" s="3"/>
      <c r="K382" s="17"/>
      <c r="L382" s="16"/>
      <c r="M382" s="3"/>
      <c r="N382" s="3"/>
      <c r="O382" s="2"/>
      <c r="P382" s="3" t="s">
        <v>54</v>
      </c>
      <c r="Q382" s="3"/>
      <c r="R382" s="3"/>
      <c r="S382" s="16"/>
      <c r="T382" s="3"/>
      <c r="U382" s="3"/>
      <c r="V382" s="3"/>
      <c r="W382" s="16"/>
      <c r="X382" s="16"/>
      <c r="Y382" s="3"/>
      <c r="Z382" s="18"/>
      <c r="AA382" s="3"/>
      <c r="AB382" s="16"/>
      <c r="AC382" s="16"/>
      <c r="AD382" s="16"/>
      <c r="AE382" s="9"/>
      <c r="AF382" s="16"/>
      <c r="AG382" s="16"/>
      <c r="AH382" s="16"/>
      <c r="AI382" s="16"/>
      <c r="AJ382" s="16"/>
      <c r="AK382" s="16"/>
      <c r="AL382" s="16"/>
      <c r="AM382" s="3"/>
      <c r="AN382" s="3"/>
      <c r="AO382" s="3"/>
      <c r="AP382" s="3"/>
      <c r="AQ382" s="3"/>
      <c r="AR382" s="3"/>
      <c r="AS382" s="3"/>
      <c r="AT382" s="3"/>
      <c r="AU382" s="3"/>
      <c r="AV382" s="3"/>
    </row>
    <row r="383" spans="1:48" x14ac:dyDescent="0.25">
      <c r="A383" s="15">
        <f t="shared" ref="A383" si="1107">1+A379</f>
        <v>96</v>
      </c>
      <c r="B383" s="15"/>
      <c r="C383" s="2"/>
      <c r="D383" s="2"/>
      <c r="E383" s="24" t="str">
        <f t="shared" ref="E383" si="1108">+AQ383</f>
        <v/>
      </c>
      <c r="F383" s="30"/>
      <c r="G383" s="24" t="str">
        <f t="shared" ref="G383" si="1109">+AV383</f>
        <v>300100</v>
      </c>
      <c r="H383" s="16">
        <f t="shared" ref="H383" si="1110">+AK383</f>
        <v>0</v>
      </c>
      <c r="I383" s="16">
        <f t="shared" ref="I383" si="1111">+ROUND(AD383,2)</f>
        <v>0</v>
      </c>
      <c r="J383" s="2"/>
      <c r="K383" s="17">
        <f t="shared" ref="K383" si="1112">+AE383</f>
        <v>0</v>
      </c>
      <c r="L383" s="16">
        <f t="shared" ref="L383" si="1113">+AJ383</f>
        <v>0</v>
      </c>
      <c r="M383" s="32" t="s">
        <v>5</v>
      </c>
      <c r="N383" s="30"/>
      <c r="O383" s="2"/>
      <c r="P383" s="30"/>
      <c r="Q383" s="32" t="s">
        <v>0</v>
      </c>
      <c r="R383" s="24"/>
      <c r="S383" s="24" t="str">
        <f t="shared" ref="S383" si="1114">+RIGHT(O383,7)</f>
        <v/>
      </c>
      <c r="T383" s="2"/>
      <c r="U383" s="3" t="s">
        <v>1</v>
      </c>
      <c r="V383" s="3" t="s">
        <v>3</v>
      </c>
      <c r="W383" s="16">
        <f t="shared" ref="W383" si="1115">+AI383</f>
        <v>0</v>
      </c>
      <c r="X383" s="16">
        <f t="shared" ref="X383" si="1116">+AJ383</f>
        <v>0</v>
      </c>
      <c r="Y383" s="3" t="s">
        <v>4</v>
      </c>
      <c r="Z383" s="18">
        <f t="shared" ref="Z383" si="1117">+F383</f>
        <v>0</v>
      </c>
      <c r="AA383" s="61"/>
      <c r="AB383" s="65"/>
      <c r="AC383" s="16">
        <f>+AB383*0.18</f>
        <v>0</v>
      </c>
      <c r="AD383" s="16">
        <f>+AB383+AC383</f>
        <v>0</v>
      </c>
      <c r="AE383" s="68"/>
      <c r="AF383" s="16">
        <f t="shared" ref="AF383" si="1118">+AB383*AE383</f>
        <v>0</v>
      </c>
      <c r="AG383" s="16">
        <f t="shared" ref="AG383" si="1119">+AC383*AE383</f>
        <v>0</v>
      </c>
      <c r="AH383" s="16">
        <f t="shared" ref="AH383" si="1120">+AD383*AE383</f>
        <v>0</v>
      </c>
      <c r="AI383" s="16">
        <f t="shared" ref="AI383" si="1121">+ROUND(AF383,2)</f>
        <v>0</v>
      </c>
      <c r="AJ383" s="16">
        <f t="shared" ref="AJ383" si="1122">+ROUND(AG383,2)</f>
        <v>0</v>
      </c>
      <c r="AK383" s="16">
        <f t="shared" ref="AK383" si="1123">+AI383+AJ383</f>
        <v>0</v>
      </c>
      <c r="AL383" s="16">
        <f t="shared" ref="AL383" si="1124">+AI383+AJ383-AK383</f>
        <v>0</v>
      </c>
      <c r="AM383" s="44"/>
      <c r="AN383" s="41" t="str">
        <f t="shared" ref="AN383" si="1125">+LEFT(AM383,2)</f>
        <v/>
      </c>
      <c r="AO383" s="41" t="str">
        <f t="shared" ref="AO383" si="1126">+MID(AM383,4,2)</f>
        <v/>
      </c>
      <c r="AP383" s="41" t="str">
        <f t="shared" ref="AP383" si="1127">+RIGHT(AM383,2)</f>
        <v/>
      </c>
      <c r="AQ383" s="41" t="str">
        <f t="shared" ref="AQ383" si="1128">+CONCATENATE(AN383,AO383,AP383)</f>
        <v/>
      </c>
      <c r="AR383" s="45">
        <f t="shared" ref="AR383" si="1129">+AM383+30</f>
        <v>30</v>
      </c>
      <c r="AS383" s="46">
        <f t="shared" ref="AS383" si="1130">+DAY(AR383)</f>
        <v>30</v>
      </c>
      <c r="AT383" s="41">
        <f t="shared" ref="AT383" si="1131">+MONTH(AR383)</f>
        <v>1</v>
      </c>
      <c r="AU383" s="41">
        <f t="shared" ref="AU383" si="1132">+YEAR(AR383)</f>
        <v>1900</v>
      </c>
      <c r="AV383" s="41" t="str">
        <f t="shared" ref="AV383" si="1133">+CONCATENATE(TEXT(AS383,"00"),TEXT(AT383,"00"),RIGHT(AU383,2))</f>
        <v>300100</v>
      </c>
    </row>
    <row r="384" spans="1:48" hidden="1" x14ac:dyDescent="0.25">
      <c r="A384" s="31"/>
      <c r="B384" s="31"/>
      <c r="C384" s="3"/>
      <c r="D384" s="3"/>
      <c r="E384" s="2"/>
      <c r="F384" s="3"/>
      <c r="G384" s="3"/>
      <c r="H384" s="16"/>
      <c r="I384" s="16"/>
      <c r="J384" s="3"/>
      <c r="K384" s="17"/>
      <c r="L384" s="16"/>
      <c r="M384" s="3"/>
      <c r="N384" s="3"/>
      <c r="O384" s="2"/>
      <c r="P384" s="3" t="s">
        <v>54</v>
      </c>
      <c r="Q384" s="3"/>
      <c r="R384" s="3"/>
      <c r="S384" s="16"/>
      <c r="T384" s="3"/>
      <c r="U384" s="3"/>
      <c r="V384" s="3"/>
      <c r="W384" s="16"/>
      <c r="X384" s="16"/>
      <c r="Y384" s="3"/>
      <c r="Z384" s="18"/>
      <c r="AA384" s="3"/>
      <c r="AB384" s="16"/>
      <c r="AC384" s="16"/>
      <c r="AD384" s="16"/>
      <c r="AE384" s="9"/>
      <c r="AF384" s="16"/>
      <c r="AG384" s="16"/>
      <c r="AH384" s="16"/>
      <c r="AI384" s="16"/>
      <c r="AJ384" s="16"/>
      <c r="AK384" s="16"/>
      <c r="AL384" s="16"/>
      <c r="AM384" s="3"/>
      <c r="AN384" s="3"/>
      <c r="AO384" s="3"/>
      <c r="AP384" s="3"/>
      <c r="AQ384" s="3"/>
      <c r="AR384" s="3"/>
      <c r="AS384" s="3"/>
      <c r="AT384" s="3"/>
      <c r="AU384" s="3"/>
      <c r="AV384" s="3"/>
    </row>
    <row r="385" spans="1:48" hidden="1" x14ac:dyDescent="0.25">
      <c r="A385" s="31"/>
      <c r="B385" s="31"/>
      <c r="C385" s="3"/>
      <c r="D385" s="3"/>
      <c r="E385" s="2"/>
      <c r="F385" s="3"/>
      <c r="G385" s="3"/>
      <c r="H385" s="16"/>
      <c r="I385" s="16"/>
      <c r="J385" s="3"/>
      <c r="K385" s="17"/>
      <c r="L385" s="16"/>
      <c r="M385" s="3"/>
      <c r="N385" s="3"/>
      <c r="O385" s="2"/>
      <c r="P385" s="3" t="s">
        <v>54</v>
      </c>
      <c r="Q385" s="3"/>
      <c r="R385" s="3"/>
      <c r="S385" s="16"/>
      <c r="T385" s="3"/>
      <c r="U385" s="3"/>
      <c r="V385" s="3"/>
      <c r="W385" s="16"/>
      <c r="X385" s="16"/>
      <c r="Y385" s="3"/>
      <c r="Z385" s="18"/>
      <c r="AA385" s="3"/>
      <c r="AB385" s="16"/>
      <c r="AC385" s="16"/>
      <c r="AD385" s="16"/>
      <c r="AE385" s="9"/>
      <c r="AF385" s="16"/>
      <c r="AG385" s="16"/>
      <c r="AH385" s="16"/>
      <c r="AI385" s="16"/>
      <c r="AJ385" s="16"/>
      <c r="AK385" s="16"/>
      <c r="AL385" s="16"/>
      <c r="AM385" s="3"/>
      <c r="AN385" s="3"/>
      <c r="AO385" s="3"/>
      <c r="AP385" s="3"/>
      <c r="AQ385" s="3"/>
      <c r="AR385" s="3"/>
      <c r="AS385" s="3"/>
      <c r="AT385" s="3"/>
      <c r="AU385" s="3"/>
      <c r="AV385" s="3"/>
    </row>
    <row r="386" spans="1:48" hidden="1" x14ac:dyDescent="0.25">
      <c r="A386" s="31"/>
      <c r="B386" s="31"/>
      <c r="C386" s="3"/>
      <c r="D386" s="3"/>
      <c r="E386" s="2"/>
      <c r="F386" s="3"/>
      <c r="G386" s="3"/>
      <c r="H386" s="16"/>
      <c r="I386" s="16"/>
      <c r="J386" s="3"/>
      <c r="K386" s="17"/>
      <c r="L386" s="16"/>
      <c r="M386" s="3"/>
      <c r="N386" s="3"/>
      <c r="O386" s="2"/>
      <c r="P386" s="3" t="s">
        <v>54</v>
      </c>
      <c r="Q386" s="3"/>
      <c r="R386" s="3"/>
      <c r="S386" s="16"/>
      <c r="T386" s="3"/>
      <c r="U386" s="3"/>
      <c r="V386" s="3"/>
      <c r="W386" s="16"/>
      <c r="X386" s="16"/>
      <c r="Y386" s="3"/>
      <c r="Z386" s="18"/>
      <c r="AA386" s="3"/>
      <c r="AB386" s="16"/>
      <c r="AC386" s="16"/>
      <c r="AD386" s="16"/>
      <c r="AE386" s="9"/>
      <c r="AF386" s="16"/>
      <c r="AG386" s="16"/>
      <c r="AH386" s="16"/>
      <c r="AI386" s="16"/>
      <c r="AJ386" s="16"/>
      <c r="AK386" s="16"/>
      <c r="AL386" s="16"/>
      <c r="AM386" s="3"/>
      <c r="AN386" s="3"/>
      <c r="AO386" s="3"/>
      <c r="AP386" s="3"/>
      <c r="AQ386" s="3"/>
      <c r="AR386" s="3"/>
      <c r="AS386" s="3"/>
      <c r="AT386" s="3"/>
      <c r="AU386" s="3"/>
      <c r="AV386" s="3"/>
    </row>
    <row r="387" spans="1:48" x14ac:dyDescent="0.25">
      <c r="A387" s="15">
        <f t="shared" ref="A387" si="1134">1+A383</f>
        <v>97</v>
      </c>
      <c r="B387" s="15"/>
      <c r="C387" s="2"/>
      <c r="D387" s="2"/>
      <c r="E387" s="24" t="str">
        <f t="shared" ref="E387" si="1135">+AQ387</f>
        <v/>
      </c>
      <c r="F387" s="30"/>
      <c r="G387" s="24" t="str">
        <f t="shared" ref="G387" si="1136">+AV387</f>
        <v>300100</v>
      </c>
      <c r="H387" s="16">
        <f t="shared" ref="H387" si="1137">+AK387</f>
        <v>0</v>
      </c>
      <c r="I387" s="16">
        <f t="shared" ref="I387" si="1138">+ROUND(AD387,2)</f>
        <v>0</v>
      </c>
      <c r="J387" s="2"/>
      <c r="K387" s="17">
        <f t="shared" ref="K387" si="1139">+AE387</f>
        <v>0</v>
      </c>
      <c r="L387" s="16">
        <f t="shared" ref="L387" si="1140">+AJ387</f>
        <v>0</v>
      </c>
      <c r="M387" s="32" t="s">
        <v>5</v>
      </c>
      <c r="N387" s="30"/>
      <c r="O387" s="2"/>
      <c r="P387" s="30"/>
      <c r="Q387" s="32" t="s">
        <v>0</v>
      </c>
      <c r="R387" s="24"/>
      <c r="S387" s="24" t="str">
        <f t="shared" ref="S387" si="1141">+RIGHT(O387,7)</f>
        <v/>
      </c>
      <c r="T387" s="2"/>
      <c r="U387" s="3" t="s">
        <v>1</v>
      </c>
      <c r="V387" s="3" t="s">
        <v>3</v>
      </c>
      <c r="W387" s="16">
        <f t="shared" ref="W387" si="1142">+AI387</f>
        <v>0</v>
      </c>
      <c r="X387" s="16">
        <f t="shared" ref="X387" si="1143">+AJ387</f>
        <v>0</v>
      </c>
      <c r="Y387" s="3" t="s">
        <v>4</v>
      </c>
      <c r="Z387" s="18">
        <f t="shared" ref="Z387" si="1144">+F387</f>
        <v>0</v>
      </c>
      <c r="AA387" s="61"/>
      <c r="AB387" s="65"/>
      <c r="AC387" s="16">
        <f>+AB387*0.18</f>
        <v>0</v>
      </c>
      <c r="AD387" s="16">
        <f>+AB387+AC387</f>
        <v>0</v>
      </c>
      <c r="AE387" s="68"/>
      <c r="AF387" s="16">
        <f t="shared" ref="AF387" si="1145">+AB387*AE387</f>
        <v>0</v>
      </c>
      <c r="AG387" s="16">
        <f t="shared" ref="AG387" si="1146">+AC387*AE387</f>
        <v>0</v>
      </c>
      <c r="AH387" s="16">
        <f t="shared" ref="AH387" si="1147">+AD387*AE387</f>
        <v>0</v>
      </c>
      <c r="AI387" s="16">
        <f t="shared" ref="AI387" si="1148">+ROUND(AF387,2)</f>
        <v>0</v>
      </c>
      <c r="AJ387" s="16">
        <f t="shared" ref="AJ387" si="1149">+ROUND(AG387,2)</f>
        <v>0</v>
      </c>
      <c r="AK387" s="16">
        <f t="shared" ref="AK387" si="1150">+AI387+AJ387</f>
        <v>0</v>
      </c>
      <c r="AL387" s="16">
        <f t="shared" ref="AL387" si="1151">+AI387+AJ387-AK387</f>
        <v>0</v>
      </c>
      <c r="AM387" s="44"/>
      <c r="AN387" s="41" t="str">
        <f t="shared" ref="AN387" si="1152">+LEFT(AM387,2)</f>
        <v/>
      </c>
      <c r="AO387" s="41" t="str">
        <f t="shared" ref="AO387" si="1153">+MID(AM387,4,2)</f>
        <v/>
      </c>
      <c r="AP387" s="41" t="str">
        <f t="shared" ref="AP387" si="1154">+RIGHT(AM387,2)</f>
        <v/>
      </c>
      <c r="AQ387" s="41" t="str">
        <f t="shared" ref="AQ387" si="1155">+CONCATENATE(AN387,AO387,AP387)</f>
        <v/>
      </c>
      <c r="AR387" s="45">
        <f t="shared" ref="AR387" si="1156">+AM387+30</f>
        <v>30</v>
      </c>
      <c r="AS387" s="46">
        <f t="shared" ref="AS387" si="1157">+DAY(AR387)</f>
        <v>30</v>
      </c>
      <c r="AT387" s="41">
        <f t="shared" ref="AT387" si="1158">+MONTH(AR387)</f>
        <v>1</v>
      </c>
      <c r="AU387" s="41">
        <f t="shared" ref="AU387" si="1159">+YEAR(AR387)</f>
        <v>1900</v>
      </c>
      <c r="AV387" s="41" t="str">
        <f t="shared" ref="AV387" si="1160">+CONCATENATE(TEXT(AS387,"00"),TEXT(AT387,"00"),RIGHT(AU387,2))</f>
        <v>300100</v>
      </c>
    </row>
    <row r="388" spans="1:48" hidden="1" x14ac:dyDescent="0.25">
      <c r="A388" s="31"/>
      <c r="B388" s="31"/>
      <c r="C388" s="3"/>
      <c r="D388" s="3"/>
      <c r="E388" s="2"/>
      <c r="F388" s="3"/>
      <c r="G388" s="3"/>
      <c r="H388" s="16"/>
      <c r="I388" s="16"/>
      <c r="J388" s="3"/>
      <c r="K388" s="17"/>
      <c r="L388" s="16"/>
      <c r="M388" s="3"/>
      <c r="N388" s="3"/>
      <c r="O388" s="2"/>
      <c r="P388" s="3" t="s">
        <v>54</v>
      </c>
      <c r="Q388" s="3"/>
      <c r="R388" s="3"/>
      <c r="S388" s="16"/>
      <c r="T388" s="3"/>
      <c r="U388" s="3"/>
      <c r="V388" s="3"/>
      <c r="W388" s="16"/>
      <c r="X388" s="16"/>
      <c r="Y388" s="3"/>
      <c r="Z388" s="18"/>
      <c r="AA388" s="3"/>
      <c r="AB388" s="16"/>
      <c r="AC388" s="16"/>
      <c r="AD388" s="16"/>
      <c r="AE388" s="9"/>
      <c r="AF388" s="16"/>
      <c r="AG388" s="16"/>
      <c r="AH388" s="16"/>
      <c r="AI388" s="16"/>
      <c r="AJ388" s="16"/>
      <c r="AK388" s="16"/>
      <c r="AL388" s="16"/>
      <c r="AM388" s="3"/>
      <c r="AN388" s="3"/>
      <c r="AO388" s="3"/>
      <c r="AP388" s="3"/>
      <c r="AQ388" s="3"/>
      <c r="AR388" s="3"/>
      <c r="AS388" s="3"/>
      <c r="AT388" s="3"/>
      <c r="AU388" s="3"/>
      <c r="AV388" s="3"/>
    </row>
    <row r="389" spans="1:48" hidden="1" x14ac:dyDescent="0.25">
      <c r="A389" s="31"/>
      <c r="B389" s="31"/>
      <c r="C389" s="3"/>
      <c r="D389" s="3"/>
      <c r="E389" s="2"/>
      <c r="F389" s="3"/>
      <c r="G389" s="3"/>
      <c r="H389" s="16"/>
      <c r="I389" s="16"/>
      <c r="J389" s="3"/>
      <c r="K389" s="17"/>
      <c r="L389" s="16"/>
      <c r="M389" s="3"/>
      <c r="N389" s="3"/>
      <c r="O389" s="2"/>
      <c r="P389" s="3" t="s">
        <v>54</v>
      </c>
      <c r="Q389" s="3"/>
      <c r="R389" s="3"/>
      <c r="S389" s="16"/>
      <c r="T389" s="3"/>
      <c r="U389" s="3"/>
      <c r="V389" s="3"/>
      <c r="W389" s="16"/>
      <c r="X389" s="16"/>
      <c r="Y389" s="3"/>
      <c r="Z389" s="18"/>
      <c r="AA389" s="3"/>
      <c r="AB389" s="16"/>
      <c r="AC389" s="16"/>
      <c r="AD389" s="16"/>
      <c r="AE389" s="9"/>
      <c r="AF389" s="16"/>
      <c r="AG389" s="16"/>
      <c r="AH389" s="16"/>
      <c r="AI389" s="16"/>
      <c r="AJ389" s="16"/>
      <c r="AK389" s="16"/>
      <c r="AL389" s="16"/>
      <c r="AM389" s="3"/>
      <c r="AN389" s="3"/>
      <c r="AO389" s="3"/>
      <c r="AP389" s="3"/>
      <c r="AQ389" s="3"/>
      <c r="AR389" s="3"/>
      <c r="AS389" s="3"/>
      <c r="AT389" s="3"/>
      <c r="AU389" s="3"/>
      <c r="AV389" s="3"/>
    </row>
    <row r="390" spans="1:48" hidden="1" x14ac:dyDescent="0.25">
      <c r="A390" s="31"/>
      <c r="B390" s="31"/>
      <c r="C390" s="3"/>
      <c r="D390" s="3"/>
      <c r="E390" s="2"/>
      <c r="F390" s="3"/>
      <c r="G390" s="3"/>
      <c r="H390" s="16"/>
      <c r="I390" s="16"/>
      <c r="J390" s="3"/>
      <c r="K390" s="17"/>
      <c r="L390" s="16"/>
      <c r="M390" s="3"/>
      <c r="N390" s="3"/>
      <c r="O390" s="2"/>
      <c r="P390" s="3" t="s">
        <v>54</v>
      </c>
      <c r="Q390" s="3"/>
      <c r="R390" s="3"/>
      <c r="S390" s="16"/>
      <c r="T390" s="3"/>
      <c r="U390" s="3"/>
      <c r="V390" s="3"/>
      <c r="W390" s="16"/>
      <c r="X390" s="16"/>
      <c r="Y390" s="3"/>
      <c r="Z390" s="18"/>
      <c r="AA390" s="3"/>
      <c r="AB390" s="16"/>
      <c r="AC390" s="16"/>
      <c r="AD390" s="16"/>
      <c r="AE390" s="9"/>
      <c r="AF390" s="16"/>
      <c r="AG390" s="16"/>
      <c r="AH390" s="16"/>
      <c r="AI390" s="16"/>
      <c r="AJ390" s="16"/>
      <c r="AK390" s="16"/>
      <c r="AL390" s="16"/>
      <c r="AM390" s="3"/>
      <c r="AN390" s="3"/>
      <c r="AO390" s="3"/>
      <c r="AP390" s="3"/>
      <c r="AQ390" s="3"/>
      <c r="AR390" s="3"/>
      <c r="AS390" s="3"/>
      <c r="AT390" s="3"/>
      <c r="AU390" s="3"/>
      <c r="AV390" s="3"/>
    </row>
    <row r="391" spans="1:48" x14ac:dyDescent="0.25">
      <c r="A391" s="15">
        <f t="shared" ref="A391" si="1161">1+A387</f>
        <v>98</v>
      </c>
      <c r="B391" s="15"/>
      <c r="C391" s="2"/>
      <c r="D391" s="2"/>
      <c r="E391" s="24" t="str">
        <f t="shared" ref="E391" si="1162">+AQ391</f>
        <v/>
      </c>
      <c r="F391" s="30"/>
      <c r="G391" s="24" t="str">
        <f t="shared" ref="G391" si="1163">+AV391</f>
        <v>300100</v>
      </c>
      <c r="H391" s="16">
        <f t="shared" ref="H391" si="1164">+AK391</f>
        <v>0</v>
      </c>
      <c r="I391" s="16">
        <f t="shared" ref="I391" si="1165">+ROUND(AD391,2)</f>
        <v>0</v>
      </c>
      <c r="J391" s="2"/>
      <c r="K391" s="17">
        <f t="shared" ref="K391" si="1166">+AE391</f>
        <v>0</v>
      </c>
      <c r="L391" s="16">
        <f t="shared" ref="L391" si="1167">+AJ391</f>
        <v>0</v>
      </c>
      <c r="M391" s="32" t="s">
        <v>5</v>
      </c>
      <c r="N391" s="30"/>
      <c r="O391" s="2"/>
      <c r="P391" s="30"/>
      <c r="Q391" s="32" t="s">
        <v>0</v>
      </c>
      <c r="R391" s="24"/>
      <c r="S391" s="24" t="str">
        <f t="shared" ref="S391" si="1168">+RIGHT(O391,7)</f>
        <v/>
      </c>
      <c r="T391" s="2"/>
      <c r="U391" s="3" t="s">
        <v>1</v>
      </c>
      <c r="V391" s="3" t="s">
        <v>3</v>
      </c>
      <c r="W391" s="16">
        <f t="shared" ref="W391" si="1169">+AI391</f>
        <v>0</v>
      </c>
      <c r="X391" s="16">
        <f t="shared" ref="X391" si="1170">+AJ391</f>
        <v>0</v>
      </c>
      <c r="Y391" s="3" t="s">
        <v>4</v>
      </c>
      <c r="Z391" s="18">
        <f t="shared" ref="Z391" si="1171">+F391</f>
        <v>0</v>
      </c>
      <c r="AA391" s="61"/>
      <c r="AB391" s="65"/>
      <c r="AC391" s="16">
        <f>+AB391*0.18</f>
        <v>0</v>
      </c>
      <c r="AD391" s="16">
        <f>+AB391+AC391</f>
        <v>0</v>
      </c>
      <c r="AE391" s="68"/>
      <c r="AF391" s="16">
        <f t="shared" ref="AF391" si="1172">+AB391*AE391</f>
        <v>0</v>
      </c>
      <c r="AG391" s="16">
        <f t="shared" ref="AG391" si="1173">+AC391*AE391</f>
        <v>0</v>
      </c>
      <c r="AH391" s="16">
        <f t="shared" ref="AH391" si="1174">+AD391*AE391</f>
        <v>0</v>
      </c>
      <c r="AI391" s="16">
        <f t="shared" ref="AI391" si="1175">+ROUND(AF391,2)</f>
        <v>0</v>
      </c>
      <c r="AJ391" s="16">
        <f t="shared" ref="AJ391" si="1176">+ROUND(AG391,2)</f>
        <v>0</v>
      </c>
      <c r="AK391" s="16">
        <f t="shared" ref="AK391" si="1177">+AI391+AJ391</f>
        <v>0</v>
      </c>
      <c r="AL391" s="16">
        <f t="shared" ref="AL391" si="1178">+AI391+AJ391-AK391</f>
        <v>0</v>
      </c>
      <c r="AM391" s="44"/>
      <c r="AN391" s="41" t="str">
        <f t="shared" ref="AN391" si="1179">+LEFT(AM391,2)</f>
        <v/>
      </c>
      <c r="AO391" s="41" t="str">
        <f t="shared" ref="AO391" si="1180">+MID(AM391,4,2)</f>
        <v/>
      </c>
      <c r="AP391" s="41" t="str">
        <f t="shared" ref="AP391" si="1181">+RIGHT(AM391,2)</f>
        <v/>
      </c>
      <c r="AQ391" s="41" t="str">
        <f t="shared" ref="AQ391" si="1182">+CONCATENATE(AN391,AO391,AP391)</f>
        <v/>
      </c>
      <c r="AR391" s="45">
        <f t="shared" ref="AR391" si="1183">+AM391+30</f>
        <v>30</v>
      </c>
      <c r="AS391" s="46">
        <f t="shared" ref="AS391" si="1184">+DAY(AR391)</f>
        <v>30</v>
      </c>
      <c r="AT391" s="41">
        <f t="shared" ref="AT391" si="1185">+MONTH(AR391)</f>
        <v>1</v>
      </c>
      <c r="AU391" s="41">
        <f t="shared" ref="AU391" si="1186">+YEAR(AR391)</f>
        <v>1900</v>
      </c>
      <c r="AV391" s="41" t="str">
        <f t="shared" ref="AV391" si="1187">+CONCATENATE(TEXT(AS391,"00"),TEXT(AT391,"00"),RIGHT(AU391,2))</f>
        <v>300100</v>
      </c>
    </row>
    <row r="392" spans="1:48" hidden="1" x14ac:dyDescent="0.25">
      <c r="A392" s="31"/>
      <c r="B392" s="31"/>
      <c r="C392" s="3"/>
      <c r="D392" s="3"/>
      <c r="E392" s="2"/>
      <c r="F392" s="3"/>
      <c r="G392" s="3"/>
      <c r="H392" s="16"/>
      <c r="I392" s="16"/>
      <c r="J392" s="3"/>
      <c r="K392" s="17"/>
      <c r="L392" s="16"/>
      <c r="M392" s="3"/>
      <c r="N392" s="3"/>
      <c r="O392" s="2"/>
      <c r="P392" s="3" t="s">
        <v>54</v>
      </c>
      <c r="Q392" s="3"/>
      <c r="R392" s="3"/>
      <c r="S392" s="16"/>
      <c r="T392" s="3"/>
      <c r="U392" s="3"/>
      <c r="V392" s="3"/>
      <c r="W392" s="16"/>
      <c r="X392" s="16"/>
      <c r="Y392" s="3"/>
      <c r="Z392" s="18"/>
      <c r="AA392" s="3"/>
      <c r="AB392" s="16"/>
      <c r="AC392" s="16"/>
      <c r="AD392" s="16"/>
      <c r="AE392" s="9"/>
      <c r="AF392" s="16"/>
      <c r="AG392" s="16"/>
      <c r="AH392" s="16"/>
      <c r="AI392" s="16"/>
      <c r="AJ392" s="16"/>
      <c r="AK392" s="16"/>
      <c r="AL392" s="16"/>
      <c r="AM392" s="3"/>
      <c r="AN392" s="3"/>
      <c r="AO392" s="3"/>
      <c r="AP392" s="3"/>
      <c r="AQ392" s="3"/>
      <c r="AR392" s="3"/>
      <c r="AS392" s="3"/>
      <c r="AT392" s="3"/>
      <c r="AU392" s="3"/>
      <c r="AV392" s="3"/>
    </row>
    <row r="393" spans="1:48" hidden="1" x14ac:dyDescent="0.25">
      <c r="A393" s="31"/>
      <c r="B393" s="31"/>
      <c r="C393" s="3"/>
      <c r="D393" s="3"/>
      <c r="E393" s="2"/>
      <c r="F393" s="3"/>
      <c r="G393" s="3"/>
      <c r="H393" s="16"/>
      <c r="I393" s="16"/>
      <c r="J393" s="3"/>
      <c r="K393" s="17"/>
      <c r="L393" s="16"/>
      <c r="M393" s="3"/>
      <c r="N393" s="3"/>
      <c r="O393" s="2"/>
      <c r="P393" s="3" t="s">
        <v>54</v>
      </c>
      <c r="Q393" s="3"/>
      <c r="R393" s="3"/>
      <c r="S393" s="16"/>
      <c r="T393" s="3"/>
      <c r="U393" s="3"/>
      <c r="V393" s="3"/>
      <c r="W393" s="16"/>
      <c r="X393" s="16"/>
      <c r="Y393" s="3"/>
      <c r="Z393" s="18"/>
      <c r="AA393" s="3"/>
      <c r="AB393" s="16"/>
      <c r="AC393" s="16"/>
      <c r="AD393" s="16"/>
      <c r="AE393" s="9"/>
      <c r="AF393" s="16"/>
      <c r="AG393" s="16"/>
      <c r="AH393" s="16"/>
      <c r="AI393" s="16"/>
      <c r="AJ393" s="16"/>
      <c r="AK393" s="16"/>
      <c r="AL393" s="16"/>
      <c r="AM393" s="3"/>
      <c r="AN393" s="3"/>
      <c r="AO393" s="3"/>
      <c r="AP393" s="3"/>
      <c r="AQ393" s="3"/>
      <c r="AR393" s="3"/>
      <c r="AS393" s="3"/>
      <c r="AT393" s="3"/>
      <c r="AU393" s="3"/>
      <c r="AV393" s="3"/>
    </row>
    <row r="394" spans="1:48" hidden="1" x14ac:dyDescent="0.25">
      <c r="A394" s="31"/>
      <c r="B394" s="31"/>
      <c r="C394" s="3"/>
      <c r="D394" s="3"/>
      <c r="E394" s="2"/>
      <c r="F394" s="3"/>
      <c r="G394" s="3"/>
      <c r="H394" s="16"/>
      <c r="I394" s="16"/>
      <c r="J394" s="3"/>
      <c r="K394" s="17"/>
      <c r="L394" s="16"/>
      <c r="M394" s="3"/>
      <c r="N394" s="3"/>
      <c r="O394" s="2"/>
      <c r="P394" s="3" t="s">
        <v>54</v>
      </c>
      <c r="Q394" s="3"/>
      <c r="R394" s="3"/>
      <c r="S394" s="16"/>
      <c r="T394" s="3"/>
      <c r="U394" s="3"/>
      <c r="V394" s="3"/>
      <c r="W394" s="16"/>
      <c r="X394" s="16"/>
      <c r="Y394" s="3"/>
      <c r="Z394" s="18"/>
      <c r="AA394" s="3"/>
      <c r="AB394" s="16"/>
      <c r="AC394" s="16"/>
      <c r="AD394" s="16"/>
      <c r="AE394" s="9"/>
      <c r="AF394" s="16"/>
      <c r="AG394" s="16"/>
      <c r="AH394" s="16"/>
      <c r="AI394" s="16"/>
      <c r="AJ394" s="16"/>
      <c r="AK394" s="16"/>
      <c r="AL394" s="16"/>
      <c r="AM394" s="3"/>
      <c r="AN394" s="3"/>
      <c r="AO394" s="3"/>
      <c r="AP394" s="3"/>
      <c r="AQ394" s="3"/>
      <c r="AR394" s="3"/>
      <c r="AS394" s="3"/>
      <c r="AT394" s="3"/>
      <c r="AU394" s="3"/>
      <c r="AV394" s="3"/>
    </row>
    <row r="395" spans="1:48" x14ac:dyDescent="0.25">
      <c r="A395" s="15">
        <f t="shared" ref="A395" si="1188">1+A391</f>
        <v>99</v>
      </c>
      <c r="B395" s="15"/>
      <c r="C395" s="2"/>
      <c r="D395" s="2"/>
      <c r="E395" s="24" t="str">
        <f t="shared" ref="E395" si="1189">+AQ395</f>
        <v/>
      </c>
      <c r="F395" s="30"/>
      <c r="G395" s="24" t="str">
        <f t="shared" ref="G395" si="1190">+AV395</f>
        <v>300100</v>
      </c>
      <c r="H395" s="16">
        <f t="shared" ref="H395" si="1191">+AK395</f>
        <v>0</v>
      </c>
      <c r="I395" s="16">
        <f t="shared" ref="I395" si="1192">+ROUND(AD395,2)</f>
        <v>0</v>
      </c>
      <c r="J395" s="2"/>
      <c r="K395" s="17">
        <f t="shared" ref="K395" si="1193">+AE395</f>
        <v>0</v>
      </c>
      <c r="L395" s="16">
        <f t="shared" ref="L395" si="1194">+AJ395</f>
        <v>0</v>
      </c>
      <c r="M395" s="32" t="s">
        <v>5</v>
      </c>
      <c r="N395" s="30"/>
      <c r="O395" s="2"/>
      <c r="P395" s="30"/>
      <c r="Q395" s="32" t="s">
        <v>0</v>
      </c>
      <c r="R395" s="24"/>
      <c r="S395" s="24" t="str">
        <f t="shared" ref="S395" si="1195">+RIGHT(O395,7)</f>
        <v/>
      </c>
      <c r="T395" s="2"/>
      <c r="U395" s="3" t="s">
        <v>1</v>
      </c>
      <c r="V395" s="3" t="s">
        <v>3</v>
      </c>
      <c r="W395" s="16">
        <f t="shared" ref="W395" si="1196">+AI395</f>
        <v>0</v>
      </c>
      <c r="X395" s="16">
        <f t="shared" ref="X395" si="1197">+AJ395</f>
        <v>0</v>
      </c>
      <c r="Y395" s="3" t="s">
        <v>4</v>
      </c>
      <c r="Z395" s="18">
        <f t="shared" ref="Z395" si="1198">+F395</f>
        <v>0</v>
      </c>
      <c r="AA395" s="61"/>
      <c r="AB395" s="65"/>
      <c r="AC395" s="16">
        <f>+AB395*0.18</f>
        <v>0</v>
      </c>
      <c r="AD395" s="16">
        <f>+AB395+AC395</f>
        <v>0</v>
      </c>
      <c r="AE395" s="68"/>
      <c r="AF395" s="16">
        <f t="shared" ref="AF395" si="1199">+AB395*AE395</f>
        <v>0</v>
      </c>
      <c r="AG395" s="16">
        <f t="shared" ref="AG395" si="1200">+AC395*AE395</f>
        <v>0</v>
      </c>
      <c r="AH395" s="16">
        <f t="shared" ref="AH395" si="1201">+AD395*AE395</f>
        <v>0</v>
      </c>
      <c r="AI395" s="16">
        <f t="shared" ref="AI395" si="1202">+ROUND(AF395,2)</f>
        <v>0</v>
      </c>
      <c r="AJ395" s="16">
        <f t="shared" ref="AJ395" si="1203">+ROUND(AG395,2)</f>
        <v>0</v>
      </c>
      <c r="AK395" s="16">
        <f t="shared" ref="AK395" si="1204">+AI395+AJ395</f>
        <v>0</v>
      </c>
      <c r="AL395" s="16">
        <f t="shared" ref="AL395" si="1205">+AI395+AJ395-AK395</f>
        <v>0</v>
      </c>
      <c r="AM395" s="44"/>
      <c r="AN395" s="41" t="str">
        <f t="shared" ref="AN395" si="1206">+LEFT(AM395,2)</f>
        <v/>
      </c>
      <c r="AO395" s="41" t="str">
        <f t="shared" ref="AO395" si="1207">+MID(AM395,4,2)</f>
        <v/>
      </c>
      <c r="AP395" s="41" t="str">
        <f t="shared" ref="AP395" si="1208">+RIGHT(AM395,2)</f>
        <v/>
      </c>
      <c r="AQ395" s="41" t="str">
        <f t="shared" ref="AQ395" si="1209">+CONCATENATE(AN395,AO395,AP395)</f>
        <v/>
      </c>
      <c r="AR395" s="45">
        <f t="shared" ref="AR395" si="1210">+AM395+30</f>
        <v>30</v>
      </c>
      <c r="AS395" s="46">
        <f t="shared" ref="AS395" si="1211">+DAY(AR395)</f>
        <v>30</v>
      </c>
      <c r="AT395" s="41">
        <f t="shared" ref="AT395" si="1212">+MONTH(AR395)</f>
        <v>1</v>
      </c>
      <c r="AU395" s="41">
        <f t="shared" ref="AU395" si="1213">+YEAR(AR395)</f>
        <v>1900</v>
      </c>
      <c r="AV395" s="41" t="str">
        <f t="shared" ref="AV395" si="1214">+CONCATENATE(TEXT(AS395,"00"),TEXT(AT395,"00"),RIGHT(AU395,2))</f>
        <v>300100</v>
      </c>
    </row>
    <row r="396" spans="1:48" hidden="1" x14ac:dyDescent="0.25">
      <c r="A396" s="31"/>
      <c r="B396" s="31"/>
      <c r="C396" s="3"/>
      <c r="D396" s="3"/>
      <c r="E396" s="2"/>
      <c r="F396" s="3"/>
      <c r="G396" s="3"/>
      <c r="H396" s="16"/>
      <c r="I396" s="16"/>
      <c r="J396" s="3"/>
      <c r="K396" s="17"/>
      <c r="L396" s="16"/>
      <c r="M396" s="3"/>
      <c r="N396" s="3"/>
      <c r="O396" s="2"/>
      <c r="P396" s="3" t="s">
        <v>54</v>
      </c>
      <c r="Q396" s="3"/>
      <c r="R396" s="3"/>
      <c r="S396" s="16"/>
      <c r="T396" s="3"/>
      <c r="U396" s="3"/>
      <c r="V396" s="3"/>
      <c r="W396" s="16"/>
      <c r="X396" s="16"/>
      <c r="Y396" s="3"/>
      <c r="Z396" s="18"/>
      <c r="AA396" s="3"/>
      <c r="AB396" s="16"/>
      <c r="AC396" s="16"/>
      <c r="AD396" s="16"/>
      <c r="AE396" s="9"/>
      <c r="AF396" s="16"/>
      <c r="AG396" s="16"/>
      <c r="AH396" s="16"/>
      <c r="AI396" s="16"/>
      <c r="AJ396" s="16"/>
      <c r="AK396" s="16"/>
      <c r="AL396" s="16"/>
      <c r="AM396" s="3"/>
      <c r="AN396" s="3"/>
      <c r="AO396" s="3"/>
      <c r="AP396" s="3"/>
      <c r="AQ396" s="3"/>
      <c r="AR396" s="3"/>
      <c r="AS396" s="3"/>
      <c r="AT396" s="3"/>
      <c r="AU396" s="3"/>
      <c r="AV396" s="3"/>
    </row>
    <row r="397" spans="1:48" hidden="1" x14ac:dyDescent="0.25">
      <c r="A397" s="31"/>
      <c r="B397" s="31"/>
      <c r="C397" s="3"/>
      <c r="D397" s="3"/>
      <c r="E397" s="2"/>
      <c r="F397" s="3"/>
      <c r="G397" s="3"/>
      <c r="H397" s="16"/>
      <c r="I397" s="16"/>
      <c r="J397" s="3"/>
      <c r="K397" s="17"/>
      <c r="L397" s="16"/>
      <c r="M397" s="3"/>
      <c r="N397" s="3"/>
      <c r="O397" s="2"/>
      <c r="P397" s="3" t="s">
        <v>54</v>
      </c>
      <c r="Q397" s="3"/>
      <c r="R397" s="3"/>
      <c r="S397" s="16"/>
      <c r="T397" s="3"/>
      <c r="U397" s="3"/>
      <c r="V397" s="3"/>
      <c r="W397" s="16"/>
      <c r="X397" s="16"/>
      <c r="Y397" s="3"/>
      <c r="Z397" s="18"/>
      <c r="AA397" s="3"/>
      <c r="AB397" s="16"/>
      <c r="AC397" s="16"/>
      <c r="AD397" s="16"/>
      <c r="AE397" s="9"/>
      <c r="AF397" s="16"/>
      <c r="AG397" s="16"/>
      <c r="AH397" s="16"/>
      <c r="AI397" s="16"/>
      <c r="AJ397" s="16"/>
      <c r="AK397" s="16"/>
      <c r="AL397" s="16"/>
      <c r="AM397" s="3"/>
      <c r="AN397" s="3"/>
      <c r="AO397" s="3"/>
      <c r="AP397" s="3"/>
      <c r="AQ397" s="3"/>
      <c r="AR397" s="3"/>
      <c r="AS397" s="3"/>
      <c r="AT397" s="3"/>
      <c r="AU397" s="3"/>
      <c r="AV397" s="3"/>
    </row>
    <row r="398" spans="1:48" hidden="1" x14ac:dyDescent="0.25">
      <c r="A398" s="31"/>
      <c r="B398" s="31"/>
      <c r="C398" s="3"/>
      <c r="D398" s="3"/>
      <c r="E398" s="2"/>
      <c r="F398" s="3"/>
      <c r="G398" s="3"/>
      <c r="H398" s="16"/>
      <c r="I398" s="16"/>
      <c r="J398" s="3"/>
      <c r="K398" s="17"/>
      <c r="L398" s="16"/>
      <c r="M398" s="3"/>
      <c r="N398" s="3"/>
      <c r="O398" s="2"/>
      <c r="P398" s="3" t="s">
        <v>54</v>
      </c>
      <c r="Q398" s="3"/>
      <c r="R398" s="3"/>
      <c r="S398" s="16"/>
      <c r="T398" s="3"/>
      <c r="U398" s="3"/>
      <c r="V398" s="3"/>
      <c r="W398" s="16"/>
      <c r="X398" s="16"/>
      <c r="Y398" s="3"/>
      <c r="Z398" s="18"/>
      <c r="AA398" s="3"/>
      <c r="AB398" s="16"/>
      <c r="AC398" s="16"/>
      <c r="AD398" s="16"/>
      <c r="AE398" s="9"/>
      <c r="AF398" s="16"/>
      <c r="AG398" s="16"/>
      <c r="AH398" s="16"/>
      <c r="AI398" s="16"/>
      <c r="AJ398" s="16"/>
      <c r="AK398" s="16"/>
      <c r="AL398" s="16"/>
      <c r="AM398" s="3"/>
      <c r="AN398" s="3"/>
      <c r="AO398" s="3"/>
      <c r="AP398" s="3"/>
      <c r="AQ398" s="3"/>
      <c r="AR398" s="3"/>
      <c r="AS398" s="3"/>
      <c r="AT398" s="3"/>
      <c r="AU398" s="3"/>
      <c r="AV398" s="3"/>
    </row>
    <row r="399" spans="1:48" x14ac:dyDescent="0.25">
      <c r="A399" s="15">
        <f t="shared" ref="A399" si="1215">1+A395</f>
        <v>100</v>
      </c>
      <c r="B399" s="15"/>
      <c r="C399" s="2"/>
      <c r="D399" s="2"/>
      <c r="E399" s="24" t="str">
        <f t="shared" ref="E399" si="1216">+AQ399</f>
        <v/>
      </c>
      <c r="F399" s="30"/>
      <c r="G399" s="24" t="str">
        <f t="shared" ref="G399" si="1217">+AV399</f>
        <v>300100</v>
      </c>
      <c r="H399" s="16">
        <f t="shared" ref="H399" si="1218">+AK399</f>
        <v>0</v>
      </c>
      <c r="I399" s="16">
        <f t="shared" ref="I399" si="1219">+ROUND(AD399,2)</f>
        <v>0</v>
      </c>
      <c r="J399" s="2"/>
      <c r="K399" s="17">
        <f t="shared" ref="K399" si="1220">+AE399</f>
        <v>0</v>
      </c>
      <c r="L399" s="16">
        <f t="shared" ref="L399" si="1221">+AJ399</f>
        <v>0</v>
      </c>
      <c r="M399" s="32" t="s">
        <v>5</v>
      </c>
      <c r="N399" s="30"/>
      <c r="O399" s="2"/>
      <c r="P399" s="30"/>
      <c r="Q399" s="32" t="s">
        <v>0</v>
      </c>
      <c r="R399" s="24"/>
      <c r="S399" s="24" t="str">
        <f t="shared" ref="S399" si="1222">+RIGHT(O399,7)</f>
        <v/>
      </c>
      <c r="T399" s="2"/>
      <c r="U399" s="3" t="s">
        <v>1</v>
      </c>
      <c r="V399" s="3" t="s">
        <v>3</v>
      </c>
      <c r="W399" s="16">
        <f t="shared" ref="W399" si="1223">+AI399</f>
        <v>0</v>
      </c>
      <c r="X399" s="16">
        <f t="shared" ref="X399" si="1224">+AJ399</f>
        <v>0</v>
      </c>
      <c r="Y399" s="3" t="s">
        <v>4</v>
      </c>
      <c r="Z399" s="18">
        <f t="shared" ref="Z399" si="1225">+F399</f>
        <v>0</v>
      </c>
      <c r="AA399" s="61"/>
      <c r="AB399" s="65"/>
      <c r="AC399" s="16">
        <f>+AB399*0.18</f>
        <v>0</v>
      </c>
      <c r="AD399" s="16">
        <f>+AB399+AC399</f>
        <v>0</v>
      </c>
      <c r="AE399" s="68"/>
      <c r="AF399" s="16">
        <f t="shared" ref="AF399" si="1226">+AB399*AE399</f>
        <v>0</v>
      </c>
      <c r="AG399" s="16">
        <f t="shared" ref="AG399" si="1227">+AC399*AE399</f>
        <v>0</v>
      </c>
      <c r="AH399" s="16">
        <f t="shared" ref="AH399" si="1228">+AD399*AE399</f>
        <v>0</v>
      </c>
      <c r="AI399" s="16">
        <f t="shared" ref="AI399" si="1229">+ROUND(AF399,2)</f>
        <v>0</v>
      </c>
      <c r="AJ399" s="16">
        <f t="shared" ref="AJ399" si="1230">+ROUND(AG399,2)</f>
        <v>0</v>
      </c>
      <c r="AK399" s="16">
        <f t="shared" ref="AK399" si="1231">+AI399+AJ399</f>
        <v>0</v>
      </c>
      <c r="AL399" s="16">
        <f t="shared" ref="AL399" si="1232">+AI399+AJ399-AK399</f>
        <v>0</v>
      </c>
      <c r="AM399" s="44"/>
      <c r="AN399" s="41" t="str">
        <f t="shared" ref="AN399" si="1233">+LEFT(AM399,2)</f>
        <v/>
      </c>
      <c r="AO399" s="41" t="str">
        <f t="shared" ref="AO399" si="1234">+MID(AM399,4,2)</f>
        <v/>
      </c>
      <c r="AP399" s="41" t="str">
        <f t="shared" ref="AP399" si="1235">+RIGHT(AM399,2)</f>
        <v/>
      </c>
      <c r="AQ399" s="41" t="str">
        <f t="shared" ref="AQ399" si="1236">+CONCATENATE(AN399,AO399,AP399)</f>
        <v/>
      </c>
      <c r="AR399" s="45">
        <f t="shared" ref="AR399" si="1237">+AM399+30</f>
        <v>30</v>
      </c>
      <c r="AS399" s="46">
        <f t="shared" ref="AS399" si="1238">+DAY(AR399)</f>
        <v>30</v>
      </c>
      <c r="AT399" s="41">
        <f t="shared" ref="AT399" si="1239">+MONTH(AR399)</f>
        <v>1</v>
      </c>
      <c r="AU399" s="41">
        <f t="shared" ref="AU399" si="1240">+YEAR(AR399)</f>
        <v>1900</v>
      </c>
      <c r="AV399" s="41" t="str">
        <f t="shared" ref="AV399" si="1241">+CONCATENATE(TEXT(AS399,"00"),TEXT(AT399,"00"),RIGHT(AU399,2))</f>
        <v>300100</v>
      </c>
    </row>
    <row r="400" spans="1:48" hidden="1" x14ac:dyDescent="0.25">
      <c r="A400" s="31"/>
      <c r="B400" s="31"/>
      <c r="C400" s="3"/>
      <c r="D400" s="3"/>
      <c r="E400" s="2"/>
      <c r="F400" s="3"/>
      <c r="G400" s="3"/>
      <c r="H400" s="16"/>
      <c r="I400" s="16"/>
      <c r="J400" s="3"/>
      <c r="K400" s="17"/>
      <c r="L400" s="16"/>
      <c r="M400" s="3"/>
      <c r="N400" s="3"/>
      <c r="O400" s="2"/>
      <c r="P400" s="3" t="s">
        <v>54</v>
      </c>
      <c r="Q400" s="3"/>
      <c r="R400" s="3"/>
      <c r="S400" s="16"/>
      <c r="T400" s="3"/>
      <c r="U400" s="3"/>
      <c r="V400" s="3"/>
      <c r="W400" s="16"/>
      <c r="X400" s="16"/>
      <c r="Y400" s="3"/>
      <c r="Z400" s="18"/>
      <c r="AA400" s="3"/>
      <c r="AB400" s="16"/>
      <c r="AC400" s="16"/>
      <c r="AD400" s="16"/>
      <c r="AE400" s="9"/>
      <c r="AF400" s="16"/>
      <c r="AG400" s="16"/>
      <c r="AH400" s="16"/>
      <c r="AI400" s="16"/>
      <c r="AJ400" s="16"/>
      <c r="AK400" s="16"/>
      <c r="AL400" s="16"/>
      <c r="AM400" s="3"/>
      <c r="AN400" s="3"/>
      <c r="AO400" s="3"/>
      <c r="AP400" s="3"/>
      <c r="AQ400" s="3"/>
      <c r="AR400" s="3"/>
      <c r="AS400" s="3"/>
      <c r="AT400" s="3"/>
      <c r="AU400" s="3"/>
      <c r="AV400" s="3"/>
    </row>
    <row r="401" spans="1:48" hidden="1" x14ac:dyDescent="0.25">
      <c r="A401" s="31"/>
      <c r="B401" s="31"/>
      <c r="C401" s="3"/>
      <c r="D401" s="3"/>
      <c r="E401" s="2"/>
      <c r="F401" s="3"/>
      <c r="G401" s="3"/>
      <c r="H401" s="16"/>
      <c r="I401" s="16"/>
      <c r="J401" s="3"/>
      <c r="K401" s="17"/>
      <c r="L401" s="16"/>
      <c r="M401" s="3"/>
      <c r="N401" s="3"/>
      <c r="O401" s="2"/>
      <c r="P401" s="3" t="s">
        <v>54</v>
      </c>
      <c r="Q401" s="3"/>
      <c r="R401" s="3"/>
      <c r="S401" s="16"/>
      <c r="T401" s="3"/>
      <c r="U401" s="3"/>
      <c r="V401" s="3"/>
      <c r="W401" s="16"/>
      <c r="X401" s="16"/>
      <c r="Y401" s="3"/>
      <c r="Z401" s="18"/>
      <c r="AA401" s="3"/>
      <c r="AB401" s="16"/>
      <c r="AC401" s="16"/>
      <c r="AD401" s="16"/>
      <c r="AE401" s="9"/>
      <c r="AF401" s="16"/>
      <c r="AG401" s="16"/>
      <c r="AH401" s="16"/>
      <c r="AI401" s="16"/>
      <c r="AJ401" s="16"/>
      <c r="AK401" s="16"/>
      <c r="AL401" s="16"/>
      <c r="AM401" s="3"/>
      <c r="AN401" s="3"/>
      <c r="AO401" s="3"/>
      <c r="AP401" s="3"/>
      <c r="AQ401" s="3"/>
      <c r="AR401" s="3"/>
      <c r="AS401" s="3"/>
      <c r="AT401" s="3"/>
      <c r="AU401" s="3"/>
      <c r="AV401" s="3"/>
    </row>
    <row r="402" spans="1:48" hidden="1" x14ac:dyDescent="0.25">
      <c r="A402" s="31"/>
      <c r="B402" s="31"/>
      <c r="C402" s="3"/>
      <c r="D402" s="3"/>
      <c r="E402" s="2"/>
      <c r="F402" s="3"/>
      <c r="G402" s="3"/>
      <c r="H402" s="16"/>
      <c r="I402" s="16"/>
      <c r="J402" s="3"/>
      <c r="K402" s="17"/>
      <c r="L402" s="16"/>
      <c r="M402" s="3"/>
      <c r="N402" s="3"/>
      <c r="O402" s="2"/>
      <c r="P402" s="3" t="s">
        <v>54</v>
      </c>
      <c r="Q402" s="3"/>
      <c r="R402" s="3"/>
      <c r="S402" s="16"/>
      <c r="T402" s="3"/>
      <c r="U402" s="3"/>
      <c r="V402" s="3"/>
      <c r="W402" s="16"/>
      <c r="X402" s="16"/>
      <c r="Y402" s="3"/>
      <c r="Z402" s="18"/>
      <c r="AA402" s="3"/>
      <c r="AB402" s="16"/>
      <c r="AC402" s="16"/>
      <c r="AD402" s="16"/>
      <c r="AE402" s="9"/>
      <c r="AF402" s="16"/>
      <c r="AG402" s="16"/>
      <c r="AH402" s="16"/>
      <c r="AI402" s="16"/>
      <c r="AJ402" s="16"/>
      <c r="AK402" s="16"/>
      <c r="AL402" s="16"/>
      <c r="AM402" s="3"/>
      <c r="AN402" s="3"/>
      <c r="AO402" s="3"/>
      <c r="AP402" s="3"/>
      <c r="AQ402" s="3"/>
      <c r="AR402" s="3"/>
      <c r="AS402" s="3"/>
      <c r="AT402" s="3"/>
      <c r="AU402" s="3"/>
      <c r="AV402" s="3"/>
    </row>
    <row r="403" spans="1:48" x14ac:dyDescent="0.25">
      <c r="A403" s="15">
        <f t="shared" ref="A403" si="1242">1+A399</f>
        <v>101</v>
      </c>
      <c r="B403" s="15"/>
      <c r="C403" s="2"/>
      <c r="D403" s="2"/>
      <c r="E403" s="24" t="str">
        <f t="shared" ref="E403" si="1243">+AQ403</f>
        <v/>
      </c>
      <c r="F403" s="30"/>
      <c r="G403" s="24" t="str">
        <f t="shared" ref="G403" si="1244">+AV403</f>
        <v>300100</v>
      </c>
      <c r="H403" s="16">
        <f t="shared" ref="H403" si="1245">+AK403</f>
        <v>0</v>
      </c>
      <c r="I403" s="16">
        <f t="shared" ref="I403" si="1246">+ROUND(AD403,2)</f>
        <v>0</v>
      </c>
      <c r="J403" s="2"/>
      <c r="K403" s="17">
        <f t="shared" ref="K403" si="1247">+AE403</f>
        <v>0</v>
      </c>
      <c r="L403" s="16">
        <f t="shared" ref="L403" si="1248">+AJ403</f>
        <v>0</v>
      </c>
      <c r="M403" s="32" t="s">
        <v>5</v>
      </c>
      <c r="N403" s="30"/>
      <c r="O403" s="2"/>
      <c r="P403" s="30"/>
      <c r="Q403" s="32" t="s">
        <v>0</v>
      </c>
      <c r="R403" s="24"/>
      <c r="S403" s="24" t="str">
        <f t="shared" ref="S403" si="1249">+RIGHT(O403,7)</f>
        <v/>
      </c>
      <c r="T403" s="2"/>
      <c r="U403" s="3" t="s">
        <v>1</v>
      </c>
      <c r="V403" s="3" t="s">
        <v>3</v>
      </c>
      <c r="W403" s="16">
        <f t="shared" ref="W403" si="1250">+AI403</f>
        <v>0</v>
      </c>
      <c r="X403" s="16">
        <f t="shared" ref="X403" si="1251">+AJ403</f>
        <v>0</v>
      </c>
      <c r="Y403" s="3" t="s">
        <v>4</v>
      </c>
      <c r="Z403" s="18">
        <f t="shared" ref="Z403" si="1252">+F403</f>
        <v>0</v>
      </c>
      <c r="AA403" s="61"/>
      <c r="AB403" s="65"/>
      <c r="AC403" s="16">
        <f>+AB403*0.18</f>
        <v>0</v>
      </c>
      <c r="AD403" s="16">
        <f>+AB403+AC403</f>
        <v>0</v>
      </c>
      <c r="AE403" s="68"/>
      <c r="AF403" s="16">
        <f t="shared" ref="AF403" si="1253">+AB403*AE403</f>
        <v>0</v>
      </c>
      <c r="AG403" s="16">
        <f t="shared" ref="AG403" si="1254">+AC403*AE403</f>
        <v>0</v>
      </c>
      <c r="AH403" s="16">
        <f t="shared" ref="AH403" si="1255">+AD403*AE403</f>
        <v>0</v>
      </c>
      <c r="AI403" s="16">
        <f t="shared" ref="AI403" si="1256">+ROUND(AF403,2)</f>
        <v>0</v>
      </c>
      <c r="AJ403" s="16">
        <f t="shared" ref="AJ403" si="1257">+ROUND(AG403,2)</f>
        <v>0</v>
      </c>
      <c r="AK403" s="16">
        <f t="shared" ref="AK403" si="1258">+AI403+AJ403</f>
        <v>0</v>
      </c>
      <c r="AL403" s="16">
        <f t="shared" ref="AL403" si="1259">+AI403+AJ403-AK403</f>
        <v>0</v>
      </c>
      <c r="AM403" s="44"/>
      <c r="AN403" s="41" t="str">
        <f t="shared" ref="AN403" si="1260">+LEFT(AM403,2)</f>
        <v/>
      </c>
      <c r="AO403" s="41" t="str">
        <f t="shared" ref="AO403" si="1261">+MID(AM403,4,2)</f>
        <v/>
      </c>
      <c r="AP403" s="41" t="str">
        <f t="shared" ref="AP403" si="1262">+RIGHT(AM403,2)</f>
        <v/>
      </c>
      <c r="AQ403" s="41" t="str">
        <f t="shared" ref="AQ403" si="1263">+CONCATENATE(AN403,AO403,AP403)</f>
        <v/>
      </c>
      <c r="AR403" s="45">
        <f t="shared" ref="AR403" si="1264">+AM403+30</f>
        <v>30</v>
      </c>
      <c r="AS403" s="46">
        <f t="shared" ref="AS403" si="1265">+DAY(AR403)</f>
        <v>30</v>
      </c>
      <c r="AT403" s="41">
        <f t="shared" ref="AT403" si="1266">+MONTH(AR403)</f>
        <v>1</v>
      </c>
      <c r="AU403" s="41">
        <f t="shared" ref="AU403" si="1267">+YEAR(AR403)</f>
        <v>1900</v>
      </c>
      <c r="AV403" s="41" t="str">
        <f t="shared" ref="AV403" si="1268">+CONCATENATE(TEXT(AS403,"00"),TEXT(AT403,"00"),RIGHT(AU403,2))</f>
        <v>300100</v>
      </c>
    </row>
    <row r="404" spans="1:48" hidden="1" x14ac:dyDescent="0.25">
      <c r="A404" s="31"/>
      <c r="B404" s="31"/>
      <c r="C404" s="3"/>
      <c r="D404" s="3"/>
      <c r="E404" s="2"/>
      <c r="F404" s="3"/>
      <c r="G404" s="3"/>
      <c r="H404" s="16"/>
      <c r="I404" s="16"/>
      <c r="J404" s="3"/>
      <c r="K404" s="17"/>
      <c r="L404" s="16"/>
      <c r="M404" s="3"/>
      <c r="N404" s="3"/>
      <c r="O404" s="2"/>
      <c r="P404" s="3" t="s">
        <v>54</v>
      </c>
      <c r="Q404" s="3"/>
      <c r="R404" s="3"/>
      <c r="S404" s="16"/>
      <c r="T404" s="3"/>
      <c r="U404" s="3"/>
      <c r="V404" s="3"/>
      <c r="W404" s="16"/>
      <c r="X404" s="16"/>
      <c r="Y404" s="3"/>
      <c r="Z404" s="18"/>
      <c r="AA404" s="3"/>
      <c r="AB404" s="16"/>
      <c r="AC404" s="16"/>
      <c r="AD404" s="16"/>
      <c r="AE404" s="9"/>
      <c r="AF404" s="16"/>
      <c r="AG404" s="16"/>
      <c r="AH404" s="16"/>
      <c r="AI404" s="16"/>
      <c r="AJ404" s="16"/>
      <c r="AK404" s="16"/>
      <c r="AL404" s="16"/>
      <c r="AM404" s="3"/>
      <c r="AN404" s="3"/>
      <c r="AO404" s="3"/>
      <c r="AP404" s="3"/>
      <c r="AQ404" s="3"/>
      <c r="AR404" s="3"/>
      <c r="AS404" s="3"/>
      <c r="AT404" s="3"/>
      <c r="AU404" s="3"/>
      <c r="AV404" s="3"/>
    </row>
    <row r="405" spans="1:48" hidden="1" x14ac:dyDescent="0.25">
      <c r="A405" s="31"/>
      <c r="B405" s="31"/>
      <c r="C405" s="3"/>
      <c r="D405" s="3"/>
      <c r="E405" s="2"/>
      <c r="F405" s="3"/>
      <c r="G405" s="3"/>
      <c r="H405" s="16"/>
      <c r="I405" s="16"/>
      <c r="J405" s="3"/>
      <c r="K405" s="17"/>
      <c r="L405" s="16"/>
      <c r="M405" s="3"/>
      <c r="N405" s="3"/>
      <c r="O405" s="2"/>
      <c r="P405" s="3" t="s">
        <v>54</v>
      </c>
      <c r="Q405" s="3"/>
      <c r="R405" s="3"/>
      <c r="S405" s="16"/>
      <c r="T405" s="3"/>
      <c r="U405" s="3"/>
      <c r="V405" s="3"/>
      <c r="W405" s="16"/>
      <c r="X405" s="16"/>
      <c r="Y405" s="3"/>
      <c r="Z405" s="18"/>
      <c r="AA405" s="3"/>
      <c r="AB405" s="16"/>
      <c r="AC405" s="16"/>
      <c r="AD405" s="16"/>
      <c r="AE405" s="9"/>
      <c r="AF405" s="16"/>
      <c r="AG405" s="16"/>
      <c r="AH405" s="16"/>
      <c r="AI405" s="16"/>
      <c r="AJ405" s="16"/>
      <c r="AK405" s="16"/>
      <c r="AL405" s="16"/>
      <c r="AM405" s="3"/>
      <c r="AN405" s="3"/>
      <c r="AO405" s="3"/>
      <c r="AP405" s="3"/>
      <c r="AQ405" s="3"/>
      <c r="AR405" s="3"/>
      <c r="AS405" s="3"/>
      <c r="AT405" s="3"/>
      <c r="AU405" s="3"/>
      <c r="AV405" s="3"/>
    </row>
    <row r="406" spans="1:48" hidden="1" x14ac:dyDescent="0.25">
      <c r="A406" s="31"/>
      <c r="B406" s="31"/>
      <c r="C406" s="3"/>
      <c r="D406" s="3"/>
      <c r="E406" s="2"/>
      <c r="F406" s="3"/>
      <c r="G406" s="3"/>
      <c r="H406" s="16"/>
      <c r="I406" s="16"/>
      <c r="J406" s="3"/>
      <c r="K406" s="17"/>
      <c r="L406" s="16"/>
      <c r="M406" s="3"/>
      <c r="N406" s="3"/>
      <c r="O406" s="2"/>
      <c r="P406" s="3" t="s">
        <v>54</v>
      </c>
      <c r="Q406" s="3"/>
      <c r="R406" s="3"/>
      <c r="S406" s="16"/>
      <c r="T406" s="3"/>
      <c r="U406" s="3"/>
      <c r="V406" s="3"/>
      <c r="W406" s="16"/>
      <c r="X406" s="16"/>
      <c r="Y406" s="3"/>
      <c r="Z406" s="18"/>
      <c r="AA406" s="3"/>
      <c r="AB406" s="16"/>
      <c r="AC406" s="16"/>
      <c r="AD406" s="16"/>
      <c r="AE406" s="9"/>
      <c r="AF406" s="16"/>
      <c r="AG406" s="16"/>
      <c r="AH406" s="16"/>
      <c r="AI406" s="16"/>
      <c r="AJ406" s="16"/>
      <c r="AK406" s="16"/>
      <c r="AL406" s="16"/>
      <c r="AM406" s="3"/>
      <c r="AN406" s="3"/>
      <c r="AO406" s="3"/>
      <c r="AP406" s="3"/>
      <c r="AQ406" s="3"/>
      <c r="AR406" s="3"/>
      <c r="AS406" s="3"/>
      <c r="AT406" s="3"/>
      <c r="AU406" s="3"/>
      <c r="AV406" s="3"/>
    </row>
    <row r="407" spans="1:48" x14ac:dyDescent="0.25">
      <c r="A407" s="15">
        <f t="shared" ref="A407" si="1269">1+A403</f>
        <v>102</v>
      </c>
      <c r="B407" s="15"/>
      <c r="C407" s="2"/>
      <c r="D407" s="2"/>
      <c r="E407" s="24" t="str">
        <f t="shared" ref="E407" si="1270">+AQ407</f>
        <v/>
      </c>
      <c r="F407" s="30"/>
      <c r="G407" s="24" t="str">
        <f t="shared" ref="G407" si="1271">+AV407</f>
        <v>300100</v>
      </c>
      <c r="H407" s="16">
        <f t="shared" ref="H407" si="1272">+AK407</f>
        <v>0</v>
      </c>
      <c r="I407" s="16">
        <f t="shared" ref="I407" si="1273">+ROUND(AD407,2)</f>
        <v>0</v>
      </c>
      <c r="J407" s="2"/>
      <c r="K407" s="17">
        <f t="shared" ref="K407" si="1274">+AE407</f>
        <v>0</v>
      </c>
      <c r="L407" s="16">
        <f t="shared" ref="L407" si="1275">+AJ407</f>
        <v>0</v>
      </c>
      <c r="M407" s="32" t="s">
        <v>5</v>
      </c>
      <c r="N407" s="30"/>
      <c r="O407" s="2"/>
      <c r="P407" s="30"/>
      <c r="Q407" s="32" t="s">
        <v>0</v>
      </c>
      <c r="R407" s="24"/>
      <c r="S407" s="24" t="str">
        <f t="shared" ref="S407" si="1276">+RIGHT(O407,7)</f>
        <v/>
      </c>
      <c r="T407" s="2"/>
      <c r="U407" s="3" t="s">
        <v>1</v>
      </c>
      <c r="V407" s="3" t="s">
        <v>3</v>
      </c>
      <c r="W407" s="16">
        <f t="shared" ref="W407" si="1277">+AI407</f>
        <v>0</v>
      </c>
      <c r="X407" s="16">
        <f t="shared" ref="X407" si="1278">+AJ407</f>
        <v>0</v>
      </c>
      <c r="Y407" s="3" t="s">
        <v>4</v>
      </c>
      <c r="Z407" s="18">
        <f t="shared" ref="Z407" si="1279">+F407</f>
        <v>0</v>
      </c>
      <c r="AA407" s="61"/>
      <c r="AB407" s="65"/>
      <c r="AC407" s="16">
        <f>+AB407*0.18</f>
        <v>0</v>
      </c>
      <c r="AD407" s="16">
        <f>+AB407+AC407</f>
        <v>0</v>
      </c>
      <c r="AE407" s="68"/>
      <c r="AF407" s="16">
        <f t="shared" ref="AF407" si="1280">+AB407*AE407</f>
        <v>0</v>
      </c>
      <c r="AG407" s="16">
        <f t="shared" ref="AG407" si="1281">+AC407*AE407</f>
        <v>0</v>
      </c>
      <c r="AH407" s="16">
        <f t="shared" ref="AH407" si="1282">+AD407*AE407</f>
        <v>0</v>
      </c>
      <c r="AI407" s="16">
        <f t="shared" ref="AI407" si="1283">+ROUND(AF407,2)</f>
        <v>0</v>
      </c>
      <c r="AJ407" s="16">
        <f t="shared" ref="AJ407" si="1284">+ROUND(AG407,2)</f>
        <v>0</v>
      </c>
      <c r="AK407" s="16">
        <f t="shared" ref="AK407" si="1285">+AI407+AJ407</f>
        <v>0</v>
      </c>
      <c r="AL407" s="16">
        <f t="shared" ref="AL407" si="1286">+AI407+AJ407-AK407</f>
        <v>0</v>
      </c>
      <c r="AM407" s="44"/>
      <c r="AN407" s="41" t="str">
        <f t="shared" ref="AN407" si="1287">+LEFT(AM407,2)</f>
        <v/>
      </c>
      <c r="AO407" s="41" t="str">
        <f t="shared" ref="AO407" si="1288">+MID(AM407,4,2)</f>
        <v/>
      </c>
      <c r="AP407" s="41" t="str">
        <f t="shared" ref="AP407" si="1289">+RIGHT(AM407,2)</f>
        <v/>
      </c>
      <c r="AQ407" s="41" t="str">
        <f t="shared" ref="AQ407" si="1290">+CONCATENATE(AN407,AO407,AP407)</f>
        <v/>
      </c>
      <c r="AR407" s="45">
        <f t="shared" ref="AR407" si="1291">+AM407+30</f>
        <v>30</v>
      </c>
      <c r="AS407" s="46">
        <f t="shared" ref="AS407" si="1292">+DAY(AR407)</f>
        <v>30</v>
      </c>
      <c r="AT407" s="41">
        <f t="shared" ref="AT407" si="1293">+MONTH(AR407)</f>
        <v>1</v>
      </c>
      <c r="AU407" s="41">
        <f t="shared" ref="AU407" si="1294">+YEAR(AR407)</f>
        <v>1900</v>
      </c>
      <c r="AV407" s="41" t="str">
        <f t="shared" ref="AV407" si="1295">+CONCATENATE(TEXT(AS407,"00"),TEXT(AT407,"00"),RIGHT(AU407,2))</f>
        <v>300100</v>
      </c>
    </row>
    <row r="408" spans="1:48" hidden="1" x14ac:dyDescent="0.25">
      <c r="A408" s="31"/>
      <c r="B408" s="31"/>
      <c r="C408" s="3"/>
      <c r="D408" s="3"/>
      <c r="E408" s="2"/>
      <c r="F408" s="3"/>
      <c r="G408" s="3"/>
      <c r="H408" s="16"/>
      <c r="I408" s="16"/>
      <c r="J408" s="3"/>
      <c r="K408" s="17"/>
      <c r="L408" s="16"/>
      <c r="M408" s="3"/>
      <c r="N408" s="3"/>
      <c r="O408" s="2"/>
      <c r="P408" s="3" t="s">
        <v>54</v>
      </c>
      <c r="Q408" s="3"/>
      <c r="R408" s="3"/>
      <c r="S408" s="16"/>
      <c r="T408" s="3"/>
      <c r="U408" s="3"/>
      <c r="V408" s="3"/>
      <c r="W408" s="16"/>
      <c r="X408" s="16"/>
      <c r="Y408" s="3"/>
      <c r="Z408" s="18"/>
      <c r="AA408" s="3"/>
      <c r="AB408" s="16"/>
      <c r="AC408" s="16"/>
      <c r="AD408" s="16"/>
      <c r="AE408" s="9"/>
      <c r="AF408" s="16"/>
      <c r="AG408" s="16"/>
      <c r="AH408" s="16"/>
      <c r="AI408" s="16"/>
      <c r="AJ408" s="16"/>
      <c r="AK408" s="16"/>
      <c r="AL408" s="16"/>
      <c r="AM408" s="3"/>
      <c r="AN408" s="3"/>
      <c r="AO408" s="3"/>
      <c r="AP408" s="3"/>
      <c r="AQ408" s="3"/>
      <c r="AR408" s="3"/>
      <c r="AS408" s="3"/>
      <c r="AT408" s="3"/>
      <c r="AU408" s="3"/>
      <c r="AV408" s="3"/>
    </row>
    <row r="409" spans="1:48" hidden="1" x14ac:dyDescent="0.25">
      <c r="A409" s="31"/>
      <c r="B409" s="31"/>
      <c r="C409" s="3"/>
      <c r="D409" s="3"/>
      <c r="E409" s="2"/>
      <c r="F409" s="3"/>
      <c r="G409" s="3"/>
      <c r="H409" s="16"/>
      <c r="I409" s="16"/>
      <c r="J409" s="3"/>
      <c r="K409" s="17"/>
      <c r="L409" s="16"/>
      <c r="M409" s="3"/>
      <c r="N409" s="3"/>
      <c r="O409" s="2"/>
      <c r="P409" s="3" t="s">
        <v>54</v>
      </c>
      <c r="Q409" s="3"/>
      <c r="R409" s="3"/>
      <c r="S409" s="16"/>
      <c r="T409" s="3"/>
      <c r="U409" s="3"/>
      <c r="V409" s="3"/>
      <c r="W409" s="16"/>
      <c r="X409" s="16"/>
      <c r="Y409" s="3"/>
      <c r="Z409" s="18"/>
      <c r="AA409" s="3"/>
      <c r="AB409" s="16"/>
      <c r="AC409" s="16"/>
      <c r="AD409" s="16"/>
      <c r="AE409" s="9"/>
      <c r="AF409" s="16"/>
      <c r="AG409" s="16"/>
      <c r="AH409" s="16"/>
      <c r="AI409" s="16"/>
      <c r="AJ409" s="16"/>
      <c r="AK409" s="16"/>
      <c r="AL409" s="16"/>
      <c r="AM409" s="3"/>
      <c r="AN409" s="3"/>
      <c r="AO409" s="3"/>
      <c r="AP409" s="3"/>
      <c r="AQ409" s="3"/>
      <c r="AR409" s="3"/>
      <c r="AS409" s="3"/>
      <c r="AT409" s="3"/>
      <c r="AU409" s="3"/>
      <c r="AV409" s="3"/>
    </row>
    <row r="410" spans="1:48" hidden="1" x14ac:dyDescent="0.25">
      <c r="A410" s="31"/>
      <c r="B410" s="31"/>
      <c r="C410" s="3"/>
      <c r="D410" s="3"/>
      <c r="E410" s="2"/>
      <c r="F410" s="3"/>
      <c r="G410" s="3"/>
      <c r="H410" s="16"/>
      <c r="I410" s="16"/>
      <c r="J410" s="3"/>
      <c r="K410" s="17"/>
      <c r="L410" s="16"/>
      <c r="M410" s="3"/>
      <c r="N410" s="3"/>
      <c r="O410" s="2"/>
      <c r="P410" s="3" t="s">
        <v>54</v>
      </c>
      <c r="Q410" s="3"/>
      <c r="R410" s="3"/>
      <c r="S410" s="16"/>
      <c r="T410" s="3"/>
      <c r="U410" s="3"/>
      <c r="V410" s="3"/>
      <c r="W410" s="16"/>
      <c r="X410" s="16"/>
      <c r="Y410" s="3"/>
      <c r="Z410" s="18"/>
      <c r="AA410" s="3"/>
      <c r="AB410" s="16"/>
      <c r="AC410" s="16"/>
      <c r="AD410" s="16"/>
      <c r="AE410" s="9"/>
      <c r="AF410" s="16"/>
      <c r="AG410" s="16"/>
      <c r="AH410" s="16"/>
      <c r="AI410" s="16"/>
      <c r="AJ410" s="16"/>
      <c r="AK410" s="16"/>
      <c r="AL410" s="16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 spans="1:48" x14ac:dyDescent="0.25">
      <c r="A411" s="15">
        <f t="shared" ref="A411" si="1296">1+A407</f>
        <v>103</v>
      </c>
      <c r="B411" s="15"/>
      <c r="C411" s="2"/>
      <c r="D411" s="2"/>
      <c r="E411" s="24" t="str">
        <f t="shared" ref="E411" si="1297">+AQ411</f>
        <v/>
      </c>
      <c r="F411" s="30"/>
      <c r="G411" s="24" t="str">
        <f t="shared" ref="G411" si="1298">+AV411</f>
        <v>300100</v>
      </c>
      <c r="H411" s="16">
        <f t="shared" ref="H411" si="1299">+AK411</f>
        <v>0</v>
      </c>
      <c r="I411" s="16">
        <f t="shared" ref="I411" si="1300">+ROUND(AD411,2)</f>
        <v>0</v>
      </c>
      <c r="J411" s="2"/>
      <c r="K411" s="17">
        <f t="shared" ref="K411" si="1301">+AE411</f>
        <v>0</v>
      </c>
      <c r="L411" s="16">
        <f t="shared" ref="L411" si="1302">+AJ411</f>
        <v>0</v>
      </c>
      <c r="M411" s="32" t="s">
        <v>5</v>
      </c>
      <c r="N411" s="30"/>
      <c r="O411" s="2"/>
      <c r="P411" s="30"/>
      <c r="Q411" s="32" t="s">
        <v>0</v>
      </c>
      <c r="R411" s="24"/>
      <c r="S411" s="24" t="str">
        <f t="shared" ref="S411" si="1303">+RIGHT(O411,7)</f>
        <v/>
      </c>
      <c r="T411" s="2"/>
      <c r="U411" s="3" t="s">
        <v>1</v>
      </c>
      <c r="V411" s="3" t="s">
        <v>3</v>
      </c>
      <c r="W411" s="16">
        <f t="shared" ref="W411" si="1304">+AI411</f>
        <v>0</v>
      </c>
      <c r="X411" s="16">
        <f t="shared" ref="X411" si="1305">+AJ411</f>
        <v>0</v>
      </c>
      <c r="Y411" s="3" t="s">
        <v>4</v>
      </c>
      <c r="Z411" s="18">
        <f t="shared" ref="Z411" si="1306">+F411</f>
        <v>0</v>
      </c>
      <c r="AA411" s="61"/>
      <c r="AB411" s="65"/>
      <c r="AC411" s="16">
        <f>+AB411*0.18</f>
        <v>0</v>
      </c>
      <c r="AD411" s="16">
        <f>+AB411+AC411</f>
        <v>0</v>
      </c>
      <c r="AE411" s="68"/>
      <c r="AF411" s="16">
        <f t="shared" ref="AF411" si="1307">+AB411*AE411</f>
        <v>0</v>
      </c>
      <c r="AG411" s="16">
        <f t="shared" ref="AG411" si="1308">+AC411*AE411</f>
        <v>0</v>
      </c>
      <c r="AH411" s="16">
        <f t="shared" ref="AH411" si="1309">+AD411*AE411</f>
        <v>0</v>
      </c>
      <c r="AI411" s="16">
        <f t="shared" ref="AI411" si="1310">+ROUND(AF411,2)</f>
        <v>0</v>
      </c>
      <c r="AJ411" s="16">
        <f t="shared" ref="AJ411" si="1311">+ROUND(AG411,2)</f>
        <v>0</v>
      </c>
      <c r="AK411" s="16">
        <f t="shared" ref="AK411" si="1312">+AI411+AJ411</f>
        <v>0</v>
      </c>
      <c r="AL411" s="16">
        <f t="shared" ref="AL411" si="1313">+AI411+AJ411-AK411</f>
        <v>0</v>
      </c>
      <c r="AM411" s="44"/>
      <c r="AN411" s="41" t="str">
        <f t="shared" ref="AN411" si="1314">+LEFT(AM411,2)</f>
        <v/>
      </c>
      <c r="AO411" s="41" t="str">
        <f t="shared" ref="AO411" si="1315">+MID(AM411,4,2)</f>
        <v/>
      </c>
      <c r="AP411" s="41" t="str">
        <f t="shared" ref="AP411" si="1316">+RIGHT(AM411,2)</f>
        <v/>
      </c>
      <c r="AQ411" s="41" t="str">
        <f t="shared" ref="AQ411" si="1317">+CONCATENATE(AN411,AO411,AP411)</f>
        <v/>
      </c>
      <c r="AR411" s="45">
        <f t="shared" ref="AR411" si="1318">+AM411+30</f>
        <v>30</v>
      </c>
      <c r="AS411" s="46">
        <f t="shared" ref="AS411" si="1319">+DAY(AR411)</f>
        <v>30</v>
      </c>
      <c r="AT411" s="41">
        <f t="shared" ref="AT411" si="1320">+MONTH(AR411)</f>
        <v>1</v>
      </c>
      <c r="AU411" s="41">
        <f t="shared" ref="AU411" si="1321">+YEAR(AR411)</f>
        <v>1900</v>
      </c>
      <c r="AV411" s="41" t="str">
        <f t="shared" ref="AV411" si="1322">+CONCATENATE(TEXT(AS411,"00"),TEXT(AT411,"00"),RIGHT(AU411,2))</f>
        <v>300100</v>
      </c>
    </row>
    <row r="412" spans="1:48" hidden="1" x14ac:dyDescent="0.25">
      <c r="A412" s="31"/>
      <c r="B412" s="31"/>
      <c r="C412" s="3"/>
      <c r="D412" s="3"/>
      <c r="E412" s="2"/>
      <c r="F412" s="3"/>
      <c r="G412" s="3"/>
      <c r="H412" s="16"/>
      <c r="I412" s="16"/>
      <c r="J412" s="3"/>
      <c r="K412" s="17"/>
      <c r="L412" s="16"/>
      <c r="M412" s="3"/>
      <c r="N412" s="3"/>
      <c r="O412" s="2"/>
      <c r="P412" s="3" t="s">
        <v>54</v>
      </c>
      <c r="Q412" s="3"/>
      <c r="R412" s="3"/>
      <c r="S412" s="16"/>
      <c r="T412" s="3"/>
      <c r="U412" s="3"/>
      <c r="V412" s="3"/>
      <c r="W412" s="16"/>
      <c r="X412" s="16"/>
      <c r="Y412" s="3"/>
      <c r="Z412" s="18"/>
      <c r="AA412" s="3"/>
      <c r="AB412" s="16"/>
      <c r="AC412" s="16"/>
      <c r="AD412" s="16"/>
      <c r="AE412" s="9"/>
      <c r="AF412" s="16"/>
      <c r="AG412" s="16"/>
      <c r="AH412" s="16"/>
      <c r="AI412" s="16"/>
      <c r="AJ412" s="16"/>
      <c r="AK412" s="16"/>
      <c r="AL412" s="16"/>
      <c r="AM412" s="3"/>
      <c r="AN412" s="3"/>
      <c r="AO412" s="3"/>
      <c r="AP412" s="3"/>
      <c r="AQ412" s="3"/>
      <c r="AR412" s="3"/>
      <c r="AS412" s="3"/>
      <c r="AT412" s="3"/>
      <c r="AU412" s="3"/>
      <c r="AV412" s="3"/>
    </row>
    <row r="413" spans="1:48" hidden="1" x14ac:dyDescent="0.25">
      <c r="A413" s="31"/>
      <c r="B413" s="31"/>
      <c r="C413" s="3"/>
      <c r="D413" s="3"/>
      <c r="E413" s="2"/>
      <c r="F413" s="3"/>
      <c r="G413" s="3"/>
      <c r="H413" s="16"/>
      <c r="I413" s="16"/>
      <c r="J413" s="3"/>
      <c r="K413" s="17"/>
      <c r="L413" s="16"/>
      <c r="M413" s="3"/>
      <c r="N413" s="3"/>
      <c r="O413" s="2"/>
      <c r="P413" s="3" t="s">
        <v>54</v>
      </c>
      <c r="Q413" s="3"/>
      <c r="R413" s="3"/>
      <c r="S413" s="16"/>
      <c r="T413" s="3"/>
      <c r="U413" s="3"/>
      <c r="V413" s="3"/>
      <c r="W413" s="16"/>
      <c r="X413" s="16"/>
      <c r="Y413" s="3"/>
      <c r="Z413" s="18"/>
      <c r="AA413" s="3"/>
      <c r="AB413" s="16"/>
      <c r="AC413" s="16"/>
      <c r="AD413" s="16"/>
      <c r="AE413" s="9"/>
      <c r="AF413" s="16"/>
      <c r="AG413" s="16"/>
      <c r="AH413" s="16"/>
      <c r="AI413" s="16"/>
      <c r="AJ413" s="16"/>
      <c r="AK413" s="16"/>
      <c r="AL413" s="16"/>
      <c r="AM413" s="3"/>
      <c r="AN413" s="3"/>
      <c r="AO413" s="3"/>
      <c r="AP413" s="3"/>
      <c r="AQ413" s="3"/>
      <c r="AR413" s="3"/>
      <c r="AS413" s="3"/>
      <c r="AT413" s="3"/>
      <c r="AU413" s="3"/>
      <c r="AV413" s="3"/>
    </row>
    <row r="414" spans="1:48" hidden="1" x14ac:dyDescent="0.25">
      <c r="A414" s="31"/>
      <c r="B414" s="31"/>
      <c r="C414" s="3"/>
      <c r="D414" s="3"/>
      <c r="E414" s="2"/>
      <c r="F414" s="3"/>
      <c r="G414" s="3"/>
      <c r="H414" s="16"/>
      <c r="I414" s="16"/>
      <c r="J414" s="3"/>
      <c r="K414" s="17"/>
      <c r="L414" s="16"/>
      <c r="M414" s="3"/>
      <c r="N414" s="3"/>
      <c r="O414" s="2"/>
      <c r="P414" s="3" t="s">
        <v>54</v>
      </c>
      <c r="Q414" s="3"/>
      <c r="R414" s="3"/>
      <c r="S414" s="16"/>
      <c r="T414" s="3"/>
      <c r="U414" s="3"/>
      <c r="V414" s="3"/>
      <c r="W414" s="16"/>
      <c r="X414" s="16"/>
      <c r="Y414" s="3"/>
      <c r="Z414" s="18"/>
      <c r="AA414" s="3"/>
      <c r="AB414" s="16"/>
      <c r="AC414" s="16"/>
      <c r="AD414" s="16"/>
      <c r="AE414" s="9"/>
      <c r="AF414" s="16"/>
      <c r="AG414" s="16"/>
      <c r="AH414" s="16"/>
      <c r="AI414" s="16"/>
      <c r="AJ414" s="16"/>
      <c r="AK414" s="16"/>
      <c r="AL414" s="16"/>
      <c r="AM414" s="3"/>
      <c r="AN414" s="3"/>
      <c r="AO414" s="3"/>
      <c r="AP414" s="3"/>
      <c r="AQ414" s="3"/>
      <c r="AR414" s="3"/>
      <c r="AS414" s="3"/>
      <c r="AT414" s="3"/>
      <c r="AU414" s="3"/>
      <c r="AV414" s="3"/>
    </row>
    <row r="415" spans="1:48" x14ac:dyDescent="0.25">
      <c r="A415" s="15">
        <f t="shared" ref="A415" si="1323">1+A411</f>
        <v>104</v>
      </c>
      <c r="B415" s="15"/>
      <c r="C415" s="2"/>
      <c r="D415" s="2"/>
      <c r="E415" s="24" t="str">
        <f t="shared" ref="E415" si="1324">+AQ415</f>
        <v/>
      </c>
      <c r="F415" s="30"/>
      <c r="G415" s="24" t="str">
        <f t="shared" ref="G415" si="1325">+AV415</f>
        <v>300100</v>
      </c>
      <c r="H415" s="16">
        <f t="shared" ref="H415" si="1326">+AK415</f>
        <v>0</v>
      </c>
      <c r="I415" s="16">
        <f t="shared" ref="I415" si="1327">+ROUND(AD415,2)</f>
        <v>0</v>
      </c>
      <c r="J415" s="2"/>
      <c r="K415" s="17">
        <f t="shared" ref="K415" si="1328">+AE415</f>
        <v>0</v>
      </c>
      <c r="L415" s="16">
        <f t="shared" ref="L415" si="1329">+AJ415</f>
        <v>0</v>
      </c>
      <c r="M415" s="32" t="s">
        <v>5</v>
      </c>
      <c r="N415" s="30"/>
      <c r="O415" s="2"/>
      <c r="P415" s="30"/>
      <c r="Q415" s="32" t="s">
        <v>0</v>
      </c>
      <c r="R415" s="24"/>
      <c r="S415" s="24" t="str">
        <f t="shared" ref="S415" si="1330">+RIGHT(O415,7)</f>
        <v/>
      </c>
      <c r="T415" s="2"/>
      <c r="U415" s="3" t="s">
        <v>1</v>
      </c>
      <c r="V415" s="3" t="s">
        <v>3</v>
      </c>
      <c r="W415" s="16">
        <f t="shared" ref="W415" si="1331">+AI415</f>
        <v>0</v>
      </c>
      <c r="X415" s="16">
        <f t="shared" ref="X415" si="1332">+AJ415</f>
        <v>0</v>
      </c>
      <c r="Y415" s="3" t="s">
        <v>4</v>
      </c>
      <c r="Z415" s="18">
        <f t="shared" ref="Z415" si="1333">+F415</f>
        <v>0</v>
      </c>
      <c r="AA415" s="61"/>
      <c r="AB415" s="65"/>
      <c r="AC415" s="16">
        <f>+AB415*0.18</f>
        <v>0</v>
      </c>
      <c r="AD415" s="16">
        <f>+AB415+AC415</f>
        <v>0</v>
      </c>
      <c r="AE415" s="68"/>
      <c r="AF415" s="16">
        <f t="shared" ref="AF415" si="1334">+AB415*AE415</f>
        <v>0</v>
      </c>
      <c r="AG415" s="16">
        <f t="shared" ref="AG415" si="1335">+AC415*AE415</f>
        <v>0</v>
      </c>
      <c r="AH415" s="16">
        <f t="shared" ref="AH415" si="1336">+AD415*AE415</f>
        <v>0</v>
      </c>
      <c r="AI415" s="16">
        <f t="shared" ref="AI415" si="1337">+ROUND(AF415,2)</f>
        <v>0</v>
      </c>
      <c r="AJ415" s="16">
        <f t="shared" ref="AJ415" si="1338">+ROUND(AG415,2)</f>
        <v>0</v>
      </c>
      <c r="AK415" s="16">
        <f t="shared" ref="AK415" si="1339">+AI415+AJ415</f>
        <v>0</v>
      </c>
      <c r="AL415" s="16">
        <f t="shared" ref="AL415" si="1340">+AI415+AJ415-AK415</f>
        <v>0</v>
      </c>
      <c r="AM415" s="44"/>
      <c r="AN415" s="41" t="str">
        <f t="shared" ref="AN415" si="1341">+LEFT(AM415,2)</f>
        <v/>
      </c>
      <c r="AO415" s="41" t="str">
        <f t="shared" ref="AO415" si="1342">+MID(AM415,4,2)</f>
        <v/>
      </c>
      <c r="AP415" s="41" t="str">
        <f t="shared" ref="AP415" si="1343">+RIGHT(AM415,2)</f>
        <v/>
      </c>
      <c r="AQ415" s="41" t="str">
        <f t="shared" ref="AQ415" si="1344">+CONCATENATE(AN415,AO415,AP415)</f>
        <v/>
      </c>
      <c r="AR415" s="45">
        <f t="shared" ref="AR415" si="1345">+AM415+30</f>
        <v>30</v>
      </c>
      <c r="AS415" s="46">
        <f t="shared" ref="AS415" si="1346">+DAY(AR415)</f>
        <v>30</v>
      </c>
      <c r="AT415" s="41">
        <f t="shared" ref="AT415" si="1347">+MONTH(AR415)</f>
        <v>1</v>
      </c>
      <c r="AU415" s="41">
        <f t="shared" ref="AU415" si="1348">+YEAR(AR415)</f>
        <v>1900</v>
      </c>
      <c r="AV415" s="41" t="str">
        <f t="shared" ref="AV415" si="1349">+CONCATENATE(TEXT(AS415,"00"),TEXT(AT415,"00"),RIGHT(AU415,2))</f>
        <v>300100</v>
      </c>
    </row>
    <row r="416" spans="1:48" hidden="1" x14ac:dyDescent="0.25">
      <c r="A416" s="31"/>
      <c r="B416" s="31"/>
      <c r="C416" s="3"/>
      <c r="D416" s="3"/>
      <c r="E416" s="2"/>
      <c r="F416" s="3"/>
      <c r="G416" s="3"/>
      <c r="H416" s="16"/>
      <c r="I416" s="16"/>
      <c r="J416" s="3"/>
      <c r="K416" s="17"/>
      <c r="L416" s="16"/>
      <c r="M416" s="3"/>
      <c r="N416" s="3"/>
      <c r="O416" s="2"/>
      <c r="P416" s="3" t="s">
        <v>54</v>
      </c>
      <c r="Q416" s="3"/>
      <c r="R416" s="3"/>
      <c r="S416" s="16"/>
      <c r="T416" s="3"/>
      <c r="U416" s="3"/>
      <c r="V416" s="3"/>
      <c r="W416" s="16"/>
      <c r="X416" s="16"/>
      <c r="Y416" s="3"/>
      <c r="Z416" s="18"/>
      <c r="AA416" s="3"/>
      <c r="AB416" s="16"/>
      <c r="AC416" s="16"/>
      <c r="AD416" s="16"/>
      <c r="AE416" s="9"/>
      <c r="AF416" s="16"/>
      <c r="AG416" s="16"/>
      <c r="AH416" s="16"/>
      <c r="AI416" s="16"/>
      <c r="AJ416" s="16"/>
      <c r="AK416" s="16"/>
      <c r="AL416" s="16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 spans="1:48" hidden="1" x14ac:dyDescent="0.25">
      <c r="A417" s="31"/>
      <c r="B417" s="31"/>
      <c r="C417" s="3"/>
      <c r="D417" s="3"/>
      <c r="E417" s="2"/>
      <c r="F417" s="3"/>
      <c r="G417" s="3"/>
      <c r="H417" s="16"/>
      <c r="I417" s="16"/>
      <c r="J417" s="3"/>
      <c r="K417" s="17"/>
      <c r="L417" s="16"/>
      <c r="M417" s="3"/>
      <c r="N417" s="3"/>
      <c r="O417" s="2"/>
      <c r="P417" s="3" t="s">
        <v>54</v>
      </c>
      <c r="Q417" s="3"/>
      <c r="R417" s="3"/>
      <c r="S417" s="16"/>
      <c r="T417" s="3"/>
      <c r="U417" s="3"/>
      <c r="V417" s="3"/>
      <c r="W417" s="16"/>
      <c r="X417" s="16"/>
      <c r="Y417" s="3"/>
      <c r="Z417" s="18"/>
      <c r="AA417" s="3"/>
      <c r="AB417" s="16"/>
      <c r="AC417" s="16"/>
      <c r="AD417" s="16"/>
      <c r="AE417" s="9"/>
      <c r="AF417" s="16"/>
      <c r="AG417" s="16"/>
      <c r="AH417" s="16"/>
      <c r="AI417" s="16"/>
      <c r="AJ417" s="16"/>
      <c r="AK417" s="16"/>
      <c r="AL417" s="16"/>
      <c r="AM417" s="3"/>
      <c r="AN417" s="3"/>
      <c r="AO417" s="3"/>
      <c r="AP417" s="3"/>
      <c r="AQ417" s="3"/>
      <c r="AR417" s="3"/>
      <c r="AS417" s="3"/>
      <c r="AT417" s="3"/>
      <c r="AU417" s="3"/>
      <c r="AV417" s="3"/>
    </row>
    <row r="418" spans="1:48" hidden="1" x14ac:dyDescent="0.25">
      <c r="A418" s="31"/>
      <c r="B418" s="31"/>
      <c r="C418" s="3"/>
      <c r="D418" s="3"/>
      <c r="E418" s="2"/>
      <c r="F418" s="3"/>
      <c r="G418" s="3"/>
      <c r="H418" s="16"/>
      <c r="I418" s="16"/>
      <c r="J418" s="3"/>
      <c r="K418" s="17"/>
      <c r="L418" s="16"/>
      <c r="M418" s="3"/>
      <c r="N418" s="3"/>
      <c r="O418" s="2"/>
      <c r="P418" s="3" t="s">
        <v>54</v>
      </c>
      <c r="Q418" s="3"/>
      <c r="R418" s="3"/>
      <c r="S418" s="16"/>
      <c r="T418" s="3"/>
      <c r="U418" s="3"/>
      <c r="V418" s="3"/>
      <c r="W418" s="16"/>
      <c r="X418" s="16"/>
      <c r="Y418" s="3"/>
      <c r="Z418" s="18"/>
      <c r="AA418" s="3"/>
      <c r="AB418" s="16"/>
      <c r="AC418" s="16"/>
      <c r="AD418" s="16"/>
      <c r="AE418" s="9"/>
      <c r="AF418" s="16"/>
      <c r="AG418" s="16"/>
      <c r="AH418" s="16"/>
      <c r="AI418" s="16"/>
      <c r="AJ418" s="16"/>
      <c r="AK418" s="16"/>
      <c r="AL418" s="16"/>
      <c r="AM418" s="3"/>
      <c r="AN418" s="3"/>
      <c r="AO418" s="3"/>
      <c r="AP418" s="3"/>
      <c r="AQ418" s="3"/>
      <c r="AR418" s="3"/>
      <c r="AS418" s="3"/>
      <c r="AT418" s="3"/>
      <c r="AU418" s="3"/>
      <c r="AV418" s="3"/>
    </row>
    <row r="419" spans="1:48" x14ac:dyDescent="0.25">
      <c r="A419" s="15">
        <f t="shared" ref="A419" si="1350">1+A415</f>
        <v>105</v>
      </c>
      <c r="B419" s="15"/>
      <c r="C419" s="2"/>
      <c r="D419" s="2"/>
      <c r="E419" s="24" t="str">
        <f t="shared" ref="E419" si="1351">+AQ419</f>
        <v/>
      </c>
      <c r="F419" s="30"/>
      <c r="G419" s="24" t="str">
        <f t="shared" ref="G419" si="1352">+AV419</f>
        <v>300100</v>
      </c>
      <c r="H419" s="16">
        <f t="shared" ref="H419" si="1353">+AK419</f>
        <v>0</v>
      </c>
      <c r="I419" s="16">
        <f t="shared" ref="I419" si="1354">+ROUND(AD419,2)</f>
        <v>0</v>
      </c>
      <c r="J419" s="2"/>
      <c r="K419" s="17">
        <f t="shared" ref="K419" si="1355">+AE419</f>
        <v>0</v>
      </c>
      <c r="L419" s="16">
        <f t="shared" ref="L419" si="1356">+AJ419</f>
        <v>0</v>
      </c>
      <c r="M419" s="32" t="s">
        <v>5</v>
      </c>
      <c r="N419" s="30"/>
      <c r="O419" s="2"/>
      <c r="P419" s="30"/>
      <c r="Q419" s="32" t="s">
        <v>0</v>
      </c>
      <c r="R419" s="24"/>
      <c r="S419" s="24" t="str">
        <f t="shared" ref="S419" si="1357">+RIGHT(O419,7)</f>
        <v/>
      </c>
      <c r="T419" s="2"/>
      <c r="U419" s="3" t="s">
        <v>1</v>
      </c>
      <c r="V419" s="3" t="s">
        <v>3</v>
      </c>
      <c r="W419" s="16">
        <f t="shared" ref="W419" si="1358">+AI419</f>
        <v>0</v>
      </c>
      <c r="X419" s="16">
        <f t="shared" ref="X419" si="1359">+AJ419</f>
        <v>0</v>
      </c>
      <c r="Y419" s="3" t="s">
        <v>4</v>
      </c>
      <c r="Z419" s="18">
        <f t="shared" ref="Z419" si="1360">+F419</f>
        <v>0</v>
      </c>
      <c r="AA419" s="61"/>
      <c r="AB419" s="65"/>
      <c r="AC419" s="16">
        <f>+AB419*0.18</f>
        <v>0</v>
      </c>
      <c r="AD419" s="16">
        <f>+AB419+AC419</f>
        <v>0</v>
      </c>
      <c r="AE419" s="68"/>
      <c r="AF419" s="16">
        <f t="shared" ref="AF419" si="1361">+AB419*AE419</f>
        <v>0</v>
      </c>
      <c r="AG419" s="16">
        <f t="shared" ref="AG419" si="1362">+AC419*AE419</f>
        <v>0</v>
      </c>
      <c r="AH419" s="16">
        <f t="shared" ref="AH419" si="1363">+AD419*AE419</f>
        <v>0</v>
      </c>
      <c r="AI419" s="16">
        <f t="shared" ref="AI419" si="1364">+ROUND(AF419,2)</f>
        <v>0</v>
      </c>
      <c r="AJ419" s="16">
        <f t="shared" ref="AJ419" si="1365">+ROUND(AG419,2)</f>
        <v>0</v>
      </c>
      <c r="AK419" s="16">
        <f t="shared" ref="AK419" si="1366">+AI419+AJ419</f>
        <v>0</v>
      </c>
      <c r="AL419" s="16">
        <f t="shared" ref="AL419" si="1367">+AI419+AJ419-AK419</f>
        <v>0</v>
      </c>
      <c r="AM419" s="44"/>
      <c r="AN419" s="41" t="str">
        <f t="shared" ref="AN419" si="1368">+LEFT(AM419,2)</f>
        <v/>
      </c>
      <c r="AO419" s="41" t="str">
        <f t="shared" ref="AO419" si="1369">+MID(AM419,4,2)</f>
        <v/>
      </c>
      <c r="AP419" s="41" t="str">
        <f t="shared" ref="AP419" si="1370">+RIGHT(AM419,2)</f>
        <v/>
      </c>
      <c r="AQ419" s="41" t="str">
        <f t="shared" ref="AQ419" si="1371">+CONCATENATE(AN419,AO419,AP419)</f>
        <v/>
      </c>
      <c r="AR419" s="45">
        <f t="shared" ref="AR419" si="1372">+AM419+30</f>
        <v>30</v>
      </c>
      <c r="AS419" s="46">
        <f t="shared" ref="AS419" si="1373">+DAY(AR419)</f>
        <v>30</v>
      </c>
      <c r="AT419" s="41">
        <f t="shared" ref="AT419" si="1374">+MONTH(AR419)</f>
        <v>1</v>
      </c>
      <c r="AU419" s="41">
        <f t="shared" ref="AU419" si="1375">+YEAR(AR419)</f>
        <v>1900</v>
      </c>
      <c r="AV419" s="41" t="str">
        <f t="shared" ref="AV419" si="1376">+CONCATENATE(TEXT(AS419,"00"),TEXT(AT419,"00"),RIGHT(AU419,2))</f>
        <v>300100</v>
      </c>
    </row>
    <row r="420" spans="1:48" hidden="1" x14ac:dyDescent="0.25">
      <c r="A420" s="31"/>
      <c r="B420" s="31"/>
      <c r="C420" s="3"/>
      <c r="D420" s="3"/>
      <c r="E420" s="2"/>
      <c r="F420" s="3"/>
      <c r="G420" s="3"/>
      <c r="H420" s="16"/>
      <c r="I420" s="16"/>
      <c r="J420" s="3"/>
      <c r="K420" s="17"/>
      <c r="L420" s="16"/>
      <c r="M420" s="3"/>
      <c r="N420" s="3"/>
      <c r="O420" s="2"/>
      <c r="P420" s="3" t="s">
        <v>54</v>
      </c>
      <c r="Q420" s="3"/>
      <c r="R420" s="3"/>
      <c r="S420" s="16"/>
      <c r="T420" s="3"/>
      <c r="U420" s="3"/>
      <c r="V420" s="3"/>
      <c r="W420" s="16"/>
      <c r="X420" s="16"/>
      <c r="Y420" s="3"/>
      <c r="Z420" s="18"/>
      <c r="AA420" s="3"/>
      <c r="AB420" s="16"/>
      <c r="AC420" s="16"/>
      <c r="AD420" s="16"/>
      <c r="AE420" s="9"/>
      <c r="AF420" s="16"/>
      <c r="AG420" s="16"/>
      <c r="AH420" s="16"/>
      <c r="AI420" s="16"/>
      <c r="AJ420" s="16"/>
      <c r="AK420" s="16"/>
      <c r="AL420" s="16"/>
      <c r="AM420" s="3"/>
      <c r="AN420" s="3"/>
      <c r="AO420" s="3"/>
      <c r="AP420" s="3"/>
      <c r="AQ420" s="3"/>
      <c r="AR420" s="3"/>
      <c r="AS420" s="3"/>
      <c r="AT420" s="3"/>
      <c r="AU420" s="3"/>
      <c r="AV420" s="3"/>
    </row>
    <row r="421" spans="1:48" hidden="1" x14ac:dyDescent="0.25">
      <c r="A421" s="31"/>
      <c r="B421" s="31"/>
      <c r="C421" s="3"/>
      <c r="D421" s="3"/>
      <c r="E421" s="2"/>
      <c r="F421" s="3"/>
      <c r="G421" s="3"/>
      <c r="H421" s="16"/>
      <c r="I421" s="16"/>
      <c r="J421" s="3"/>
      <c r="K421" s="17"/>
      <c r="L421" s="16"/>
      <c r="M421" s="3"/>
      <c r="N421" s="3"/>
      <c r="O421" s="2"/>
      <c r="P421" s="3" t="s">
        <v>54</v>
      </c>
      <c r="Q421" s="3"/>
      <c r="R421" s="3"/>
      <c r="S421" s="16"/>
      <c r="T421" s="3"/>
      <c r="U421" s="3"/>
      <c r="V421" s="3"/>
      <c r="W421" s="16"/>
      <c r="X421" s="16"/>
      <c r="Y421" s="3"/>
      <c r="Z421" s="18"/>
      <c r="AA421" s="3"/>
      <c r="AB421" s="16"/>
      <c r="AC421" s="16"/>
      <c r="AD421" s="16"/>
      <c r="AE421" s="9"/>
      <c r="AF421" s="16"/>
      <c r="AG421" s="16"/>
      <c r="AH421" s="16"/>
      <c r="AI421" s="16"/>
      <c r="AJ421" s="16"/>
      <c r="AK421" s="16"/>
      <c r="AL421" s="16"/>
      <c r="AM421" s="3"/>
      <c r="AN421" s="3"/>
      <c r="AO421" s="3"/>
      <c r="AP421" s="3"/>
      <c r="AQ421" s="3"/>
      <c r="AR421" s="3"/>
      <c r="AS421" s="3"/>
      <c r="AT421" s="3"/>
      <c r="AU421" s="3"/>
      <c r="AV421" s="3"/>
    </row>
    <row r="422" spans="1:48" hidden="1" x14ac:dyDescent="0.25">
      <c r="A422" s="31"/>
      <c r="B422" s="31"/>
      <c r="C422" s="3"/>
      <c r="D422" s="3"/>
      <c r="E422" s="2"/>
      <c r="F422" s="3"/>
      <c r="G422" s="3"/>
      <c r="H422" s="16"/>
      <c r="I422" s="16"/>
      <c r="J422" s="3"/>
      <c r="K422" s="17"/>
      <c r="L422" s="16"/>
      <c r="M422" s="3"/>
      <c r="N422" s="3"/>
      <c r="O422" s="2"/>
      <c r="P422" s="3" t="s">
        <v>54</v>
      </c>
      <c r="Q422" s="3"/>
      <c r="R422" s="3"/>
      <c r="S422" s="16"/>
      <c r="T422" s="3"/>
      <c r="U422" s="3"/>
      <c r="V422" s="3"/>
      <c r="W422" s="16"/>
      <c r="X422" s="16"/>
      <c r="Y422" s="3"/>
      <c r="Z422" s="18"/>
      <c r="AA422" s="3"/>
      <c r="AB422" s="16"/>
      <c r="AC422" s="16"/>
      <c r="AD422" s="16"/>
      <c r="AE422" s="9"/>
      <c r="AF422" s="16"/>
      <c r="AG422" s="16"/>
      <c r="AH422" s="16"/>
      <c r="AI422" s="16"/>
      <c r="AJ422" s="16"/>
      <c r="AK422" s="16"/>
      <c r="AL422" s="16"/>
      <c r="AM422" s="3"/>
      <c r="AN422" s="3"/>
      <c r="AO422" s="3"/>
      <c r="AP422" s="3"/>
      <c r="AQ422" s="3"/>
      <c r="AR422" s="3"/>
      <c r="AS422" s="3"/>
      <c r="AT422" s="3"/>
      <c r="AU422" s="3"/>
      <c r="AV422" s="3"/>
    </row>
    <row r="423" spans="1:48" x14ac:dyDescent="0.25">
      <c r="A423" s="15">
        <f t="shared" ref="A423" si="1377">1+A419</f>
        <v>106</v>
      </c>
      <c r="B423" s="15"/>
      <c r="C423" s="2"/>
      <c r="D423" s="2"/>
      <c r="E423" s="24" t="str">
        <f t="shared" ref="E423" si="1378">+AQ423</f>
        <v/>
      </c>
      <c r="F423" s="30"/>
      <c r="G423" s="24" t="str">
        <f t="shared" ref="G423" si="1379">+AV423</f>
        <v>300100</v>
      </c>
      <c r="H423" s="16">
        <f t="shared" ref="H423" si="1380">+AK423</f>
        <v>0</v>
      </c>
      <c r="I423" s="16">
        <f t="shared" ref="I423" si="1381">+ROUND(AD423,2)</f>
        <v>0</v>
      </c>
      <c r="J423" s="2"/>
      <c r="K423" s="17">
        <f t="shared" ref="K423" si="1382">+AE423</f>
        <v>0</v>
      </c>
      <c r="L423" s="16">
        <f t="shared" ref="L423" si="1383">+AJ423</f>
        <v>0</v>
      </c>
      <c r="M423" s="32" t="s">
        <v>5</v>
      </c>
      <c r="N423" s="30"/>
      <c r="O423" s="2"/>
      <c r="P423" s="30"/>
      <c r="Q423" s="32" t="s">
        <v>0</v>
      </c>
      <c r="R423" s="24"/>
      <c r="S423" s="24" t="str">
        <f t="shared" ref="S423" si="1384">+RIGHT(O423,7)</f>
        <v/>
      </c>
      <c r="T423" s="2"/>
      <c r="U423" s="3" t="s">
        <v>1</v>
      </c>
      <c r="V423" s="3" t="s">
        <v>3</v>
      </c>
      <c r="W423" s="16">
        <f t="shared" ref="W423" si="1385">+AI423</f>
        <v>0</v>
      </c>
      <c r="X423" s="16">
        <f t="shared" ref="X423" si="1386">+AJ423</f>
        <v>0</v>
      </c>
      <c r="Y423" s="3" t="s">
        <v>4</v>
      </c>
      <c r="Z423" s="18">
        <f t="shared" ref="Z423" si="1387">+F423</f>
        <v>0</v>
      </c>
      <c r="AA423" s="61"/>
      <c r="AB423" s="65"/>
      <c r="AC423" s="16">
        <f>+AB423*0.18</f>
        <v>0</v>
      </c>
      <c r="AD423" s="16">
        <f>+AB423+AC423</f>
        <v>0</v>
      </c>
      <c r="AE423" s="68"/>
      <c r="AF423" s="16">
        <f t="shared" ref="AF423" si="1388">+AB423*AE423</f>
        <v>0</v>
      </c>
      <c r="AG423" s="16">
        <f t="shared" ref="AG423" si="1389">+AC423*AE423</f>
        <v>0</v>
      </c>
      <c r="AH423" s="16">
        <f t="shared" ref="AH423" si="1390">+AD423*AE423</f>
        <v>0</v>
      </c>
      <c r="AI423" s="16">
        <f t="shared" ref="AI423" si="1391">+ROUND(AF423,2)</f>
        <v>0</v>
      </c>
      <c r="AJ423" s="16">
        <f t="shared" ref="AJ423" si="1392">+ROUND(AG423,2)</f>
        <v>0</v>
      </c>
      <c r="AK423" s="16">
        <f t="shared" ref="AK423" si="1393">+AI423+AJ423</f>
        <v>0</v>
      </c>
      <c r="AL423" s="16">
        <f t="shared" ref="AL423" si="1394">+AI423+AJ423-AK423</f>
        <v>0</v>
      </c>
      <c r="AM423" s="44"/>
      <c r="AN423" s="41" t="str">
        <f t="shared" ref="AN423" si="1395">+LEFT(AM423,2)</f>
        <v/>
      </c>
      <c r="AO423" s="41" t="str">
        <f t="shared" ref="AO423" si="1396">+MID(AM423,4,2)</f>
        <v/>
      </c>
      <c r="AP423" s="41" t="str">
        <f t="shared" ref="AP423" si="1397">+RIGHT(AM423,2)</f>
        <v/>
      </c>
      <c r="AQ423" s="41" t="str">
        <f t="shared" ref="AQ423" si="1398">+CONCATENATE(AN423,AO423,AP423)</f>
        <v/>
      </c>
      <c r="AR423" s="45">
        <f t="shared" ref="AR423" si="1399">+AM423+30</f>
        <v>30</v>
      </c>
      <c r="AS423" s="46">
        <f t="shared" ref="AS423" si="1400">+DAY(AR423)</f>
        <v>30</v>
      </c>
      <c r="AT423" s="41">
        <f t="shared" ref="AT423" si="1401">+MONTH(AR423)</f>
        <v>1</v>
      </c>
      <c r="AU423" s="41">
        <f t="shared" ref="AU423" si="1402">+YEAR(AR423)</f>
        <v>1900</v>
      </c>
      <c r="AV423" s="41" t="str">
        <f t="shared" ref="AV423" si="1403">+CONCATENATE(TEXT(AS423,"00"),TEXT(AT423,"00"),RIGHT(AU423,2))</f>
        <v>300100</v>
      </c>
    </row>
    <row r="424" spans="1:48" hidden="1" x14ac:dyDescent="0.25">
      <c r="A424" s="31"/>
      <c r="B424" s="31"/>
      <c r="C424" s="3"/>
      <c r="D424" s="3"/>
      <c r="E424" s="2"/>
      <c r="F424" s="3"/>
      <c r="G424" s="3"/>
      <c r="H424" s="16"/>
      <c r="I424" s="16"/>
      <c r="J424" s="3"/>
      <c r="K424" s="17"/>
      <c r="L424" s="16"/>
      <c r="M424" s="3"/>
      <c r="N424" s="3"/>
      <c r="O424" s="2"/>
      <c r="P424" s="3" t="s">
        <v>54</v>
      </c>
      <c r="Q424" s="3"/>
      <c r="R424" s="3"/>
      <c r="S424" s="16"/>
      <c r="T424" s="3"/>
      <c r="U424" s="3"/>
      <c r="V424" s="3"/>
      <c r="W424" s="16"/>
      <c r="X424" s="16"/>
      <c r="Y424" s="3"/>
      <c r="Z424" s="18"/>
      <c r="AA424" s="3"/>
      <c r="AB424" s="16"/>
      <c r="AC424" s="16"/>
      <c r="AD424" s="16"/>
      <c r="AE424" s="9"/>
      <c r="AF424" s="16"/>
      <c r="AG424" s="16"/>
      <c r="AH424" s="16"/>
      <c r="AI424" s="16"/>
      <c r="AJ424" s="16"/>
      <c r="AK424" s="16"/>
      <c r="AL424" s="16"/>
      <c r="AM424" s="3"/>
      <c r="AN424" s="3"/>
      <c r="AO424" s="3"/>
      <c r="AP424" s="3"/>
      <c r="AQ424" s="3"/>
      <c r="AR424" s="3"/>
      <c r="AS424" s="3"/>
      <c r="AT424" s="3"/>
      <c r="AU424" s="3"/>
      <c r="AV424" s="3"/>
    </row>
    <row r="425" spans="1:48" hidden="1" x14ac:dyDescent="0.25">
      <c r="A425" s="31"/>
      <c r="B425" s="31"/>
      <c r="C425" s="3"/>
      <c r="D425" s="3"/>
      <c r="E425" s="2"/>
      <c r="F425" s="3"/>
      <c r="G425" s="3"/>
      <c r="H425" s="16"/>
      <c r="I425" s="16"/>
      <c r="J425" s="3"/>
      <c r="K425" s="17"/>
      <c r="L425" s="16"/>
      <c r="M425" s="3"/>
      <c r="N425" s="3"/>
      <c r="O425" s="2"/>
      <c r="P425" s="3" t="s">
        <v>54</v>
      </c>
      <c r="Q425" s="3"/>
      <c r="R425" s="3"/>
      <c r="S425" s="16"/>
      <c r="T425" s="3"/>
      <c r="U425" s="3"/>
      <c r="V425" s="3"/>
      <c r="W425" s="16"/>
      <c r="X425" s="16"/>
      <c r="Y425" s="3"/>
      <c r="Z425" s="18"/>
      <c r="AA425" s="3"/>
      <c r="AB425" s="16"/>
      <c r="AC425" s="16"/>
      <c r="AD425" s="16"/>
      <c r="AE425" s="9"/>
      <c r="AF425" s="16"/>
      <c r="AG425" s="16"/>
      <c r="AH425" s="16"/>
      <c r="AI425" s="16"/>
      <c r="AJ425" s="16"/>
      <c r="AK425" s="16"/>
      <c r="AL425" s="16"/>
      <c r="AM425" s="3"/>
      <c r="AN425" s="3"/>
      <c r="AO425" s="3"/>
      <c r="AP425" s="3"/>
      <c r="AQ425" s="3"/>
      <c r="AR425" s="3"/>
      <c r="AS425" s="3"/>
      <c r="AT425" s="3"/>
      <c r="AU425" s="3"/>
      <c r="AV425" s="3"/>
    </row>
    <row r="426" spans="1:48" hidden="1" x14ac:dyDescent="0.25">
      <c r="A426" s="31"/>
      <c r="B426" s="31"/>
      <c r="C426" s="3"/>
      <c r="D426" s="3"/>
      <c r="E426" s="2"/>
      <c r="F426" s="3"/>
      <c r="G426" s="3"/>
      <c r="H426" s="16"/>
      <c r="I426" s="16"/>
      <c r="J426" s="3"/>
      <c r="K426" s="17"/>
      <c r="L426" s="16"/>
      <c r="M426" s="3"/>
      <c r="N426" s="3"/>
      <c r="O426" s="2"/>
      <c r="P426" s="3" t="s">
        <v>54</v>
      </c>
      <c r="Q426" s="3"/>
      <c r="R426" s="3"/>
      <c r="S426" s="16"/>
      <c r="T426" s="3"/>
      <c r="U426" s="3"/>
      <c r="V426" s="3"/>
      <c r="W426" s="16"/>
      <c r="X426" s="16"/>
      <c r="Y426" s="3"/>
      <c r="Z426" s="18"/>
      <c r="AA426" s="3"/>
      <c r="AB426" s="16"/>
      <c r="AC426" s="16"/>
      <c r="AD426" s="16"/>
      <c r="AE426" s="9"/>
      <c r="AF426" s="16"/>
      <c r="AG426" s="16"/>
      <c r="AH426" s="16"/>
      <c r="AI426" s="16"/>
      <c r="AJ426" s="16"/>
      <c r="AK426" s="16"/>
      <c r="AL426" s="16"/>
      <c r="AM426" s="3"/>
      <c r="AN426" s="3"/>
      <c r="AO426" s="3"/>
      <c r="AP426" s="3"/>
      <c r="AQ426" s="3"/>
      <c r="AR426" s="3"/>
      <c r="AS426" s="3"/>
      <c r="AT426" s="3"/>
      <c r="AU426" s="3"/>
      <c r="AV426" s="3"/>
    </row>
    <row r="427" spans="1:48" x14ac:dyDescent="0.25">
      <c r="A427" s="15">
        <f t="shared" ref="A427" si="1404">1+A423</f>
        <v>107</v>
      </c>
      <c r="B427" s="15"/>
      <c r="C427" s="2"/>
      <c r="D427" s="2"/>
      <c r="E427" s="24" t="str">
        <f t="shared" ref="E427" si="1405">+AQ427</f>
        <v/>
      </c>
      <c r="F427" s="30"/>
      <c r="G427" s="24" t="str">
        <f t="shared" ref="G427" si="1406">+AV427</f>
        <v>300100</v>
      </c>
      <c r="H427" s="16">
        <f t="shared" ref="H427" si="1407">+AK427</f>
        <v>0</v>
      </c>
      <c r="I427" s="16">
        <f t="shared" ref="I427" si="1408">+ROUND(AD427,2)</f>
        <v>0</v>
      </c>
      <c r="J427" s="2"/>
      <c r="K427" s="17">
        <f t="shared" ref="K427" si="1409">+AE427</f>
        <v>0</v>
      </c>
      <c r="L427" s="16">
        <f t="shared" ref="L427" si="1410">+AJ427</f>
        <v>0</v>
      </c>
      <c r="M427" s="32" t="s">
        <v>5</v>
      </c>
      <c r="N427" s="30"/>
      <c r="O427" s="2"/>
      <c r="P427" s="30"/>
      <c r="Q427" s="32" t="s">
        <v>0</v>
      </c>
      <c r="R427" s="24"/>
      <c r="S427" s="24" t="str">
        <f t="shared" ref="S427" si="1411">+RIGHT(O427,7)</f>
        <v/>
      </c>
      <c r="T427" s="2"/>
      <c r="U427" s="3" t="s">
        <v>1</v>
      </c>
      <c r="V427" s="3" t="s">
        <v>3</v>
      </c>
      <c r="W427" s="16">
        <f t="shared" ref="W427" si="1412">+AI427</f>
        <v>0</v>
      </c>
      <c r="X427" s="16">
        <f t="shared" ref="X427" si="1413">+AJ427</f>
        <v>0</v>
      </c>
      <c r="Y427" s="3" t="s">
        <v>4</v>
      </c>
      <c r="Z427" s="18">
        <f t="shared" ref="Z427" si="1414">+F427</f>
        <v>0</v>
      </c>
      <c r="AA427" s="61"/>
      <c r="AB427" s="65"/>
      <c r="AC427" s="16">
        <f>+AB427*0.18</f>
        <v>0</v>
      </c>
      <c r="AD427" s="16">
        <f>+AB427+AC427</f>
        <v>0</v>
      </c>
      <c r="AE427" s="68"/>
      <c r="AF427" s="16">
        <f t="shared" ref="AF427" si="1415">+AB427*AE427</f>
        <v>0</v>
      </c>
      <c r="AG427" s="16">
        <f t="shared" ref="AG427" si="1416">+AC427*AE427</f>
        <v>0</v>
      </c>
      <c r="AH427" s="16">
        <f t="shared" ref="AH427" si="1417">+AD427*AE427</f>
        <v>0</v>
      </c>
      <c r="AI427" s="16">
        <f t="shared" ref="AI427" si="1418">+ROUND(AF427,2)</f>
        <v>0</v>
      </c>
      <c r="AJ427" s="16">
        <f t="shared" ref="AJ427" si="1419">+ROUND(AG427,2)</f>
        <v>0</v>
      </c>
      <c r="AK427" s="16">
        <f t="shared" ref="AK427" si="1420">+AI427+AJ427</f>
        <v>0</v>
      </c>
      <c r="AL427" s="16">
        <f t="shared" ref="AL427" si="1421">+AI427+AJ427-AK427</f>
        <v>0</v>
      </c>
      <c r="AM427" s="44"/>
      <c r="AN427" s="41" t="str">
        <f t="shared" ref="AN427" si="1422">+LEFT(AM427,2)</f>
        <v/>
      </c>
      <c r="AO427" s="41" t="str">
        <f t="shared" ref="AO427" si="1423">+MID(AM427,4,2)</f>
        <v/>
      </c>
      <c r="AP427" s="41" t="str">
        <f t="shared" ref="AP427" si="1424">+RIGHT(AM427,2)</f>
        <v/>
      </c>
      <c r="AQ427" s="41" t="str">
        <f t="shared" ref="AQ427" si="1425">+CONCATENATE(AN427,AO427,AP427)</f>
        <v/>
      </c>
      <c r="AR427" s="45">
        <f t="shared" ref="AR427" si="1426">+AM427+30</f>
        <v>30</v>
      </c>
      <c r="AS427" s="46">
        <f t="shared" ref="AS427" si="1427">+DAY(AR427)</f>
        <v>30</v>
      </c>
      <c r="AT427" s="41">
        <f t="shared" ref="AT427" si="1428">+MONTH(AR427)</f>
        <v>1</v>
      </c>
      <c r="AU427" s="41">
        <f t="shared" ref="AU427" si="1429">+YEAR(AR427)</f>
        <v>1900</v>
      </c>
      <c r="AV427" s="41" t="str">
        <f t="shared" ref="AV427" si="1430">+CONCATENATE(TEXT(AS427,"00"),TEXT(AT427,"00"),RIGHT(AU427,2))</f>
        <v>300100</v>
      </c>
    </row>
    <row r="428" spans="1:48" hidden="1" x14ac:dyDescent="0.25">
      <c r="A428" s="31"/>
      <c r="B428" s="31"/>
      <c r="C428" s="3"/>
      <c r="D428" s="3"/>
      <c r="E428" s="2"/>
      <c r="F428" s="3"/>
      <c r="G428" s="3"/>
      <c r="H428" s="16"/>
      <c r="I428" s="16"/>
      <c r="J428" s="3"/>
      <c r="K428" s="17"/>
      <c r="L428" s="16"/>
      <c r="M428" s="3"/>
      <c r="N428" s="3"/>
      <c r="O428" s="2"/>
      <c r="P428" s="3" t="s">
        <v>54</v>
      </c>
      <c r="Q428" s="3"/>
      <c r="R428" s="3"/>
      <c r="S428" s="16"/>
      <c r="T428" s="3"/>
      <c r="U428" s="3"/>
      <c r="V428" s="3"/>
      <c r="W428" s="16"/>
      <c r="X428" s="16"/>
      <c r="Y428" s="3"/>
      <c r="Z428" s="18"/>
      <c r="AA428" s="3"/>
      <c r="AB428" s="16"/>
      <c r="AC428" s="16"/>
      <c r="AD428" s="16"/>
      <c r="AE428" s="9"/>
      <c r="AF428" s="16"/>
      <c r="AG428" s="16"/>
      <c r="AH428" s="16"/>
      <c r="AI428" s="16"/>
      <c r="AJ428" s="16"/>
      <c r="AK428" s="16"/>
      <c r="AL428" s="16"/>
      <c r="AM428" s="3"/>
      <c r="AN428" s="3"/>
      <c r="AO428" s="3"/>
      <c r="AP428" s="3"/>
      <c r="AQ428" s="3"/>
      <c r="AR428" s="3"/>
      <c r="AS428" s="3"/>
      <c r="AT428" s="3"/>
      <c r="AU428" s="3"/>
      <c r="AV428" s="3"/>
    </row>
    <row r="429" spans="1:48" hidden="1" x14ac:dyDescent="0.25">
      <c r="A429" s="31"/>
      <c r="B429" s="31"/>
      <c r="C429" s="3"/>
      <c r="D429" s="3"/>
      <c r="E429" s="2"/>
      <c r="F429" s="3"/>
      <c r="G429" s="3"/>
      <c r="H429" s="16"/>
      <c r="I429" s="16"/>
      <c r="J429" s="3"/>
      <c r="K429" s="17"/>
      <c r="L429" s="16"/>
      <c r="M429" s="3"/>
      <c r="N429" s="3"/>
      <c r="O429" s="2"/>
      <c r="P429" s="3" t="s">
        <v>54</v>
      </c>
      <c r="Q429" s="3"/>
      <c r="R429" s="3"/>
      <c r="S429" s="16"/>
      <c r="T429" s="3"/>
      <c r="U429" s="3"/>
      <c r="V429" s="3"/>
      <c r="W429" s="16"/>
      <c r="X429" s="16"/>
      <c r="Y429" s="3"/>
      <c r="Z429" s="18"/>
      <c r="AA429" s="3"/>
      <c r="AB429" s="16"/>
      <c r="AC429" s="16"/>
      <c r="AD429" s="16"/>
      <c r="AE429" s="9"/>
      <c r="AF429" s="16"/>
      <c r="AG429" s="16"/>
      <c r="AH429" s="16"/>
      <c r="AI429" s="16"/>
      <c r="AJ429" s="16"/>
      <c r="AK429" s="16"/>
      <c r="AL429" s="16"/>
      <c r="AM429" s="3"/>
      <c r="AN429" s="3"/>
      <c r="AO429" s="3"/>
      <c r="AP429" s="3"/>
      <c r="AQ429" s="3"/>
      <c r="AR429" s="3"/>
      <c r="AS429" s="3"/>
      <c r="AT429" s="3"/>
      <c r="AU429" s="3"/>
      <c r="AV429" s="3"/>
    </row>
    <row r="430" spans="1:48" hidden="1" x14ac:dyDescent="0.25">
      <c r="A430" s="31"/>
      <c r="B430" s="31"/>
      <c r="C430" s="3"/>
      <c r="D430" s="3"/>
      <c r="E430" s="2"/>
      <c r="F430" s="3"/>
      <c r="G430" s="3"/>
      <c r="H430" s="16"/>
      <c r="I430" s="16"/>
      <c r="J430" s="3"/>
      <c r="K430" s="17"/>
      <c r="L430" s="16"/>
      <c r="M430" s="3"/>
      <c r="N430" s="3"/>
      <c r="O430" s="2"/>
      <c r="P430" s="3" t="s">
        <v>54</v>
      </c>
      <c r="Q430" s="3"/>
      <c r="R430" s="3"/>
      <c r="S430" s="16"/>
      <c r="T430" s="3"/>
      <c r="U430" s="3"/>
      <c r="V430" s="3"/>
      <c r="W430" s="16"/>
      <c r="X430" s="16"/>
      <c r="Y430" s="3"/>
      <c r="Z430" s="18"/>
      <c r="AA430" s="3"/>
      <c r="AB430" s="16"/>
      <c r="AC430" s="16"/>
      <c r="AD430" s="16"/>
      <c r="AE430" s="9"/>
      <c r="AF430" s="16"/>
      <c r="AG430" s="16"/>
      <c r="AH430" s="16"/>
      <c r="AI430" s="16"/>
      <c r="AJ430" s="16"/>
      <c r="AK430" s="16"/>
      <c r="AL430" s="16"/>
      <c r="AM430" s="3"/>
      <c r="AN430" s="3"/>
      <c r="AO430" s="3"/>
      <c r="AP430" s="3"/>
      <c r="AQ430" s="3"/>
      <c r="AR430" s="3"/>
      <c r="AS430" s="3"/>
      <c r="AT430" s="3"/>
      <c r="AU430" s="3"/>
      <c r="AV430" s="3"/>
    </row>
    <row r="431" spans="1:48" x14ac:dyDescent="0.25">
      <c r="A431" s="15">
        <f t="shared" ref="A431" si="1431">1+A427</f>
        <v>108</v>
      </c>
      <c r="B431" s="15"/>
      <c r="C431" s="2"/>
      <c r="D431" s="2"/>
      <c r="E431" s="24" t="str">
        <f t="shared" ref="E431" si="1432">+AQ431</f>
        <v/>
      </c>
      <c r="F431" s="30"/>
      <c r="G431" s="24" t="str">
        <f t="shared" ref="G431" si="1433">+AV431</f>
        <v>300100</v>
      </c>
      <c r="H431" s="16">
        <f t="shared" ref="H431" si="1434">+AK431</f>
        <v>0</v>
      </c>
      <c r="I431" s="16">
        <f t="shared" ref="I431" si="1435">+ROUND(AD431,2)</f>
        <v>0</v>
      </c>
      <c r="J431" s="2"/>
      <c r="K431" s="17">
        <f t="shared" ref="K431" si="1436">+AE431</f>
        <v>0</v>
      </c>
      <c r="L431" s="16">
        <f t="shared" ref="L431" si="1437">+AJ431</f>
        <v>0</v>
      </c>
      <c r="M431" s="32" t="s">
        <v>5</v>
      </c>
      <c r="N431" s="30"/>
      <c r="O431" s="2"/>
      <c r="P431" s="30"/>
      <c r="Q431" s="32" t="s">
        <v>0</v>
      </c>
      <c r="R431" s="24"/>
      <c r="S431" s="24" t="str">
        <f t="shared" ref="S431" si="1438">+RIGHT(O431,7)</f>
        <v/>
      </c>
      <c r="T431" s="2"/>
      <c r="U431" s="3" t="s">
        <v>1</v>
      </c>
      <c r="V431" s="3" t="s">
        <v>3</v>
      </c>
      <c r="W431" s="16">
        <f t="shared" ref="W431" si="1439">+AI431</f>
        <v>0</v>
      </c>
      <c r="X431" s="16">
        <f t="shared" ref="X431" si="1440">+AJ431</f>
        <v>0</v>
      </c>
      <c r="Y431" s="3" t="s">
        <v>4</v>
      </c>
      <c r="Z431" s="18">
        <f t="shared" ref="Z431" si="1441">+F431</f>
        <v>0</v>
      </c>
      <c r="AA431" s="61"/>
      <c r="AB431" s="65"/>
      <c r="AC431" s="16">
        <f>+AB431*0.18</f>
        <v>0</v>
      </c>
      <c r="AD431" s="16">
        <f>+AB431+AC431</f>
        <v>0</v>
      </c>
      <c r="AE431" s="68"/>
      <c r="AF431" s="16">
        <f t="shared" ref="AF431" si="1442">+AB431*AE431</f>
        <v>0</v>
      </c>
      <c r="AG431" s="16">
        <f t="shared" ref="AG431" si="1443">+AC431*AE431</f>
        <v>0</v>
      </c>
      <c r="AH431" s="16">
        <f t="shared" ref="AH431" si="1444">+AD431*AE431</f>
        <v>0</v>
      </c>
      <c r="AI431" s="16">
        <f t="shared" ref="AI431" si="1445">+ROUND(AF431,2)</f>
        <v>0</v>
      </c>
      <c r="AJ431" s="16">
        <f t="shared" ref="AJ431" si="1446">+ROUND(AG431,2)</f>
        <v>0</v>
      </c>
      <c r="AK431" s="16">
        <f t="shared" ref="AK431" si="1447">+AI431+AJ431</f>
        <v>0</v>
      </c>
      <c r="AL431" s="16">
        <f t="shared" ref="AL431" si="1448">+AI431+AJ431-AK431</f>
        <v>0</v>
      </c>
      <c r="AM431" s="44"/>
      <c r="AN431" s="41" t="str">
        <f t="shared" ref="AN431" si="1449">+LEFT(AM431,2)</f>
        <v/>
      </c>
      <c r="AO431" s="41" t="str">
        <f t="shared" ref="AO431" si="1450">+MID(AM431,4,2)</f>
        <v/>
      </c>
      <c r="AP431" s="41" t="str">
        <f t="shared" ref="AP431" si="1451">+RIGHT(AM431,2)</f>
        <v/>
      </c>
      <c r="AQ431" s="41" t="str">
        <f t="shared" ref="AQ431" si="1452">+CONCATENATE(AN431,AO431,AP431)</f>
        <v/>
      </c>
      <c r="AR431" s="45">
        <f t="shared" ref="AR431" si="1453">+AM431+30</f>
        <v>30</v>
      </c>
      <c r="AS431" s="46">
        <f t="shared" ref="AS431" si="1454">+DAY(AR431)</f>
        <v>30</v>
      </c>
      <c r="AT431" s="41">
        <f t="shared" ref="AT431" si="1455">+MONTH(AR431)</f>
        <v>1</v>
      </c>
      <c r="AU431" s="41">
        <f t="shared" ref="AU431" si="1456">+YEAR(AR431)</f>
        <v>1900</v>
      </c>
      <c r="AV431" s="41" t="str">
        <f t="shared" ref="AV431" si="1457">+CONCATENATE(TEXT(AS431,"00"),TEXT(AT431,"00"),RIGHT(AU431,2))</f>
        <v>300100</v>
      </c>
    </row>
    <row r="432" spans="1:48" hidden="1" x14ac:dyDescent="0.25">
      <c r="A432" s="31"/>
      <c r="B432" s="31"/>
      <c r="C432" s="3"/>
      <c r="D432" s="3"/>
      <c r="E432" s="2"/>
      <c r="F432" s="3"/>
      <c r="G432" s="3"/>
      <c r="H432" s="16"/>
      <c r="I432" s="16"/>
      <c r="J432" s="3"/>
      <c r="K432" s="17"/>
      <c r="L432" s="16"/>
      <c r="M432" s="3"/>
      <c r="N432" s="3"/>
      <c r="O432" s="2"/>
      <c r="P432" s="3" t="s">
        <v>54</v>
      </c>
      <c r="Q432" s="3"/>
      <c r="R432" s="3"/>
      <c r="S432" s="16"/>
      <c r="T432" s="3"/>
      <c r="U432" s="3"/>
      <c r="V432" s="3"/>
      <c r="W432" s="16"/>
      <c r="X432" s="16"/>
      <c r="Y432" s="3"/>
      <c r="Z432" s="18"/>
      <c r="AA432" s="3"/>
      <c r="AB432" s="16"/>
      <c r="AC432" s="16"/>
      <c r="AD432" s="16"/>
      <c r="AE432" s="9"/>
      <c r="AF432" s="16"/>
      <c r="AG432" s="16"/>
      <c r="AH432" s="16"/>
      <c r="AI432" s="16"/>
      <c r="AJ432" s="16"/>
      <c r="AK432" s="16"/>
      <c r="AL432" s="16"/>
      <c r="AM432" s="3"/>
      <c r="AN432" s="3"/>
      <c r="AO432" s="3"/>
      <c r="AP432" s="3"/>
      <c r="AQ432" s="3"/>
      <c r="AR432" s="3"/>
      <c r="AS432" s="3"/>
      <c r="AT432" s="3"/>
      <c r="AU432" s="3"/>
      <c r="AV432" s="3"/>
    </row>
    <row r="433" spans="1:48" hidden="1" x14ac:dyDescent="0.25">
      <c r="A433" s="31"/>
      <c r="B433" s="31"/>
      <c r="C433" s="3"/>
      <c r="D433" s="3"/>
      <c r="E433" s="2"/>
      <c r="F433" s="3"/>
      <c r="G433" s="3"/>
      <c r="H433" s="16"/>
      <c r="I433" s="16"/>
      <c r="J433" s="3"/>
      <c r="K433" s="17"/>
      <c r="L433" s="16"/>
      <c r="M433" s="3"/>
      <c r="N433" s="3"/>
      <c r="O433" s="2"/>
      <c r="P433" s="3" t="s">
        <v>54</v>
      </c>
      <c r="Q433" s="3"/>
      <c r="R433" s="3"/>
      <c r="S433" s="16"/>
      <c r="T433" s="3"/>
      <c r="U433" s="3"/>
      <c r="V433" s="3"/>
      <c r="W433" s="16"/>
      <c r="X433" s="16"/>
      <c r="Y433" s="3"/>
      <c r="Z433" s="18"/>
      <c r="AA433" s="3"/>
      <c r="AB433" s="16"/>
      <c r="AC433" s="16"/>
      <c r="AD433" s="16"/>
      <c r="AE433" s="9"/>
      <c r="AF433" s="16"/>
      <c r="AG433" s="16"/>
      <c r="AH433" s="16"/>
      <c r="AI433" s="16"/>
      <c r="AJ433" s="16"/>
      <c r="AK433" s="16"/>
      <c r="AL433" s="16"/>
      <c r="AM433" s="3"/>
      <c r="AN433" s="3"/>
      <c r="AO433" s="3"/>
      <c r="AP433" s="3"/>
      <c r="AQ433" s="3"/>
      <c r="AR433" s="3"/>
      <c r="AS433" s="3"/>
      <c r="AT433" s="3"/>
      <c r="AU433" s="3"/>
      <c r="AV433" s="3"/>
    </row>
    <row r="434" spans="1:48" hidden="1" x14ac:dyDescent="0.25">
      <c r="A434" s="31"/>
      <c r="B434" s="31"/>
      <c r="C434" s="3"/>
      <c r="D434" s="3"/>
      <c r="E434" s="2"/>
      <c r="F434" s="3"/>
      <c r="G434" s="3"/>
      <c r="H434" s="16"/>
      <c r="I434" s="16"/>
      <c r="J434" s="3"/>
      <c r="K434" s="17"/>
      <c r="L434" s="16"/>
      <c r="M434" s="3"/>
      <c r="N434" s="3"/>
      <c r="O434" s="2"/>
      <c r="P434" s="3" t="s">
        <v>54</v>
      </c>
      <c r="Q434" s="3"/>
      <c r="R434" s="3"/>
      <c r="S434" s="16"/>
      <c r="T434" s="3"/>
      <c r="U434" s="3"/>
      <c r="V434" s="3"/>
      <c r="W434" s="16"/>
      <c r="X434" s="16"/>
      <c r="Y434" s="3"/>
      <c r="Z434" s="18"/>
      <c r="AA434" s="3"/>
      <c r="AB434" s="16"/>
      <c r="AC434" s="16"/>
      <c r="AD434" s="16"/>
      <c r="AE434" s="9"/>
      <c r="AF434" s="16"/>
      <c r="AG434" s="16"/>
      <c r="AH434" s="16"/>
      <c r="AI434" s="16"/>
      <c r="AJ434" s="16"/>
      <c r="AK434" s="16"/>
      <c r="AL434" s="16"/>
      <c r="AM434" s="3"/>
      <c r="AN434" s="3"/>
      <c r="AO434" s="3"/>
      <c r="AP434" s="3"/>
      <c r="AQ434" s="3"/>
      <c r="AR434" s="3"/>
      <c r="AS434" s="3"/>
      <c r="AT434" s="3"/>
      <c r="AU434" s="3"/>
      <c r="AV434" s="3"/>
    </row>
    <row r="435" spans="1:48" x14ac:dyDescent="0.25">
      <c r="A435" s="15">
        <f t="shared" ref="A435" si="1458">1+A431</f>
        <v>109</v>
      </c>
      <c r="B435" s="15"/>
      <c r="C435" s="2"/>
      <c r="D435" s="2"/>
      <c r="E435" s="24" t="str">
        <f t="shared" ref="E435" si="1459">+AQ435</f>
        <v/>
      </c>
      <c r="F435" s="30"/>
      <c r="G435" s="24" t="str">
        <f t="shared" ref="G435" si="1460">+AV435</f>
        <v>300100</v>
      </c>
      <c r="H435" s="16">
        <f t="shared" ref="H435" si="1461">+AK435</f>
        <v>0</v>
      </c>
      <c r="I435" s="16">
        <f t="shared" ref="I435" si="1462">+ROUND(AD435,2)</f>
        <v>0</v>
      </c>
      <c r="J435" s="2"/>
      <c r="K435" s="17">
        <f t="shared" ref="K435" si="1463">+AE435</f>
        <v>0</v>
      </c>
      <c r="L435" s="16">
        <f t="shared" ref="L435" si="1464">+AJ435</f>
        <v>0</v>
      </c>
      <c r="M435" s="32" t="s">
        <v>5</v>
      </c>
      <c r="N435" s="30"/>
      <c r="O435" s="2"/>
      <c r="P435" s="30"/>
      <c r="Q435" s="32" t="s">
        <v>0</v>
      </c>
      <c r="R435" s="24"/>
      <c r="S435" s="24" t="str">
        <f t="shared" ref="S435" si="1465">+RIGHT(O435,7)</f>
        <v/>
      </c>
      <c r="T435" s="2"/>
      <c r="U435" s="3" t="s">
        <v>1</v>
      </c>
      <c r="V435" s="3" t="s">
        <v>3</v>
      </c>
      <c r="W435" s="16">
        <f t="shared" ref="W435" si="1466">+AI435</f>
        <v>0</v>
      </c>
      <c r="X435" s="16">
        <f t="shared" ref="X435" si="1467">+AJ435</f>
        <v>0</v>
      </c>
      <c r="Y435" s="3" t="s">
        <v>4</v>
      </c>
      <c r="Z435" s="18">
        <f t="shared" ref="Z435" si="1468">+F435</f>
        <v>0</v>
      </c>
      <c r="AA435" s="61"/>
      <c r="AB435" s="65"/>
      <c r="AC435" s="16">
        <f>+AB435*0.18</f>
        <v>0</v>
      </c>
      <c r="AD435" s="16">
        <f>+AB435+AC435</f>
        <v>0</v>
      </c>
      <c r="AE435" s="68"/>
      <c r="AF435" s="16">
        <f t="shared" ref="AF435" si="1469">+AB435*AE435</f>
        <v>0</v>
      </c>
      <c r="AG435" s="16">
        <f t="shared" ref="AG435" si="1470">+AC435*AE435</f>
        <v>0</v>
      </c>
      <c r="AH435" s="16">
        <f t="shared" ref="AH435" si="1471">+AD435*AE435</f>
        <v>0</v>
      </c>
      <c r="AI435" s="16">
        <f t="shared" ref="AI435" si="1472">+ROUND(AF435,2)</f>
        <v>0</v>
      </c>
      <c r="AJ435" s="16">
        <f t="shared" ref="AJ435" si="1473">+ROUND(AG435,2)</f>
        <v>0</v>
      </c>
      <c r="AK435" s="16">
        <f t="shared" ref="AK435" si="1474">+AI435+AJ435</f>
        <v>0</v>
      </c>
      <c r="AL435" s="16">
        <f t="shared" ref="AL435" si="1475">+AI435+AJ435-AK435</f>
        <v>0</v>
      </c>
      <c r="AM435" s="44"/>
      <c r="AN435" s="41" t="str">
        <f t="shared" ref="AN435" si="1476">+LEFT(AM435,2)</f>
        <v/>
      </c>
      <c r="AO435" s="41" t="str">
        <f t="shared" ref="AO435" si="1477">+MID(AM435,4,2)</f>
        <v/>
      </c>
      <c r="AP435" s="41" t="str">
        <f t="shared" ref="AP435" si="1478">+RIGHT(AM435,2)</f>
        <v/>
      </c>
      <c r="AQ435" s="41" t="str">
        <f t="shared" ref="AQ435" si="1479">+CONCATENATE(AN435,AO435,AP435)</f>
        <v/>
      </c>
      <c r="AR435" s="45">
        <f t="shared" ref="AR435" si="1480">+AM435+30</f>
        <v>30</v>
      </c>
      <c r="AS435" s="46">
        <f t="shared" ref="AS435" si="1481">+DAY(AR435)</f>
        <v>30</v>
      </c>
      <c r="AT435" s="41">
        <f t="shared" ref="AT435" si="1482">+MONTH(AR435)</f>
        <v>1</v>
      </c>
      <c r="AU435" s="41">
        <f t="shared" ref="AU435" si="1483">+YEAR(AR435)</f>
        <v>1900</v>
      </c>
      <c r="AV435" s="41" t="str">
        <f t="shared" ref="AV435" si="1484">+CONCATENATE(TEXT(AS435,"00"),TEXT(AT435,"00"),RIGHT(AU435,2))</f>
        <v>300100</v>
      </c>
    </row>
    <row r="436" spans="1:48" hidden="1" x14ac:dyDescent="0.25">
      <c r="A436" s="31"/>
      <c r="B436" s="31"/>
      <c r="C436" s="3"/>
      <c r="D436" s="3"/>
      <c r="E436" s="2"/>
      <c r="F436" s="3"/>
      <c r="G436" s="3"/>
      <c r="H436" s="16"/>
      <c r="I436" s="16"/>
      <c r="J436" s="3"/>
      <c r="K436" s="17"/>
      <c r="L436" s="16"/>
      <c r="M436" s="3"/>
      <c r="N436" s="3"/>
      <c r="O436" s="2"/>
      <c r="P436" s="3" t="s">
        <v>54</v>
      </c>
      <c r="Q436" s="3"/>
      <c r="R436" s="3"/>
      <c r="S436" s="16"/>
      <c r="T436" s="3"/>
      <c r="U436" s="3"/>
      <c r="V436" s="3"/>
      <c r="W436" s="16"/>
      <c r="X436" s="16"/>
      <c r="Y436" s="3"/>
      <c r="Z436" s="18"/>
      <c r="AA436" s="3"/>
      <c r="AB436" s="16"/>
      <c r="AC436" s="16"/>
      <c r="AD436" s="16"/>
      <c r="AE436" s="9"/>
      <c r="AF436" s="16"/>
      <c r="AG436" s="16"/>
      <c r="AH436" s="16"/>
      <c r="AI436" s="16"/>
      <c r="AJ436" s="16"/>
      <c r="AK436" s="16"/>
      <c r="AL436" s="16"/>
      <c r="AM436" s="3"/>
      <c r="AN436" s="3"/>
      <c r="AO436" s="3"/>
      <c r="AP436" s="3"/>
      <c r="AQ436" s="3"/>
      <c r="AR436" s="3"/>
      <c r="AS436" s="3"/>
      <c r="AT436" s="3"/>
      <c r="AU436" s="3"/>
      <c r="AV436" s="3"/>
    </row>
    <row r="437" spans="1:48" hidden="1" x14ac:dyDescent="0.25">
      <c r="A437" s="31"/>
      <c r="B437" s="31"/>
      <c r="C437" s="3"/>
      <c r="D437" s="3"/>
      <c r="E437" s="2"/>
      <c r="F437" s="3"/>
      <c r="G437" s="3"/>
      <c r="H437" s="16"/>
      <c r="I437" s="16"/>
      <c r="J437" s="3"/>
      <c r="K437" s="17"/>
      <c r="L437" s="16"/>
      <c r="M437" s="3"/>
      <c r="N437" s="3"/>
      <c r="O437" s="2"/>
      <c r="P437" s="3" t="s">
        <v>54</v>
      </c>
      <c r="Q437" s="3"/>
      <c r="R437" s="3"/>
      <c r="S437" s="16"/>
      <c r="T437" s="3"/>
      <c r="U437" s="3"/>
      <c r="V437" s="3"/>
      <c r="W437" s="16"/>
      <c r="X437" s="16"/>
      <c r="Y437" s="3"/>
      <c r="Z437" s="18"/>
      <c r="AA437" s="3"/>
      <c r="AB437" s="16"/>
      <c r="AC437" s="16"/>
      <c r="AD437" s="16"/>
      <c r="AE437" s="9"/>
      <c r="AF437" s="16"/>
      <c r="AG437" s="16"/>
      <c r="AH437" s="16"/>
      <c r="AI437" s="16"/>
      <c r="AJ437" s="16"/>
      <c r="AK437" s="16"/>
      <c r="AL437" s="16"/>
      <c r="AM437" s="3"/>
      <c r="AN437" s="3"/>
      <c r="AO437" s="3"/>
      <c r="AP437" s="3"/>
      <c r="AQ437" s="3"/>
      <c r="AR437" s="3"/>
      <c r="AS437" s="3"/>
      <c r="AT437" s="3"/>
      <c r="AU437" s="3"/>
      <c r="AV437" s="3"/>
    </row>
    <row r="438" spans="1:48" hidden="1" x14ac:dyDescent="0.25">
      <c r="A438" s="31"/>
      <c r="B438" s="31"/>
      <c r="C438" s="3"/>
      <c r="D438" s="3"/>
      <c r="E438" s="2"/>
      <c r="F438" s="3"/>
      <c r="G438" s="3"/>
      <c r="H438" s="16"/>
      <c r="I438" s="16"/>
      <c r="J438" s="3"/>
      <c r="K438" s="17"/>
      <c r="L438" s="16"/>
      <c r="M438" s="3"/>
      <c r="N438" s="3"/>
      <c r="O438" s="2"/>
      <c r="P438" s="3" t="s">
        <v>54</v>
      </c>
      <c r="Q438" s="3"/>
      <c r="R438" s="3"/>
      <c r="S438" s="16"/>
      <c r="T438" s="3"/>
      <c r="U438" s="3"/>
      <c r="V438" s="3"/>
      <c r="W438" s="16"/>
      <c r="X438" s="16"/>
      <c r="Y438" s="3"/>
      <c r="Z438" s="18"/>
      <c r="AA438" s="3"/>
      <c r="AB438" s="16"/>
      <c r="AC438" s="16"/>
      <c r="AD438" s="16"/>
      <c r="AE438" s="9"/>
      <c r="AF438" s="16"/>
      <c r="AG438" s="16"/>
      <c r="AH438" s="16"/>
      <c r="AI438" s="16"/>
      <c r="AJ438" s="16"/>
      <c r="AK438" s="16"/>
      <c r="AL438" s="16"/>
      <c r="AM438" s="3"/>
      <c r="AN438" s="3"/>
      <c r="AO438" s="3"/>
      <c r="AP438" s="3"/>
      <c r="AQ438" s="3"/>
      <c r="AR438" s="3"/>
      <c r="AS438" s="3"/>
      <c r="AT438" s="3"/>
      <c r="AU438" s="3"/>
      <c r="AV438" s="3"/>
    </row>
    <row r="439" spans="1:48" x14ac:dyDescent="0.25">
      <c r="A439" s="15">
        <f t="shared" ref="A439" si="1485">1+A435</f>
        <v>110</v>
      </c>
      <c r="B439" s="15"/>
      <c r="C439" s="2"/>
      <c r="D439" s="2"/>
      <c r="E439" s="24" t="str">
        <f t="shared" ref="E439" si="1486">+AQ439</f>
        <v/>
      </c>
      <c r="F439" s="30"/>
      <c r="G439" s="24" t="str">
        <f t="shared" ref="G439" si="1487">+AV439</f>
        <v>300100</v>
      </c>
      <c r="H439" s="16">
        <f t="shared" ref="H439" si="1488">+AK439</f>
        <v>0</v>
      </c>
      <c r="I439" s="16">
        <f t="shared" ref="I439" si="1489">+ROUND(AD439,2)</f>
        <v>0</v>
      </c>
      <c r="J439" s="2"/>
      <c r="K439" s="17">
        <f t="shared" ref="K439" si="1490">+AE439</f>
        <v>0</v>
      </c>
      <c r="L439" s="16">
        <f t="shared" ref="L439" si="1491">+AJ439</f>
        <v>0</v>
      </c>
      <c r="M439" s="32" t="s">
        <v>5</v>
      </c>
      <c r="N439" s="30"/>
      <c r="O439" s="2"/>
      <c r="P439" s="30"/>
      <c r="Q439" s="32" t="s">
        <v>0</v>
      </c>
      <c r="R439" s="24"/>
      <c r="S439" s="24" t="str">
        <f t="shared" ref="S439" si="1492">+RIGHT(O439,7)</f>
        <v/>
      </c>
      <c r="T439" s="2"/>
      <c r="U439" s="3" t="s">
        <v>1</v>
      </c>
      <c r="V439" s="3" t="s">
        <v>3</v>
      </c>
      <c r="W439" s="16">
        <f t="shared" ref="W439" si="1493">+AI439</f>
        <v>0</v>
      </c>
      <c r="X439" s="16">
        <f t="shared" ref="X439" si="1494">+AJ439</f>
        <v>0</v>
      </c>
      <c r="Y439" s="3" t="s">
        <v>4</v>
      </c>
      <c r="Z439" s="18">
        <f t="shared" ref="Z439" si="1495">+F439</f>
        <v>0</v>
      </c>
      <c r="AA439" s="61"/>
      <c r="AB439" s="65"/>
      <c r="AC439" s="16">
        <f>+AB439*0.18</f>
        <v>0</v>
      </c>
      <c r="AD439" s="16">
        <f>+AB439+AC439</f>
        <v>0</v>
      </c>
      <c r="AE439" s="68"/>
      <c r="AF439" s="16">
        <f t="shared" ref="AF439" si="1496">+AB439*AE439</f>
        <v>0</v>
      </c>
      <c r="AG439" s="16">
        <f t="shared" ref="AG439" si="1497">+AC439*AE439</f>
        <v>0</v>
      </c>
      <c r="AH439" s="16">
        <f t="shared" ref="AH439" si="1498">+AD439*AE439</f>
        <v>0</v>
      </c>
      <c r="AI439" s="16">
        <f t="shared" ref="AI439" si="1499">+ROUND(AF439,2)</f>
        <v>0</v>
      </c>
      <c r="AJ439" s="16">
        <f t="shared" ref="AJ439" si="1500">+ROUND(AG439,2)</f>
        <v>0</v>
      </c>
      <c r="AK439" s="16">
        <f t="shared" ref="AK439" si="1501">+AI439+AJ439</f>
        <v>0</v>
      </c>
      <c r="AL439" s="16">
        <f t="shared" ref="AL439" si="1502">+AI439+AJ439-AK439</f>
        <v>0</v>
      </c>
      <c r="AM439" s="44"/>
      <c r="AN439" s="41" t="str">
        <f t="shared" ref="AN439" si="1503">+LEFT(AM439,2)</f>
        <v/>
      </c>
      <c r="AO439" s="41" t="str">
        <f t="shared" ref="AO439" si="1504">+MID(AM439,4,2)</f>
        <v/>
      </c>
      <c r="AP439" s="41" t="str">
        <f t="shared" ref="AP439" si="1505">+RIGHT(AM439,2)</f>
        <v/>
      </c>
      <c r="AQ439" s="41" t="str">
        <f t="shared" ref="AQ439" si="1506">+CONCATENATE(AN439,AO439,AP439)</f>
        <v/>
      </c>
      <c r="AR439" s="45">
        <f t="shared" ref="AR439" si="1507">+AM439+30</f>
        <v>30</v>
      </c>
      <c r="AS439" s="46">
        <f t="shared" ref="AS439" si="1508">+DAY(AR439)</f>
        <v>30</v>
      </c>
      <c r="AT439" s="41">
        <f t="shared" ref="AT439" si="1509">+MONTH(AR439)</f>
        <v>1</v>
      </c>
      <c r="AU439" s="41">
        <f t="shared" ref="AU439" si="1510">+YEAR(AR439)</f>
        <v>1900</v>
      </c>
      <c r="AV439" s="41" t="str">
        <f t="shared" ref="AV439" si="1511">+CONCATENATE(TEXT(AS439,"00"),TEXT(AT439,"00"),RIGHT(AU439,2))</f>
        <v>300100</v>
      </c>
    </row>
    <row r="440" spans="1:48" hidden="1" x14ac:dyDescent="0.25">
      <c r="A440" s="31"/>
      <c r="B440" s="31"/>
      <c r="C440" s="3"/>
      <c r="D440" s="3"/>
      <c r="E440" s="2"/>
      <c r="F440" s="3"/>
      <c r="G440" s="3"/>
      <c r="H440" s="16"/>
      <c r="I440" s="16"/>
      <c r="J440" s="3"/>
      <c r="K440" s="17"/>
      <c r="L440" s="16"/>
      <c r="M440" s="3"/>
      <c r="N440" s="3"/>
      <c r="O440" s="2"/>
      <c r="P440" s="3" t="s">
        <v>54</v>
      </c>
      <c r="Q440" s="3"/>
      <c r="R440" s="3"/>
      <c r="S440" s="16"/>
      <c r="T440" s="3"/>
      <c r="U440" s="3"/>
      <c r="V440" s="3"/>
      <c r="W440" s="16"/>
      <c r="X440" s="16"/>
      <c r="Y440" s="3"/>
      <c r="Z440" s="18"/>
      <c r="AA440" s="3"/>
      <c r="AB440" s="16"/>
      <c r="AC440" s="16"/>
      <c r="AD440" s="16"/>
      <c r="AE440" s="9"/>
      <c r="AF440" s="16"/>
      <c r="AG440" s="16"/>
      <c r="AH440" s="16"/>
      <c r="AI440" s="16"/>
      <c r="AJ440" s="16"/>
      <c r="AK440" s="16"/>
      <c r="AL440" s="16"/>
      <c r="AM440" s="3"/>
      <c r="AN440" s="3"/>
      <c r="AO440" s="3"/>
      <c r="AP440" s="3"/>
      <c r="AQ440" s="3"/>
      <c r="AR440" s="3"/>
      <c r="AS440" s="3"/>
      <c r="AT440" s="3"/>
      <c r="AU440" s="3"/>
      <c r="AV440" s="3"/>
    </row>
    <row r="441" spans="1:48" hidden="1" x14ac:dyDescent="0.25">
      <c r="A441" s="31"/>
      <c r="B441" s="31"/>
      <c r="C441" s="3"/>
      <c r="D441" s="3"/>
      <c r="E441" s="2"/>
      <c r="F441" s="3"/>
      <c r="G441" s="3"/>
      <c r="H441" s="16"/>
      <c r="I441" s="16"/>
      <c r="J441" s="3"/>
      <c r="K441" s="17"/>
      <c r="L441" s="16"/>
      <c r="M441" s="3"/>
      <c r="N441" s="3"/>
      <c r="O441" s="2"/>
      <c r="P441" s="3" t="s">
        <v>54</v>
      </c>
      <c r="Q441" s="3"/>
      <c r="R441" s="3"/>
      <c r="S441" s="16"/>
      <c r="T441" s="3"/>
      <c r="U441" s="3"/>
      <c r="V441" s="3"/>
      <c r="W441" s="16"/>
      <c r="X441" s="16"/>
      <c r="Y441" s="3"/>
      <c r="Z441" s="18"/>
      <c r="AA441" s="3"/>
      <c r="AB441" s="16"/>
      <c r="AC441" s="16"/>
      <c r="AD441" s="16"/>
      <c r="AE441" s="9"/>
      <c r="AF441" s="16"/>
      <c r="AG441" s="16"/>
      <c r="AH441" s="16"/>
      <c r="AI441" s="16"/>
      <c r="AJ441" s="16"/>
      <c r="AK441" s="16"/>
      <c r="AL441" s="16"/>
      <c r="AM441" s="3"/>
      <c r="AN441" s="3"/>
      <c r="AO441" s="3"/>
      <c r="AP441" s="3"/>
      <c r="AQ441" s="3"/>
      <c r="AR441" s="3"/>
      <c r="AS441" s="3"/>
      <c r="AT441" s="3"/>
      <c r="AU441" s="3"/>
      <c r="AV441" s="3"/>
    </row>
    <row r="442" spans="1:48" hidden="1" x14ac:dyDescent="0.25">
      <c r="A442" s="31"/>
      <c r="B442" s="31"/>
      <c r="C442" s="3"/>
      <c r="D442" s="3"/>
      <c r="E442" s="2"/>
      <c r="F442" s="3"/>
      <c r="G442" s="3"/>
      <c r="H442" s="16"/>
      <c r="I442" s="16"/>
      <c r="J442" s="3"/>
      <c r="K442" s="17"/>
      <c r="L442" s="16"/>
      <c r="M442" s="3"/>
      <c r="N442" s="3"/>
      <c r="O442" s="2"/>
      <c r="P442" s="3" t="s">
        <v>54</v>
      </c>
      <c r="Q442" s="3"/>
      <c r="R442" s="3"/>
      <c r="S442" s="16"/>
      <c r="T442" s="3"/>
      <c r="U442" s="3"/>
      <c r="V442" s="3"/>
      <c r="W442" s="16"/>
      <c r="X442" s="16"/>
      <c r="Y442" s="3"/>
      <c r="Z442" s="18"/>
      <c r="AA442" s="3"/>
      <c r="AB442" s="16"/>
      <c r="AC442" s="16"/>
      <c r="AD442" s="16"/>
      <c r="AE442" s="9"/>
      <c r="AF442" s="16"/>
      <c r="AG442" s="16"/>
      <c r="AH442" s="16"/>
      <c r="AI442" s="16"/>
      <c r="AJ442" s="16"/>
      <c r="AK442" s="16"/>
      <c r="AL442" s="16"/>
      <c r="AM442" s="3"/>
      <c r="AN442" s="3"/>
      <c r="AO442" s="3"/>
      <c r="AP442" s="3"/>
      <c r="AQ442" s="3"/>
      <c r="AR442" s="3"/>
      <c r="AS442" s="3"/>
      <c r="AT442" s="3"/>
      <c r="AU442" s="3"/>
      <c r="AV442" s="3"/>
    </row>
    <row r="443" spans="1:48" x14ac:dyDescent="0.25">
      <c r="A443" s="15">
        <f t="shared" ref="A443" si="1512">1+A439</f>
        <v>111</v>
      </c>
      <c r="B443" s="15"/>
      <c r="C443" s="2"/>
      <c r="D443" s="2"/>
      <c r="E443" s="24" t="str">
        <f t="shared" ref="E443" si="1513">+AQ443</f>
        <v/>
      </c>
      <c r="F443" s="30"/>
      <c r="G443" s="24" t="str">
        <f t="shared" ref="G443" si="1514">+AV443</f>
        <v>300100</v>
      </c>
      <c r="H443" s="16">
        <f t="shared" ref="H443" si="1515">+AK443</f>
        <v>0</v>
      </c>
      <c r="I443" s="16">
        <f t="shared" ref="I443" si="1516">+ROUND(AD443,2)</f>
        <v>0</v>
      </c>
      <c r="J443" s="2"/>
      <c r="K443" s="17">
        <f t="shared" ref="K443" si="1517">+AE443</f>
        <v>0</v>
      </c>
      <c r="L443" s="16">
        <f t="shared" ref="L443" si="1518">+AJ443</f>
        <v>0</v>
      </c>
      <c r="M443" s="32" t="s">
        <v>5</v>
      </c>
      <c r="N443" s="30"/>
      <c r="O443" s="2"/>
      <c r="P443" s="30"/>
      <c r="Q443" s="32" t="s">
        <v>0</v>
      </c>
      <c r="R443" s="24"/>
      <c r="S443" s="24" t="str">
        <f t="shared" ref="S443" si="1519">+RIGHT(O443,7)</f>
        <v/>
      </c>
      <c r="T443" s="2"/>
      <c r="U443" s="3" t="s">
        <v>1</v>
      </c>
      <c r="V443" s="3" t="s">
        <v>3</v>
      </c>
      <c r="W443" s="16">
        <f t="shared" ref="W443" si="1520">+AI443</f>
        <v>0</v>
      </c>
      <c r="X443" s="16">
        <f t="shared" ref="X443" si="1521">+AJ443</f>
        <v>0</v>
      </c>
      <c r="Y443" s="3" t="s">
        <v>4</v>
      </c>
      <c r="Z443" s="18">
        <f t="shared" ref="Z443" si="1522">+F443</f>
        <v>0</v>
      </c>
      <c r="AA443" s="61"/>
      <c r="AB443" s="65"/>
      <c r="AC443" s="16">
        <f>+AB443*0.18</f>
        <v>0</v>
      </c>
      <c r="AD443" s="16">
        <f>+AB443+AC443</f>
        <v>0</v>
      </c>
      <c r="AE443" s="68"/>
      <c r="AF443" s="16">
        <f t="shared" ref="AF443" si="1523">+AB443*AE443</f>
        <v>0</v>
      </c>
      <c r="AG443" s="16">
        <f t="shared" ref="AG443" si="1524">+AC443*AE443</f>
        <v>0</v>
      </c>
      <c r="AH443" s="16">
        <f t="shared" ref="AH443" si="1525">+AD443*AE443</f>
        <v>0</v>
      </c>
      <c r="AI443" s="16">
        <f t="shared" ref="AI443" si="1526">+ROUND(AF443,2)</f>
        <v>0</v>
      </c>
      <c r="AJ443" s="16">
        <f t="shared" ref="AJ443" si="1527">+ROUND(AG443,2)</f>
        <v>0</v>
      </c>
      <c r="AK443" s="16">
        <f t="shared" ref="AK443" si="1528">+AI443+AJ443</f>
        <v>0</v>
      </c>
      <c r="AL443" s="16">
        <f t="shared" ref="AL443" si="1529">+AI443+AJ443-AK443</f>
        <v>0</v>
      </c>
      <c r="AM443" s="44"/>
      <c r="AN443" s="41" t="str">
        <f t="shared" ref="AN443" si="1530">+LEFT(AM443,2)</f>
        <v/>
      </c>
      <c r="AO443" s="41" t="str">
        <f t="shared" ref="AO443" si="1531">+MID(AM443,4,2)</f>
        <v/>
      </c>
      <c r="AP443" s="41" t="str">
        <f t="shared" ref="AP443" si="1532">+RIGHT(AM443,2)</f>
        <v/>
      </c>
      <c r="AQ443" s="41" t="str">
        <f t="shared" ref="AQ443" si="1533">+CONCATENATE(AN443,AO443,AP443)</f>
        <v/>
      </c>
      <c r="AR443" s="45">
        <f t="shared" ref="AR443" si="1534">+AM443+30</f>
        <v>30</v>
      </c>
      <c r="AS443" s="46">
        <f t="shared" ref="AS443" si="1535">+DAY(AR443)</f>
        <v>30</v>
      </c>
      <c r="AT443" s="41">
        <f t="shared" ref="AT443" si="1536">+MONTH(AR443)</f>
        <v>1</v>
      </c>
      <c r="AU443" s="41">
        <f t="shared" ref="AU443" si="1537">+YEAR(AR443)</f>
        <v>1900</v>
      </c>
      <c r="AV443" s="41" t="str">
        <f t="shared" ref="AV443" si="1538">+CONCATENATE(TEXT(AS443,"00"),TEXT(AT443,"00"),RIGHT(AU443,2))</f>
        <v>300100</v>
      </c>
    </row>
    <row r="444" spans="1:48" hidden="1" x14ac:dyDescent="0.25">
      <c r="A444" s="31"/>
      <c r="B444" s="31"/>
      <c r="C444" s="3"/>
      <c r="D444" s="3"/>
      <c r="E444" s="2"/>
      <c r="F444" s="3"/>
      <c r="G444" s="3"/>
      <c r="H444" s="16"/>
      <c r="I444" s="16"/>
      <c r="J444" s="3"/>
      <c r="K444" s="17"/>
      <c r="L444" s="16"/>
      <c r="M444" s="3"/>
      <c r="N444" s="3"/>
      <c r="O444" s="2"/>
      <c r="P444" s="3" t="s">
        <v>54</v>
      </c>
      <c r="Q444" s="3"/>
      <c r="R444" s="3"/>
      <c r="S444" s="16"/>
      <c r="T444" s="3"/>
      <c r="U444" s="3"/>
      <c r="V444" s="3"/>
      <c r="W444" s="16"/>
      <c r="X444" s="16"/>
      <c r="Y444" s="3"/>
      <c r="Z444" s="18"/>
      <c r="AA444" s="3"/>
      <c r="AB444" s="16"/>
      <c r="AC444" s="16"/>
      <c r="AD444" s="16"/>
      <c r="AE444" s="9"/>
      <c r="AF444" s="16"/>
      <c r="AG444" s="16"/>
      <c r="AH444" s="16"/>
      <c r="AI444" s="16"/>
      <c r="AJ444" s="16"/>
      <c r="AK444" s="16"/>
      <c r="AL444" s="16"/>
      <c r="AM444" s="3"/>
      <c r="AN444" s="3"/>
      <c r="AO444" s="3"/>
      <c r="AP444" s="3"/>
      <c r="AQ444" s="3"/>
      <c r="AR444" s="3"/>
      <c r="AS444" s="3"/>
      <c r="AT444" s="3"/>
      <c r="AU444" s="3"/>
      <c r="AV444" s="3"/>
    </row>
    <row r="445" spans="1:48" hidden="1" x14ac:dyDescent="0.25">
      <c r="A445" s="31"/>
      <c r="B445" s="31"/>
      <c r="C445" s="3"/>
      <c r="D445" s="3"/>
      <c r="E445" s="2"/>
      <c r="F445" s="3"/>
      <c r="G445" s="3"/>
      <c r="H445" s="16"/>
      <c r="I445" s="16"/>
      <c r="J445" s="3"/>
      <c r="K445" s="17"/>
      <c r="L445" s="16"/>
      <c r="M445" s="3"/>
      <c r="N445" s="3"/>
      <c r="O445" s="2"/>
      <c r="P445" s="3" t="s">
        <v>54</v>
      </c>
      <c r="Q445" s="3"/>
      <c r="R445" s="3"/>
      <c r="S445" s="16"/>
      <c r="T445" s="3"/>
      <c r="U445" s="3"/>
      <c r="V445" s="3"/>
      <c r="W445" s="16"/>
      <c r="X445" s="16"/>
      <c r="Y445" s="3"/>
      <c r="Z445" s="18"/>
      <c r="AA445" s="3"/>
      <c r="AB445" s="16"/>
      <c r="AC445" s="16"/>
      <c r="AD445" s="16"/>
      <c r="AE445" s="9"/>
      <c r="AF445" s="16"/>
      <c r="AG445" s="16"/>
      <c r="AH445" s="16"/>
      <c r="AI445" s="16"/>
      <c r="AJ445" s="16"/>
      <c r="AK445" s="16"/>
      <c r="AL445" s="16"/>
      <c r="AM445" s="3"/>
      <c r="AN445" s="3"/>
      <c r="AO445" s="3"/>
      <c r="AP445" s="3"/>
      <c r="AQ445" s="3"/>
      <c r="AR445" s="3"/>
      <c r="AS445" s="3"/>
      <c r="AT445" s="3"/>
      <c r="AU445" s="3"/>
      <c r="AV445" s="3"/>
    </row>
    <row r="446" spans="1:48" hidden="1" x14ac:dyDescent="0.25">
      <c r="A446" s="31"/>
      <c r="B446" s="31"/>
      <c r="C446" s="3"/>
      <c r="D446" s="3"/>
      <c r="E446" s="2"/>
      <c r="F446" s="3"/>
      <c r="G446" s="3"/>
      <c r="H446" s="16"/>
      <c r="I446" s="16"/>
      <c r="J446" s="3"/>
      <c r="K446" s="17"/>
      <c r="L446" s="16"/>
      <c r="M446" s="3"/>
      <c r="N446" s="3"/>
      <c r="O446" s="2"/>
      <c r="P446" s="3" t="s">
        <v>54</v>
      </c>
      <c r="Q446" s="3"/>
      <c r="R446" s="3"/>
      <c r="S446" s="16"/>
      <c r="T446" s="3"/>
      <c r="U446" s="3"/>
      <c r="V446" s="3"/>
      <c r="W446" s="16"/>
      <c r="X446" s="16"/>
      <c r="Y446" s="3"/>
      <c r="Z446" s="18"/>
      <c r="AA446" s="3"/>
      <c r="AB446" s="16"/>
      <c r="AC446" s="16"/>
      <c r="AD446" s="16"/>
      <c r="AE446" s="9"/>
      <c r="AF446" s="16"/>
      <c r="AG446" s="16"/>
      <c r="AH446" s="16"/>
      <c r="AI446" s="16"/>
      <c r="AJ446" s="16"/>
      <c r="AK446" s="16"/>
      <c r="AL446" s="16"/>
      <c r="AM446" s="3"/>
      <c r="AN446" s="3"/>
      <c r="AO446" s="3"/>
      <c r="AP446" s="3"/>
      <c r="AQ446" s="3"/>
      <c r="AR446" s="3"/>
      <c r="AS446" s="3"/>
      <c r="AT446" s="3"/>
      <c r="AU446" s="3"/>
      <c r="AV446" s="3"/>
    </row>
    <row r="447" spans="1:48" x14ac:dyDescent="0.25">
      <c r="A447" s="15">
        <f t="shared" ref="A447" si="1539">1+A443</f>
        <v>112</v>
      </c>
      <c r="B447" s="15"/>
      <c r="C447" s="2"/>
      <c r="D447" s="2"/>
      <c r="E447" s="24" t="str">
        <f t="shared" ref="E447" si="1540">+AQ447</f>
        <v/>
      </c>
      <c r="F447" s="30"/>
      <c r="G447" s="24" t="str">
        <f t="shared" ref="G447" si="1541">+AV447</f>
        <v>300100</v>
      </c>
      <c r="H447" s="16">
        <f t="shared" ref="H447" si="1542">+AK447</f>
        <v>0</v>
      </c>
      <c r="I447" s="16">
        <f t="shared" ref="I447" si="1543">+ROUND(AD447,2)</f>
        <v>0</v>
      </c>
      <c r="J447" s="2"/>
      <c r="K447" s="17">
        <f t="shared" ref="K447" si="1544">+AE447</f>
        <v>0</v>
      </c>
      <c r="L447" s="16">
        <f t="shared" ref="L447" si="1545">+AJ447</f>
        <v>0</v>
      </c>
      <c r="M447" s="32" t="s">
        <v>5</v>
      </c>
      <c r="N447" s="30"/>
      <c r="O447" s="2"/>
      <c r="P447" s="30"/>
      <c r="Q447" s="32" t="s">
        <v>0</v>
      </c>
      <c r="R447" s="24"/>
      <c r="S447" s="24" t="str">
        <f t="shared" ref="S447" si="1546">+RIGHT(O447,7)</f>
        <v/>
      </c>
      <c r="T447" s="2"/>
      <c r="U447" s="3" t="s">
        <v>1</v>
      </c>
      <c r="V447" s="3" t="s">
        <v>3</v>
      </c>
      <c r="W447" s="16">
        <f t="shared" ref="W447" si="1547">+AI447</f>
        <v>0</v>
      </c>
      <c r="X447" s="16">
        <f t="shared" ref="X447" si="1548">+AJ447</f>
        <v>0</v>
      </c>
      <c r="Y447" s="3" t="s">
        <v>4</v>
      </c>
      <c r="Z447" s="18">
        <f t="shared" ref="Z447" si="1549">+F447</f>
        <v>0</v>
      </c>
      <c r="AA447" s="61"/>
      <c r="AB447" s="65"/>
      <c r="AC447" s="16">
        <f>+AB447*0.18</f>
        <v>0</v>
      </c>
      <c r="AD447" s="16">
        <f>+AB447+AC447</f>
        <v>0</v>
      </c>
      <c r="AE447" s="68"/>
      <c r="AF447" s="16">
        <f t="shared" ref="AF447" si="1550">+AB447*AE447</f>
        <v>0</v>
      </c>
      <c r="AG447" s="16">
        <f t="shared" ref="AG447" si="1551">+AC447*AE447</f>
        <v>0</v>
      </c>
      <c r="AH447" s="16">
        <f t="shared" ref="AH447" si="1552">+AD447*AE447</f>
        <v>0</v>
      </c>
      <c r="AI447" s="16">
        <f t="shared" ref="AI447" si="1553">+ROUND(AF447,2)</f>
        <v>0</v>
      </c>
      <c r="AJ447" s="16">
        <f t="shared" ref="AJ447" si="1554">+ROUND(AG447,2)</f>
        <v>0</v>
      </c>
      <c r="AK447" s="16">
        <f t="shared" ref="AK447" si="1555">+AI447+AJ447</f>
        <v>0</v>
      </c>
      <c r="AL447" s="16">
        <f t="shared" ref="AL447" si="1556">+AI447+AJ447-AK447</f>
        <v>0</v>
      </c>
      <c r="AM447" s="44"/>
      <c r="AN447" s="41" t="str">
        <f t="shared" ref="AN447" si="1557">+LEFT(AM447,2)</f>
        <v/>
      </c>
      <c r="AO447" s="41" t="str">
        <f t="shared" ref="AO447" si="1558">+MID(AM447,4,2)</f>
        <v/>
      </c>
      <c r="AP447" s="41" t="str">
        <f t="shared" ref="AP447" si="1559">+RIGHT(AM447,2)</f>
        <v/>
      </c>
      <c r="AQ447" s="41" t="str">
        <f t="shared" ref="AQ447" si="1560">+CONCATENATE(AN447,AO447,AP447)</f>
        <v/>
      </c>
      <c r="AR447" s="45">
        <f t="shared" ref="AR447" si="1561">+AM447+30</f>
        <v>30</v>
      </c>
      <c r="AS447" s="46">
        <f t="shared" ref="AS447" si="1562">+DAY(AR447)</f>
        <v>30</v>
      </c>
      <c r="AT447" s="41">
        <f t="shared" ref="AT447" si="1563">+MONTH(AR447)</f>
        <v>1</v>
      </c>
      <c r="AU447" s="41">
        <f t="shared" ref="AU447" si="1564">+YEAR(AR447)</f>
        <v>1900</v>
      </c>
      <c r="AV447" s="41" t="str">
        <f t="shared" ref="AV447" si="1565">+CONCATENATE(TEXT(AS447,"00"),TEXT(AT447,"00"),RIGHT(AU447,2))</f>
        <v>300100</v>
      </c>
    </row>
    <row r="448" spans="1:48" hidden="1" x14ac:dyDescent="0.25">
      <c r="A448" s="31"/>
      <c r="B448" s="31"/>
      <c r="C448" s="3"/>
      <c r="D448" s="3"/>
      <c r="E448" s="2"/>
      <c r="F448" s="3"/>
      <c r="G448" s="3"/>
      <c r="H448" s="16"/>
      <c r="I448" s="16"/>
      <c r="J448" s="3"/>
      <c r="K448" s="17"/>
      <c r="L448" s="16"/>
      <c r="M448" s="3"/>
      <c r="N448" s="3"/>
      <c r="O448" s="2"/>
      <c r="P448" s="3" t="s">
        <v>54</v>
      </c>
      <c r="Q448" s="3"/>
      <c r="R448" s="3"/>
      <c r="S448" s="16"/>
      <c r="T448" s="3"/>
      <c r="U448" s="3"/>
      <c r="V448" s="3"/>
      <c r="W448" s="16"/>
      <c r="X448" s="16"/>
      <c r="Y448" s="3"/>
      <c r="Z448" s="18"/>
      <c r="AA448" s="3"/>
      <c r="AB448" s="16"/>
      <c r="AC448" s="16"/>
      <c r="AD448" s="16"/>
      <c r="AE448" s="9"/>
      <c r="AF448" s="16"/>
      <c r="AG448" s="16"/>
      <c r="AH448" s="16"/>
      <c r="AI448" s="16"/>
      <c r="AJ448" s="16"/>
      <c r="AK448" s="16"/>
      <c r="AL448" s="16"/>
      <c r="AM448" s="3"/>
      <c r="AN448" s="3"/>
      <c r="AO448" s="3"/>
      <c r="AP448" s="3"/>
      <c r="AQ448" s="3"/>
      <c r="AR448" s="3"/>
      <c r="AS448" s="3"/>
      <c r="AT448" s="3"/>
      <c r="AU448" s="3"/>
      <c r="AV448" s="3"/>
    </row>
    <row r="449" spans="1:48" hidden="1" x14ac:dyDescent="0.25">
      <c r="A449" s="31"/>
      <c r="B449" s="31"/>
      <c r="C449" s="3"/>
      <c r="D449" s="3"/>
      <c r="E449" s="2"/>
      <c r="F449" s="3"/>
      <c r="G449" s="3"/>
      <c r="H449" s="16"/>
      <c r="I449" s="16"/>
      <c r="J449" s="3"/>
      <c r="K449" s="17"/>
      <c r="L449" s="16"/>
      <c r="M449" s="3"/>
      <c r="N449" s="3"/>
      <c r="O449" s="2"/>
      <c r="P449" s="3" t="s">
        <v>54</v>
      </c>
      <c r="Q449" s="3"/>
      <c r="R449" s="3"/>
      <c r="S449" s="16"/>
      <c r="T449" s="3"/>
      <c r="U449" s="3"/>
      <c r="V449" s="3"/>
      <c r="W449" s="16"/>
      <c r="X449" s="16"/>
      <c r="Y449" s="3"/>
      <c r="Z449" s="18"/>
      <c r="AA449" s="3"/>
      <c r="AB449" s="16"/>
      <c r="AC449" s="16"/>
      <c r="AD449" s="16"/>
      <c r="AE449" s="9"/>
      <c r="AF449" s="16"/>
      <c r="AG449" s="16"/>
      <c r="AH449" s="16"/>
      <c r="AI449" s="16"/>
      <c r="AJ449" s="16"/>
      <c r="AK449" s="16"/>
      <c r="AL449" s="16"/>
      <c r="AM449" s="3"/>
      <c r="AN449" s="3"/>
      <c r="AO449" s="3"/>
      <c r="AP449" s="3"/>
      <c r="AQ449" s="3"/>
      <c r="AR449" s="3"/>
      <c r="AS449" s="3"/>
      <c r="AT449" s="3"/>
      <c r="AU449" s="3"/>
      <c r="AV449" s="3"/>
    </row>
    <row r="450" spans="1:48" hidden="1" x14ac:dyDescent="0.25">
      <c r="A450" s="31"/>
      <c r="B450" s="31"/>
      <c r="C450" s="3"/>
      <c r="D450" s="3"/>
      <c r="E450" s="2"/>
      <c r="F450" s="3"/>
      <c r="G450" s="3"/>
      <c r="H450" s="16"/>
      <c r="I450" s="16"/>
      <c r="J450" s="3"/>
      <c r="K450" s="17"/>
      <c r="L450" s="16"/>
      <c r="M450" s="3"/>
      <c r="N450" s="3"/>
      <c r="O450" s="2"/>
      <c r="P450" s="3" t="s">
        <v>54</v>
      </c>
      <c r="Q450" s="3"/>
      <c r="R450" s="3"/>
      <c r="S450" s="16"/>
      <c r="T450" s="3"/>
      <c r="U450" s="3"/>
      <c r="V450" s="3"/>
      <c r="W450" s="16"/>
      <c r="X450" s="16"/>
      <c r="Y450" s="3"/>
      <c r="Z450" s="18"/>
      <c r="AA450" s="3"/>
      <c r="AB450" s="16"/>
      <c r="AC450" s="16"/>
      <c r="AD450" s="16"/>
      <c r="AE450" s="9"/>
      <c r="AF450" s="16"/>
      <c r="AG450" s="16"/>
      <c r="AH450" s="16"/>
      <c r="AI450" s="16"/>
      <c r="AJ450" s="16"/>
      <c r="AK450" s="16"/>
      <c r="AL450" s="16"/>
      <c r="AM450" s="3"/>
      <c r="AN450" s="3"/>
      <c r="AO450" s="3"/>
      <c r="AP450" s="3"/>
      <c r="AQ450" s="3"/>
      <c r="AR450" s="3"/>
      <c r="AS450" s="3"/>
      <c r="AT450" s="3"/>
      <c r="AU450" s="3"/>
      <c r="AV450" s="3"/>
    </row>
    <row r="451" spans="1:48" x14ac:dyDescent="0.25">
      <c r="A451" s="15">
        <f t="shared" ref="A451" si="1566">1+A447</f>
        <v>113</v>
      </c>
      <c r="B451" s="15"/>
      <c r="C451" s="2"/>
      <c r="D451" s="2"/>
      <c r="E451" s="24" t="str">
        <f t="shared" ref="E451" si="1567">+AQ451</f>
        <v/>
      </c>
      <c r="F451" s="30"/>
      <c r="G451" s="24" t="str">
        <f t="shared" ref="G451" si="1568">+AV451</f>
        <v>300100</v>
      </c>
      <c r="H451" s="16">
        <f t="shared" ref="H451" si="1569">+AK451</f>
        <v>0</v>
      </c>
      <c r="I451" s="16">
        <f t="shared" ref="I451" si="1570">+ROUND(AD451,2)</f>
        <v>0</v>
      </c>
      <c r="J451" s="2"/>
      <c r="K451" s="17">
        <f t="shared" ref="K451" si="1571">+AE451</f>
        <v>0</v>
      </c>
      <c r="L451" s="16">
        <f t="shared" ref="L451" si="1572">+AJ451</f>
        <v>0</v>
      </c>
      <c r="M451" s="32" t="s">
        <v>5</v>
      </c>
      <c r="N451" s="30"/>
      <c r="O451" s="2"/>
      <c r="P451" s="30"/>
      <c r="Q451" s="32" t="s">
        <v>0</v>
      </c>
      <c r="R451" s="24"/>
      <c r="S451" s="24" t="str">
        <f t="shared" ref="S451" si="1573">+RIGHT(O451,7)</f>
        <v/>
      </c>
      <c r="T451" s="2"/>
      <c r="U451" s="3" t="s">
        <v>1</v>
      </c>
      <c r="V451" s="3" t="s">
        <v>3</v>
      </c>
      <c r="W451" s="16">
        <f t="shared" ref="W451" si="1574">+AI451</f>
        <v>0</v>
      </c>
      <c r="X451" s="16">
        <f t="shared" ref="X451" si="1575">+AJ451</f>
        <v>0</v>
      </c>
      <c r="Y451" s="3" t="s">
        <v>4</v>
      </c>
      <c r="Z451" s="18">
        <f t="shared" ref="Z451" si="1576">+F451</f>
        <v>0</v>
      </c>
      <c r="AA451" s="61"/>
      <c r="AB451" s="65"/>
      <c r="AC451" s="16">
        <f>+AB451*0.18</f>
        <v>0</v>
      </c>
      <c r="AD451" s="16">
        <f>+AB451+AC451</f>
        <v>0</v>
      </c>
      <c r="AE451" s="68"/>
      <c r="AF451" s="16">
        <f t="shared" ref="AF451" si="1577">+AB451*AE451</f>
        <v>0</v>
      </c>
      <c r="AG451" s="16">
        <f t="shared" ref="AG451" si="1578">+AC451*AE451</f>
        <v>0</v>
      </c>
      <c r="AH451" s="16">
        <f t="shared" ref="AH451" si="1579">+AD451*AE451</f>
        <v>0</v>
      </c>
      <c r="AI451" s="16">
        <f t="shared" ref="AI451" si="1580">+ROUND(AF451,2)</f>
        <v>0</v>
      </c>
      <c r="AJ451" s="16">
        <f t="shared" ref="AJ451" si="1581">+ROUND(AG451,2)</f>
        <v>0</v>
      </c>
      <c r="AK451" s="16">
        <f t="shared" ref="AK451" si="1582">+AI451+AJ451</f>
        <v>0</v>
      </c>
      <c r="AL451" s="16">
        <f t="shared" ref="AL451" si="1583">+AI451+AJ451-AK451</f>
        <v>0</v>
      </c>
      <c r="AM451" s="44"/>
      <c r="AN451" s="41" t="str">
        <f t="shared" ref="AN451" si="1584">+LEFT(AM451,2)</f>
        <v/>
      </c>
      <c r="AO451" s="41" t="str">
        <f t="shared" ref="AO451" si="1585">+MID(AM451,4,2)</f>
        <v/>
      </c>
      <c r="AP451" s="41" t="str">
        <f t="shared" ref="AP451" si="1586">+RIGHT(AM451,2)</f>
        <v/>
      </c>
      <c r="AQ451" s="41" t="str">
        <f t="shared" ref="AQ451" si="1587">+CONCATENATE(AN451,AO451,AP451)</f>
        <v/>
      </c>
      <c r="AR451" s="45">
        <f t="shared" ref="AR451" si="1588">+AM451+30</f>
        <v>30</v>
      </c>
      <c r="AS451" s="46">
        <f t="shared" ref="AS451" si="1589">+DAY(AR451)</f>
        <v>30</v>
      </c>
      <c r="AT451" s="41">
        <f t="shared" ref="AT451" si="1590">+MONTH(AR451)</f>
        <v>1</v>
      </c>
      <c r="AU451" s="41">
        <f t="shared" ref="AU451" si="1591">+YEAR(AR451)</f>
        <v>1900</v>
      </c>
      <c r="AV451" s="41" t="str">
        <f t="shared" ref="AV451" si="1592">+CONCATENATE(TEXT(AS451,"00"),TEXT(AT451,"00"),RIGHT(AU451,2))</f>
        <v>300100</v>
      </c>
    </row>
    <row r="452" spans="1:48" hidden="1" x14ac:dyDescent="0.25">
      <c r="A452" s="31"/>
      <c r="B452" s="31"/>
      <c r="C452" s="3"/>
      <c r="D452" s="3"/>
      <c r="E452" s="2"/>
      <c r="F452" s="3"/>
      <c r="G452" s="3"/>
      <c r="H452" s="16"/>
      <c r="I452" s="16"/>
      <c r="J452" s="3"/>
      <c r="K452" s="17"/>
      <c r="L452" s="16"/>
      <c r="M452" s="3"/>
      <c r="N452" s="3"/>
      <c r="O452" s="2"/>
      <c r="P452" s="3" t="s">
        <v>54</v>
      </c>
      <c r="Q452" s="3"/>
      <c r="R452" s="3"/>
      <c r="S452" s="16"/>
      <c r="T452" s="3"/>
      <c r="U452" s="3"/>
      <c r="V452" s="3"/>
      <c r="W452" s="16"/>
      <c r="X452" s="16"/>
      <c r="Y452" s="3"/>
      <c r="Z452" s="18"/>
      <c r="AA452" s="3"/>
      <c r="AB452" s="16"/>
      <c r="AC452" s="16"/>
      <c r="AD452" s="16"/>
      <c r="AE452" s="9"/>
      <c r="AF452" s="16"/>
      <c r="AG452" s="16"/>
      <c r="AH452" s="16"/>
      <c r="AI452" s="16"/>
      <c r="AJ452" s="16"/>
      <c r="AK452" s="16"/>
      <c r="AL452" s="16"/>
      <c r="AM452" s="3"/>
      <c r="AN452" s="3"/>
      <c r="AO452" s="3"/>
      <c r="AP452" s="3"/>
      <c r="AQ452" s="3"/>
      <c r="AR452" s="3"/>
      <c r="AS452" s="3"/>
      <c r="AT452" s="3"/>
      <c r="AU452" s="3"/>
      <c r="AV452" s="3"/>
    </row>
    <row r="453" spans="1:48" hidden="1" x14ac:dyDescent="0.25">
      <c r="A453" s="31"/>
      <c r="B453" s="31"/>
      <c r="C453" s="3"/>
      <c r="D453" s="3"/>
      <c r="E453" s="2"/>
      <c r="F453" s="3"/>
      <c r="G453" s="3"/>
      <c r="H453" s="16"/>
      <c r="I453" s="16"/>
      <c r="J453" s="3"/>
      <c r="K453" s="17"/>
      <c r="L453" s="16"/>
      <c r="M453" s="3"/>
      <c r="N453" s="3"/>
      <c r="O453" s="2"/>
      <c r="P453" s="3" t="s">
        <v>54</v>
      </c>
      <c r="Q453" s="3"/>
      <c r="R453" s="3"/>
      <c r="S453" s="16"/>
      <c r="T453" s="3"/>
      <c r="U453" s="3"/>
      <c r="V453" s="3"/>
      <c r="W453" s="16"/>
      <c r="X453" s="16"/>
      <c r="Y453" s="3"/>
      <c r="Z453" s="18"/>
      <c r="AA453" s="3"/>
      <c r="AB453" s="16"/>
      <c r="AC453" s="16"/>
      <c r="AD453" s="16"/>
      <c r="AE453" s="9"/>
      <c r="AF453" s="16"/>
      <c r="AG453" s="16"/>
      <c r="AH453" s="16"/>
      <c r="AI453" s="16"/>
      <c r="AJ453" s="16"/>
      <c r="AK453" s="16"/>
      <c r="AL453" s="16"/>
      <c r="AM453" s="3"/>
      <c r="AN453" s="3"/>
      <c r="AO453" s="3"/>
      <c r="AP453" s="3"/>
      <c r="AQ453" s="3"/>
      <c r="AR453" s="3"/>
      <c r="AS453" s="3"/>
      <c r="AT453" s="3"/>
      <c r="AU453" s="3"/>
      <c r="AV453" s="3"/>
    </row>
    <row r="454" spans="1:48" hidden="1" x14ac:dyDescent="0.25">
      <c r="A454" s="31"/>
      <c r="B454" s="31"/>
      <c r="C454" s="3"/>
      <c r="D454" s="3"/>
      <c r="E454" s="2"/>
      <c r="F454" s="3"/>
      <c r="G454" s="3"/>
      <c r="H454" s="16"/>
      <c r="I454" s="16"/>
      <c r="J454" s="3"/>
      <c r="K454" s="17"/>
      <c r="L454" s="16"/>
      <c r="M454" s="3"/>
      <c r="N454" s="3"/>
      <c r="O454" s="2"/>
      <c r="P454" s="3" t="s">
        <v>54</v>
      </c>
      <c r="Q454" s="3"/>
      <c r="R454" s="3"/>
      <c r="S454" s="16"/>
      <c r="T454" s="3"/>
      <c r="U454" s="3"/>
      <c r="V454" s="3"/>
      <c r="W454" s="16"/>
      <c r="X454" s="16"/>
      <c r="Y454" s="3"/>
      <c r="Z454" s="18"/>
      <c r="AA454" s="3"/>
      <c r="AB454" s="16"/>
      <c r="AC454" s="16"/>
      <c r="AD454" s="16"/>
      <c r="AE454" s="9"/>
      <c r="AF454" s="16"/>
      <c r="AG454" s="16"/>
      <c r="AH454" s="16"/>
      <c r="AI454" s="16"/>
      <c r="AJ454" s="16"/>
      <c r="AK454" s="16"/>
      <c r="AL454" s="16"/>
      <c r="AM454" s="3"/>
      <c r="AN454" s="3"/>
      <c r="AO454" s="3"/>
      <c r="AP454" s="3"/>
      <c r="AQ454" s="3"/>
      <c r="AR454" s="3"/>
      <c r="AS454" s="3"/>
      <c r="AT454" s="3"/>
      <c r="AU454" s="3"/>
      <c r="AV454" s="3"/>
    </row>
    <row r="455" spans="1:48" x14ac:dyDescent="0.25">
      <c r="A455" s="15">
        <f t="shared" ref="A455" si="1593">1+A451</f>
        <v>114</v>
      </c>
      <c r="B455" s="15"/>
      <c r="C455" s="2"/>
      <c r="D455" s="2"/>
      <c r="E455" s="24" t="str">
        <f t="shared" ref="E455" si="1594">+AQ455</f>
        <v/>
      </c>
      <c r="F455" s="30"/>
      <c r="G455" s="24" t="str">
        <f t="shared" ref="G455" si="1595">+AV455</f>
        <v>300100</v>
      </c>
      <c r="H455" s="16">
        <f t="shared" ref="H455" si="1596">+AK455</f>
        <v>0</v>
      </c>
      <c r="I455" s="16">
        <f t="shared" ref="I455" si="1597">+ROUND(AD455,2)</f>
        <v>0</v>
      </c>
      <c r="J455" s="2"/>
      <c r="K455" s="17">
        <f t="shared" ref="K455" si="1598">+AE455</f>
        <v>0</v>
      </c>
      <c r="L455" s="16">
        <f t="shared" ref="L455" si="1599">+AJ455</f>
        <v>0</v>
      </c>
      <c r="M455" s="32" t="s">
        <v>5</v>
      </c>
      <c r="N455" s="30"/>
      <c r="O455" s="2"/>
      <c r="P455" s="30"/>
      <c r="Q455" s="32" t="s">
        <v>0</v>
      </c>
      <c r="R455" s="24"/>
      <c r="S455" s="24" t="str">
        <f t="shared" ref="S455" si="1600">+RIGHT(O455,7)</f>
        <v/>
      </c>
      <c r="T455" s="2"/>
      <c r="U455" s="3" t="s">
        <v>1</v>
      </c>
      <c r="V455" s="3" t="s">
        <v>3</v>
      </c>
      <c r="W455" s="16">
        <f t="shared" ref="W455" si="1601">+AI455</f>
        <v>0</v>
      </c>
      <c r="X455" s="16">
        <f t="shared" ref="X455" si="1602">+AJ455</f>
        <v>0</v>
      </c>
      <c r="Y455" s="3" t="s">
        <v>4</v>
      </c>
      <c r="Z455" s="18">
        <f t="shared" ref="Z455" si="1603">+F455</f>
        <v>0</v>
      </c>
      <c r="AA455" s="61"/>
      <c r="AB455" s="65"/>
      <c r="AC455" s="16">
        <f>+AB455*0.18</f>
        <v>0</v>
      </c>
      <c r="AD455" s="16">
        <f>+AB455+AC455</f>
        <v>0</v>
      </c>
      <c r="AE455" s="68"/>
      <c r="AF455" s="16">
        <f t="shared" ref="AF455" si="1604">+AB455*AE455</f>
        <v>0</v>
      </c>
      <c r="AG455" s="16">
        <f t="shared" ref="AG455" si="1605">+AC455*AE455</f>
        <v>0</v>
      </c>
      <c r="AH455" s="16">
        <f t="shared" ref="AH455" si="1606">+AD455*AE455</f>
        <v>0</v>
      </c>
      <c r="AI455" s="16">
        <f t="shared" ref="AI455" si="1607">+ROUND(AF455,2)</f>
        <v>0</v>
      </c>
      <c r="AJ455" s="16">
        <f t="shared" ref="AJ455" si="1608">+ROUND(AG455,2)</f>
        <v>0</v>
      </c>
      <c r="AK455" s="16">
        <f t="shared" ref="AK455" si="1609">+AI455+AJ455</f>
        <v>0</v>
      </c>
      <c r="AL455" s="16">
        <f t="shared" ref="AL455" si="1610">+AI455+AJ455-AK455</f>
        <v>0</v>
      </c>
      <c r="AM455" s="44"/>
      <c r="AN455" s="41" t="str">
        <f t="shared" ref="AN455" si="1611">+LEFT(AM455,2)</f>
        <v/>
      </c>
      <c r="AO455" s="41" t="str">
        <f t="shared" ref="AO455" si="1612">+MID(AM455,4,2)</f>
        <v/>
      </c>
      <c r="AP455" s="41" t="str">
        <f t="shared" ref="AP455" si="1613">+RIGHT(AM455,2)</f>
        <v/>
      </c>
      <c r="AQ455" s="41" t="str">
        <f t="shared" ref="AQ455" si="1614">+CONCATENATE(AN455,AO455,AP455)</f>
        <v/>
      </c>
      <c r="AR455" s="45">
        <f t="shared" ref="AR455" si="1615">+AM455+30</f>
        <v>30</v>
      </c>
      <c r="AS455" s="46">
        <f t="shared" ref="AS455" si="1616">+DAY(AR455)</f>
        <v>30</v>
      </c>
      <c r="AT455" s="41">
        <f t="shared" ref="AT455" si="1617">+MONTH(AR455)</f>
        <v>1</v>
      </c>
      <c r="AU455" s="41">
        <f t="shared" ref="AU455" si="1618">+YEAR(AR455)</f>
        <v>1900</v>
      </c>
      <c r="AV455" s="41" t="str">
        <f t="shared" ref="AV455" si="1619">+CONCATENATE(TEXT(AS455,"00"),TEXT(AT455,"00"),RIGHT(AU455,2))</f>
        <v>300100</v>
      </c>
    </row>
    <row r="456" spans="1:48" hidden="1" x14ac:dyDescent="0.25">
      <c r="A456" s="31"/>
      <c r="B456" s="31"/>
      <c r="C456" s="3"/>
      <c r="D456" s="3"/>
      <c r="E456" s="2"/>
      <c r="F456" s="3"/>
      <c r="G456" s="3"/>
      <c r="H456" s="16"/>
      <c r="I456" s="16"/>
      <c r="J456" s="3"/>
      <c r="K456" s="17"/>
      <c r="L456" s="16"/>
      <c r="M456" s="3"/>
      <c r="N456" s="3"/>
      <c r="O456" s="2"/>
      <c r="P456" s="3" t="s">
        <v>54</v>
      </c>
      <c r="Q456" s="3"/>
      <c r="R456" s="3"/>
      <c r="S456" s="16"/>
      <c r="T456" s="3"/>
      <c r="U456" s="3"/>
      <c r="V456" s="3"/>
      <c r="W456" s="16"/>
      <c r="X456" s="16"/>
      <c r="Y456" s="3"/>
      <c r="Z456" s="18"/>
      <c r="AA456" s="3"/>
      <c r="AB456" s="16"/>
      <c r="AC456" s="16"/>
      <c r="AD456" s="16"/>
      <c r="AE456" s="9"/>
      <c r="AF456" s="16"/>
      <c r="AG456" s="16"/>
      <c r="AH456" s="16"/>
      <c r="AI456" s="16"/>
      <c r="AJ456" s="16"/>
      <c r="AK456" s="16"/>
      <c r="AL456" s="16"/>
      <c r="AM456" s="3"/>
      <c r="AN456" s="3"/>
      <c r="AO456" s="3"/>
      <c r="AP456" s="3"/>
      <c r="AQ456" s="3"/>
      <c r="AR456" s="3"/>
      <c r="AS456" s="3"/>
      <c r="AT456" s="3"/>
      <c r="AU456" s="3"/>
      <c r="AV456" s="3"/>
    </row>
    <row r="457" spans="1:48" hidden="1" x14ac:dyDescent="0.25">
      <c r="A457" s="31"/>
      <c r="B457" s="31"/>
      <c r="C457" s="3"/>
      <c r="D457" s="3"/>
      <c r="E457" s="2"/>
      <c r="F457" s="3"/>
      <c r="G457" s="3"/>
      <c r="H457" s="16"/>
      <c r="I457" s="16"/>
      <c r="J457" s="3"/>
      <c r="K457" s="17"/>
      <c r="L457" s="16"/>
      <c r="M457" s="3"/>
      <c r="N457" s="3"/>
      <c r="O457" s="2"/>
      <c r="P457" s="3" t="s">
        <v>54</v>
      </c>
      <c r="Q457" s="3"/>
      <c r="R457" s="3"/>
      <c r="S457" s="16"/>
      <c r="T457" s="3"/>
      <c r="U457" s="3"/>
      <c r="V457" s="3"/>
      <c r="W457" s="16"/>
      <c r="X457" s="16"/>
      <c r="Y457" s="3"/>
      <c r="Z457" s="18"/>
      <c r="AA457" s="3"/>
      <c r="AB457" s="16"/>
      <c r="AC457" s="16"/>
      <c r="AD457" s="16"/>
      <c r="AE457" s="9"/>
      <c r="AF457" s="16"/>
      <c r="AG457" s="16"/>
      <c r="AH457" s="16"/>
      <c r="AI457" s="16"/>
      <c r="AJ457" s="16"/>
      <c r="AK457" s="16"/>
      <c r="AL457" s="16"/>
      <c r="AM457" s="3"/>
      <c r="AN457" s="3"/>
      <c r="AO457" s="3"/>
      <c r="AP457" s="3"/>
      <c r="AQ457" s="3"/>
      <c r="AR457" s="3"/>
      <c r="AS457" s="3"/>
      <c r="AT457" s="3"/>
      <c r="AU457" s="3"/>
      <c r="AV457" s="3"/>
    </row>
    <row r="458" spans="1:48" hidden="1" x14ac:dyDescent="0.25">
      <c r="A458" s="31"/>
      <c r="B458" s="31"/>
      <c r="C458" s="3"/>
      <c r="D458" s="3"/>
      <c r="E458" s="2"/>
      <c r="F458" s="3"/>
      <c r="G458" s="3"/>
      <c r="H458" s="16"/>
      <c r="I458" s="16"/>
      <c r="J458" s="3"/>
      <c r="K458" s="17"/>
      <c r="L458" s="16"/>
      <c r="M458" s="3"/>
      <c r="N458" s="3"/>
      <c r="O458" s="2"/>
      <c r="P458" s="3" t="s">
        <v>54</v>
      </c>
      <c r="Q458" s="3"/>
      <c r="R458" s="3"/>
      <c r="S458" s="16"/>
      <c r="T458" s="3"/>
      <c r="U458" s="3"/>
      <c r="V458" s="3"/>
      <c r="W458" s="16"/>
      <c r="X458" s="16"/>
      <c r="Y458" s="3"/>
      <c r="Z458" s="18"/>
      <c r="AA458" s="3"/>
      <c r="AB458" s="16"/>
      <c r="AC458" s="16"/>
      <c r="AD458" s="16"/>
      <c r="AE458" s="9"/>
      <c r="AF458" s="16"/>
      <c r="AG458" s="16"/>
      <c r="AH458" s="16"/>
      <c r="AI458" s="16"/>
      <c r="AJ458" s="16"/>
      <c r="AK458" s="16"/>
      <c r="AL458" s="16"/>
      <c r="AM458" s="3"/>
      <c r="AN458" s="3"/>
      <c r="AO458" s="3"/>
      <c r="AP458" s="3"/>
      <c r="AQ458" s="3"/>
      <c r="AR458" s="3"/>
      <c r="AS458" s="3"/>
      <c r="AT458" s="3"/>
      <c r="AU458" s="3"/>
      <c r="AV458" s="3"/>
    </row>
    <row r="459" spans="1:48" x14ac:dyDescent="0.25">
      <c r="A459" s="15">
        <f t="shared" ref="A459" si="1620">1+A455</f>
        <v>115</v>
      </c>
      <c r="B459" s="15"/>
      <c r="C459" s="2"/>
      <c r="D459" s="2"/>
      <c r="E459" s="24" t="str">
        <f t="shared" ref="E459" si="1621">+AQ459</f>
        <v/>
      </c>
      <c r="F459" s="30"/>
      <c r="G459" s="24" t="str">
        <f t="shared" ref="G459" si="1622">+AV459</f>
        <v>300100</v>
      </c>
      <c r="H459" s="16">
        <f t="shared" ref="H459" si="1623">+AK459</f>
        <v>0</v>
      </c>
      <c r="I459" s="16">
        <f t="shared" ref="I459" si="1624">+ROUND(AD459,2)</f>
        <v>0</v>
      </c>
      <c r="J459" s="2"/>
      <c r="K459" s="17">
        <f t="shared" ref="K459" si="1625">+AE459</f>
        <v>0</v>
      </c>
      <c r="L459" s="16">
        <f t="shared" ref="L459" si="1626">+AJ459</f>
        <v>0</v>
      </c>
      <c r="M459" s="32" t="s">
        <v>5</v>
      </c>
      <c r="N459" s="30"/>
      <c r="O459" s="2"/>
      <c r="P459" s="30"/>
      <c r="Q459" s="32" t="s">
        <v>0</v>
      </c>
      <c r="R459" s="24"/>
      <c r="S459" s="24" t="str">
        <f t="shared" ref="S459" si="1627">+RIGHT(O459,7)</f>
        <v/>
      </c>
      <c r="T459" s="2"/>
      <c r="U459" s="3" t="s">
        <v>1</v>
      </c>
      <c r="V459" s="3" t="s">
        <v>3</v>
      </c>
      <c r="W459" s="16">
        <f t="shared" ref="W459" si="1628">+AI459</f>
        <v>0</v>
      </c>
      <c r="X459" s="16">
        <f t="shared" ref="X459" si="1629">+AJ459</f>
        <v>0</v>
      </c>
      <c r="Y459" s="3" t="s">
        <v>4</v>
      </c>
      <c r="Z459" s="18">
        <f t="shared" ref="Z459" si="1630">+F459</f>
        <v>0</v>
      </c>
      <c r="AA459" s="61"/>
      <c r="AB459" s="65"/>
      <c r="AC459" s="16">
        <f>+AB459*0.18</f>
        <v>0</v>
      </c>
      <c r="AD459" s="16">
        <f>+AB459+AC459</f>
        <v>0</v>
      </c>
      <c r="AE459" s="68"/>
      <c r="AF459" s="16">
        <f t="shared" ref="AF459" si="1631">+AB459*AE459</f>
        <v>0</v>
      </c>
      <c r="AG459" s="16">
        <f t="shared" ref="AG459" si="1632">+AC459*AE459</f>
        <v>0</v>
      </c>
      <c r="AH459" s="16">
        <f t="shared" ref="AH459" si="1633">+AD459*AE459</f>
        <v>0</v>
      </c>
      <c r="AI459" s="16">
        <f t="shared" ref="AI459" si="1634">+ROUND(AF459,2)</f>
        <v>0</v>
      </c>
      <c r="AJ459" s="16">
        <f t="shared" ref="AJ459" si="1635">+ROUND(AG459,2)</f>
        <v>0</v>
      </c>
      <c r="AK459" s="16">
        <f t="shared" ref="AK459" si="1636">+AI459+AJ459</f>
        <v>0</v>
      </c>
      <c r="AL459" s="16">
        <f t="shared" ref="AL459" si="1637">+AI459+AJ459-AK459</f>
        <v>0</v>
      </c>
      <c r="AM459" s="44"/>
      <c r="AN459" s="41" t="str">
        <f t="shared" ref="AN459" si="1638">+LEFT(AM459,2)</f>
        <v/>
      </c>
      <c r="AO459" s="41" t="str">
        <f t="shared" ref="AO459" si="1639">+MID(AM459,4,2)</f>
        <v/>
      </c>
      <c r="AP459" s="41" t="str">
        <f t="shared" ref="AP459" si="1640">+RIGHT(AM459,2)</f>
        <v/>
      </c>
      <c r="AQ459" s="41" t="str">
        <f t="shared" ref="AQ459" si="1641">+CONCATENATE(AN459,AO459,AP459)</f>
        <v/>
      </c>
      <c r="AR459" s="45">
        <f t="shared" ref="AR459" si="1642">+AM459+30</f>
        <v>30</v>
      </c>
      <c r="AS459" s="46">
        <f t="shared" ref="AS459" si="1643">+DAY(AR459)</f>
        <v>30</v>
      </c>
      <c r="AT459" s="41">
        <f t="shared" ref="AT459" si="1644">+MONTH(AR459)</f>
        <v>1</v>
      </c>
      <c r="AU459" s="41">
        <f t="shared" ref="AU459" si="1645">+YEAR(AR459)</f>
        <v>1900</v>
      </c>
      <c r="AV459" s="41" t="str">
        <f t="shared" ref="AV459" si="1646">+CONCATENATE(TEXT(AS459,"00"),TEXT(AT459,"00"),RIGHT(AU459,2))</f>
        <v>300100</v>
      </c>
    </row>
    <row r="460" spans="1:48" hidden="1" x14ac:dyDescent="0.25">
      <c r="A460" s="31"/>
      <c r="B460" s="31"/>
      <c r="C460" s="3"/>
      <c r="D460" s="3"/>
      <c r="E460" s="2"/>
      <c r="F460" s="3"/>
      <c r="G460" s="3"/>
      <c r="H460" s="16"/>
      <c r="I460" s="16"/>
      <c r="J460" s="3"/>
      <c r="K460" s="17"/>
      <c r="L460" s="16"/>
      <c r="M460" s="3"/>
      <c r="N460" s="3"/>
      <c r="O460" s="2"/>
      <c r="P460" s="3" t="s">
        <v>54</v>
      </c>
      <c r="Q460" s="3"/>
      <c r="R460" s="3"/>
      <c r="S460" s="16"/>
      <c r="T460" s="3"/>
      <c r="U460" s="3"/>
      <c r="V460" s="3"/>
      <c r="W460" s="16"/>
      <c r="X460" s="16"/>
      <c r="Y460" s="3"/>
      <c r="Z460" s="18"/>
      <c r="AA460" s="3"/>
      <c r="AB460" s="16"/>
      <c r="AC460" s="16"/>
      <c r="AD460" s="16"/>
      <c r="AE460" s="9"/>
      <c r="AF460" s="16"/>
      <c r="AG460" s="16"/>
      <c r="AH460" s="16"/>
      <c r="AI460" s="16"/>
      <c r="AJ460" s="16"/>
      <c r="AK460" s="16"/>
      <c r="AL460" s="16"/>
      <c r="AM460" s="3"/>
      <c r="AN460" s="3"/>
      <c r="AO460" s="3"/>
      <c r="AP460" s="3"/>
      <c r="AQ460" s="3"/>
      <c r="AR460" s="3"/>
      <c r="AS460" s="3"/>
      <c r="AT460" s="3"/>
      <c r="AU460" s="3"/>
      <c r="AV460" s="3"/>
    </row>
    <row r="461" spans="1:48" hidden="1" x14ac:dyDescent="0.25">
      <c r="A461" s="31"/>
      <c r="B461" s="31"/>
      <c r="C461" s="3"/>
      <c r="D461" s="3"/>
      <c r="E461" s="2"/>
      <c r="F461" s="3"/>
      <c r="G461" s="3"/>
      <c r="H461" s="16"/>
      <c r="I461" s="16"/>
      <c r="J461" s="3"/>
      <c r="K461" s="17"/>
      <c r="L461" s="16"/>
      <c r="M461" s="3"/>
      <c r="N461" s="3"/>
      <c r="O461" s="2"/>
      <c r="P461" s="3" t="s">
        <v>54</v>
      </c>
      <c r="Q461" s="3"/>
      <c r="R461" s="3"/>
      <c r="S461" s="16"/>
      <c r="T461" s="3"/>
      <c r="U461" s="3"/>
      <c r="V461" s="3"/>
      <c r="W461" s="16"/>
      <c r="X461" s="16"/>
      <c r="Y461" s="3"/>
      <c r="Z461" s="18"/>
      <c r="AA461" s="3"/>
      <c r="AB461" s="16"/>
      <c r="AC461" s="16"/>
      <c r="AD461" s="16"/>
      <c r="AE461" s="9"/>
      <c r="AF461" s="16"/>
      <c r="AG461" s="16"/>
      <c r="AH461" s="16"/>
      <c r="AI461" s="16"/>
      <c r="AJ461" s="16"/>
      <c r="AK461" s="16"/>
      <c r="AL461" s="16"/>
      <c r="AM461" s="3"/>
      <c r="AN461" s="3"/>
      <c r="AO461" s="3"/>
      <c r="AP461" s="3"/>
      <c r="AQ461" s="3"/>
      <c r="AR461" s="3"/>
      <c r="AS461" s="3"/>
      <c r="AT461" s="3"/>
      <c r="AU461" s="3"/>
      <c r="AV461" s="3"/>
    </row>
    <row r="462" spans="1:48" hidden="1" x14ac:dyDescent="0.25">
      <c r="A462" s="31"/>
      <c r="B462" s="31"/>
      <c r="C462" s="3"/>
      <c r="D462" s="3"/>
      <c r="E462" s="2"/>
      <c r="F462" s="3"/>
      <c r="G462" s="3"/>
      <c r="H462" s="16"/>
      <c r="I462" s="16"/>
      <c r="J462" s="3"/>
      <c r="K462" s="17"/>
      <c r="L462" s="16"/>
      <c r="M462" s="3"/>
      <c r="N462" s="3"/>
      <c r="O462" s="2"/>
      <c r="P462" s="3" t="s">
        <v>54</v>
      </c>
      <c r="Q462" s="3"/>
      <c r="R462" s="3"/>
      <c r="S462" s="16"/>
      <c r="T462" s="3"/>
      <c r="U462" s="3"/>
      <c r="V462" s="3"/>
      <c r="W462" s="16"/>
      <c r="X462" s="16"/>
      <c r="Y462" s="3"/>
      <c r="Z462" s="18"/>
      <c r="AA462" s="3"/>
      <c r="AB462" s="16"/>
      <c r="AC462" s="16"/>
      <c r="AD462" s="16"/>
      <c r="AE462" s="9"/>
      <c r="AF462" s="16"/>
      <c r="AG462" s="16"/>
      <c r="AH462" s="16"/>
      <c r="AI462" s="16"/>
      <c r="AJ462" s="16"/>
      <c r="AK462" s="16"/>
      <c r="AL462" s="16"/>
      <c r="AM462" s="3"/>
      <c r="AN462" s="3"/>
      <c r="AO462" s="3"/>
      <c r="AP462" s="3"/>
      <c r="AQ462" s="3"/>
      <c r="AR462" s="3"/>
      <c r="AS462" s="3"/>
      <c r="AT462" s="3"/>
      <c r="AU462" s="3"/>
      <c r="AV462" s="3"/>
    </row>
    <row r="463" spans="1:48" x14ac:dyDescent="0.25">
      <c r="A463" s="15">
        <f t="shared" ref="A463" si="1647">1+A459</f>
        <v>116</v>
      </c>
      <c r="B463" s="15"/>
      <c r="C463" s="2"/>
      <c r="D463" s="2"/>
      <c r="E463" s="24" t="str">
        <f t="shared" ref="E463" si="1648">+AQ463</f>
        <v/>
      </c>
      <c r="F463" s="30"/>
      <c r="G463" s="24" t="str">
        <f t="shared" ref="G463" si="1649">+AV463</f>
        <v>300100</v>
      </c>
      <c r="H463" s="16">
        <f t="shared" ref="H463" si="1650">+AK463</f>
        <v>0</v>
      </c>
      <c r="I463" s="16">
        <f t="shared" ref="I463" si="1651">+ROUND(AD463,2)</f>
        <v>0</v>
      </c>
      <c r="J463" s="2"/>
      <c r="K463" s="17">
        <f t="shared" ref="K463" si="1652">+AE463</f>
        <v>0</v>
      </c>
      <c r="L463" s="16">
        <f t="shared" ref="L463" si="1653">+AJ463</f>
        <v>0</v>
      </c>
      <c r="M463" s="32" t="s">
        <v>5</v>
      </c>
      <c r="N463" s="30"/>
      <c r="O463" s="2"/>
      <c r="P463" s="30"/>
      <c r="Q463" s="32" t="s">
        <v>0</v>
      </c>
      <c r="R463" s="24"/>
      <c r="S463" s="24" t="str">
        <f t="shared" ref="S463" si="1654">+RIGHT(O463,7)</f>
        <v/>
      </c>
      <c r="T463" s="2"/>
      <c r="U463" s="3" t="s">
        <v>1</v>
      </c>
      <c r="V463" s="3" t="s">
        <v>3</v>
      </c>
      <c r="W463" s="16">
        <f t="shared" ref="W463" si="1655">+AI463</f>
        <v>0</v>
      </c>
      <c r="X463" s="16">
        <f t="shared" ref="X463" si="1656">+AJ463</f>
        <v>0</v>
      </c>
      <c r="Y463" s="3" t="s">
        <v>4</v>
      </c>
      <c r="Z463" s="18">
        <f t="shared" ref="Z463" si="1657">+F463</f>
        <v>0</v>
      </c>
      <c r="AA463" s="61"/>
      <c r="AB463" s="65"/>
      <c r="AC463" s="16">
        <f>+AB463*0.18</f>
        <v>0</v>
      </c>
      <c r="AD463" s="16">
        <f>+AB463+AC463</f>
        <v>0</v>
      </c>
      <c r="AE463" s="68"/>
      <c r="AF463" s="16">
        <f t="shared" ref="AF463" si="1658">+AB463*AE463</f>
        <v>0</v>
      </c>
      <c r="AG463" s="16">
        <f t="shared" ref="AG463" si="1659">+AC463*AE463</f>
        <v>0</v>
      </c>
      <c r="AH463" s="16">
        <f t="shared" ref="AH463" si="1660">+AD463*AE463</f>
        <v>0</v>
      </c>
      <c r="AI463" s="16">
        <f t="shared" ref="AI463" si="1661">+ROUND(AF463,2)</f>
        <v>0</v>
      </c>
      <c r="AJ463" s="16">
        <f t="shared" ref="AJ463" si="1662">+ROUND(AG463,2)</f>
        <v>0</v>
      </c>
      <c r="AK463" s="16">
        <f t="shared" ref="AK463" si="1663">+AI463+AJ463</f>
        <v>0</v>
      </c>
      <c r="AL463" s="16">
        <f t="shared" ref="AL463" si="1664">+AI463+AJ463-AK463</f>
        <v>0</v>
      </c>
      <c r="AM463" s="44"/>
      <c r="AN463" s="41" t="str">
        <f t="shared" ref="AN463" si="1665">+LEFT(AM463,2)</f>
        <v/>
      </c>
      <c r="AO463" s="41" t="str">
        <f t="shared" ref="AO463" si="1666">+MID(AM463,4,2)</f>
        <v/>
      </c>
      <c r="AP463" s="41" t="str">
        <f t="shared" ref="AP463" si="1667">+RIGHT(AM463,2)</f>
        <v/>
      </c>
      <c r="AQ463" s="41" t="str">
        <f t="shared" ref="AQ463" si="1668">+CONCATENATE(AN463,AO463,AP463)</f>
        <v/>
      </c>
      <c r="AR463" s="45">
        <f t="shared" ref="AR463" si="1669">+AM463+30</f>
        <v>30</v>
      </c>
      <c r="AS463" s="46">
        <f t="shared" ref="AS463" si="1670">+DAY(AR463)</f>
        <v>30</v>
      </c>
      <c r="AT463" s="41">
        <f t="shared" ref="AT463" si="1671">+MONTH(AR463)</f>
        <v>1</v>
      </c>
      <c r="AU463" s="41">
        <f t="shared" ref="AU463" si="1672">+YEAR(AR463)</f>
        <v>1900</v>
      </c>
      <c r="AV463" s="41" t="str">
        <f t="shared" ref="AV463" si="1673">+CONCATENATE(TEXT(AS463,"00"),TEXT(AT463,"00"),RIGHT(AU463,2))</f>
        <v>300100</v>
      </c>
    </row>
    <row r="464" spans="1:48" hidden="1" x14ac:dyDescent="0.25">
      <c r="A464" s="31"/>
      <c r="B464" s="31"/>
      <c r="C464" s="3"/>
      <c r="D464" s="3"/>
      <c r="E464" s="2"/>
      <c r="F464" s="3"/>
      <c r="G464" s="3"/>
      <c r="H464" s="16"/>
      <c r="I464" s="16"/>
      <c r="J464" s="3"/>
      <c r="K464" s="17"/>
      <c r="L464" s="16"/>
      <c r="M464" s="3"/>
      <c r="N464" s="3"/>
      <c r="O464" s="2"/>
      <c r="P464" s="3" t="s">
        <v>54</v>
      </c>
      <c r="Q464" s="3"/>
      <c r="R464" s="3"/>
      <c r="S464" s="16"/>
      <c r="T464" s="3"/>
      <c r="U464" s="3"/>
      <c r="V464" s="3"/>
      <c r="W464" s="16"/>
      <c r="X464" s="16"/>
      <c r="Y464" s="3"/>
      <c r="Z464" s="18"/>
      <c r="AA464" s="3"/>
      <c r="AB464" s="16"/>
      <c r="AC464" s="16"/>
      <c r="AD464" s="16"/>
      <c r="AE464" s="9"/>
      <c r="AF464" s="16"/>
      <c r="AG464" s="16"/>
      <c r="AH464" s="16"/>
      <c r="AI464" s="16"/>
      <c r="AJ464" s="16"/>
      <c r="AK464" s="16"/>
      <c r="AL464" s="16"/>
      <c r="AM464" s="3"/>
      <c r="AN464" s="3"/>
      <c r="AO464" s="3"/>
      <c r="AP464" s="3"/>
      <c r="AQ464" s="3"/>
      <c r="AR464" s="3"/>
      <c r="AS464" s="3"/>
      <c r="AT464" s="3"/>
      <c r="AU464" s="3"/>
      <c r="AV464" s="3"/>
    </row>
    <row r="465" spans="1:48" hidden="1" x14ac:dyDescent="0.25">
      <c r="A465" s="31"/>
      <c r="B465" s="31"/>
      <c r="C465" s="3"/>
      <c r="D465" s="3"/>
      <c r="E465" s="2"/>
      <c r="F465" s="3"/>
      <c r="G465" s="3"/>
      <c r="H465" s="16"/>
      <c r="I465" s="16"/>
      <c r="J465" s="3"/>
      <c r="K465" s="17"/>
      <c r="L465" s="16"/>
      <c r="M465" s="3"/>
      <c r="N465" s="3"/>
      <c r="O465" s="2"/>
      <c r="P465" s="3" t="s">
        <v>54</v>
      </c>
      <c r="Q465" s="3"/>
      <c r="R465" s="3"/>
      <c r="S465" s="16"/>
      <c r="T465" s="3"/>
      <c r="U465" s="3"/>
      <c r="V465" s="3"/>
      <c r="W465" s="16"/>
      <c r="X465" s="16"/>
      <c r="Y465" s="3"/>
      <c r="Z465" s="18"/>
      <c r="AA465" s="3"/>
      <c r="AB465" s="16"/>
      <c r="AC465" s="16"/>
      <c r="AD465" s="16"/>
      <c r="AE465" s="9"/>
      <c r="AF465" s="16"/>
      <c r="AG465" s="16"/>
      <c r="AH465" s="16"/>
      <c r="AI465" s="16"/>
      <c r="AJ465" s="16"/>
      <c r="AK465" s="16"/>
      <c r="AL465" s="16"/>
      <c r="AM465" s="3"/>
      <c r="AN465" s="3"/>
      <c r="AO465" s="3"/>
      <c r="AP465" s="3"/>
      <c r="AQ465" s="3"/>
      <c r="AR465" s="3"/>
      <c r="AS465" s="3"/>
      <c r="AT465" s="3"/>
      <c r="AU465" s="3"/>
      <c r="AV465" s="3"/>
    </row>
    <row r="466" spans="1:48" hidden="1" x14ac:dyDescent="0.25">
      <c r="A466" s="31"/>
      <c r="B466" s="31"/>
      <c r="C466" s="3"/>
      <c r="D466" s="3"/>
      <c r="E466" s="2"/>
      <c r="F466" s="3"/>
      <c r="G466" s="3"/>
      <c r="H466" s="16"/>
      <c r="I466" s="16"/>
      <c r="J466" s="3"/>
      <c r="K466" s="17"/>
      <c r="L466" s="16"/>
      <c r="M466" s="3"/>
      <c r="N466" s="3"/>
      <c r="O466" s="2"/>
      <c r="P466" s="3" t="s">
        <v>54</v>
      </c>
      <c r="Q466" s="3"/>
      <c r="R466" s="3"/>
      <c r="S466" s="16"/>
      <c r="T466" s="3"/>
      <c r="U466" s="3"/>
      <c r="V466" s="3"/>
      <c r="W466" s="16"/>
      <c r="X466" s="16"/>
      <c r="Y466" s="3"/>
      <c r="Z466" s="18"/>
      <c r="AA466" s="3"/>
      <c r="AB466" s="16"/>
      <c r="AC466" s="16"/>
      <c r="AD466" s="16"/>
      <c r="AE466" s="9"/>
      <c r="AF466" s="16"/>
      <c r="AG466" s="16"/>
      <c r="AH466" s="16"/>
      <c r="AI466" s="16"/>
      <c r="AJ466" s="16"/>
      <c r="AK466" s="16"/>
      <c r="AL466" s="16"/>
      <c r="AM466" s="3"/>
      <c r="AN466" s="3"/>
      <c r="AO466" s="3"/>
      <c r="AP466" s="3"/>
      <c r="AQ466" s="3"/>
      <c r="AR466" s="3"/>
      <c r="AS466" s="3"/>
      <c r="AT466" s="3"/>
      <c r="AU466" s="3"/>
      <c r="AV466" s="3"/>
    </row>
    <row r="467" spans="1:48" x14ac:dyDescent="0.25">
      <c r="A467" s="15">
        <f t="shared" ref="A467" si="1674">1+A463</f>
        <v>117</v>
      </c>
      <c r="B467" s="15"/>
      <c r="C467" s="2"/>
      <c r="D467" s="2"/>
      <c r="E467" s="24" t="str">
        <f t="shared" ref="E467" si="1675">+AQ467</f>
        <v/>
      </c>
      <c r="F467" s="30"/>
      <c r="G467" s="24" t="str">
        <f t="shared" ref="G467" si="1676">+AV467</f>
        <v>300100</v>
      </c>
      <c r="H467" s="16">
        <f t="shared" ref="H467" si="1677">+AK467</f>
        <v>0</v>
      </c>
      <c r="I467" s="16">
        <f t="shared" ref="I467" si="1678">+ROUND(AD467,2)</f>
        <v>0</v>
      </c>
      <c r="J467" s="2"/>
      <c r="K467" s="17">
        <f t="shared" ref="K467" si="1679">+AE467</f>
        <v>0</v>
      </c>
      <c r="L467" s="16">
        <f t="shared" ref="L467" si="1680">+AJ467</f>
        <v>0</v>
      </c>
      <c r="M467" s="32" t="s">
        <v>5</v>
      </c>
      <c r="N467" s="30"/>
      <c r="O467" s="2"/>
      <c r="P467" s="30"/>
      <c r="Q467" s="32" t="s">
        <v>0</v>
      </c>
      <c r="R467" s="24"/>
      <c r="S467" s="24" t="str">
        <f t="shared" ref="S467" si="1681">+RIGHT(O467,7)</f>
        <v/>
      </c>
      <c r="T467" s="2"/>
      <c r="U467" s="3" t="s">
        <v>1</v>
      </c>
      <c r="V467" s="3" t="s">
        <v>3</v>
      </c>
      <c r="W467" s="16">
        <f t="shared" ref="W467" si="1682">+AI467</f>
        <v>0</v>
      </c>
      <c r="X467" s="16">
        <f t="shared" ref="X467" si="1683">+AJ467</f>
        <v>0</v>
      </c>
      <c r="Y467" s="3" t="s">
        <v>4</v>
      </c>
      <c r="Z467" s="18">
        <f t="shared" ref="Z467" si="1684">+F467</f>
        <v>0</v>
      </c>
      <c r="AA467" s="61"/>
      <c r="AB467" s="65"/>
      <c r="AC467" s="16">
        <f>+AB467*0.18</f>
        <v>0</v>
      </c>
      <c r="AD467" s="16">
        <f>+AB467+AC467</f>
        <v>0</v>
      </c>
      <c r="AE467" s="68"/>
      <c r="AF467" s="16">
        <f t="shared" ref="AF467" si="1685">+AB467*AE467</f>
        <v>0</v>
      </c>
      <c r="AG467" s="16">
        <f t="shared" ref="AG467" si="1686">+AC467*AE467</f>
        <v>0</v>
      </c>
      <c r="AH467" s="16">
        <f t="shared" ref="AH467" si="1687">+AD467*AE467</f>
        <v>0</v>
      </c>
      <c r="AI467" s="16">
        <f t="shared" ref="AI467" si="1688">+ROUND(AF467,2)</f>
        <v>0</v>
      </c>
      <c r="AJ467" s="16">
        <f t="shared" ref="AJ467" si="1689">+ROUND(AG467,2)</f>
        <v>0</v>
      </c>
      <c r="AK467" s="16">
        <f t="shared" ref="AK467" si="1690">+AI467+AJ467</f>
        <v>0</v>
      </c>
      <c r="AL467" s="16">
        <f t="shared" ref="AL467" si="1691">+AI467+AJ467-AK467</f>
        <v>0</v>
      </c>
      <c r="AM467" s="44"/>
      <c r="AN467" s="41" t="str">
        <f t="shared" ref="AN467" si="1692">+LEFT(AM467,2)</f>
        <v/>
      </c>
      <c r="AO467" s="41" t="str">
        <f t="shared" ref="AO467" si="1693">+MID(AM467,4,2)</f>
        <v/>
      </c>
      <c r="AP467" s="41" t="str">
        <f t="shared" ref="AP467" si="1694">+RIGHT(AM467,2)</f>
        <v/>
      </c>
      <c r="AQ467" s="41" t="str">
        <f t="shared" ref="AQ467" si="1695">+CONCATENATE(AN467,AO467,AP467)</f>
        <v/>
      </c>
      <c r="AR467" s="45">
        <f t="shared" ref="AR467" si="1696">+AM467+30</f>
        <v>30</v>
      </c>
      <c r="AS467" s="46">
        <f t="shared" ref="AS467" si="1697">+DAY(AR467)</f>
        <v>30</v>
      </c>
      <c r="AT467" s="41">
        <f t="shared" ref="AT467" si="1698">+MONTH(AR467)</f>
        <v>1</v>
      </c>
      <c r="AU467" s="41">
        <f t="shared" ref="AU467" si="1699">+YEAR(AR467)</f>
        <v>1900</v>
      </c>
      <c r="AV467" s="41" t="str">
        <f t="shared" ref="AV467" si="1700">+CONCATENATE(TEXT(AS467,"00"),TEXT(AT467,"00"),RIGHT(AU467,2))</f>
        <v>300100</v>
      </c>
    </row>
    <row r="468" spans="1:48" hidden="1" x14ac:dyDescent="0.25">
      <c r="A468" s="31"/>
      <c r="B468" s="31"/>
      <c r="C468" s="3"/>
      <c r="D468" s="3"/>
      <c r="E468" s="2"/>
      <c r="F468" s="3"/>
      <c r="G468" s="3"/>
      <c r="H468" s="16"/>
      <c r="I468" s="16"/>
      <c r="J468" s="3"/>
      <c r="K468" s="17"/>
      <c r="L468" s="16"/>
      <c r="M468" s="3"/>
      <c r="N468" s="3"/>
      <c r="O468" s="2"/>
      <c r="P468" s="3" t="s">
        <v>54</v>
      </c>
      <c r="Q468" s="3"/>
      <c r="R468" s="3"/>
      <c r="S468" s="16"/>
      <c r="T468" s="3"/>
      <c r="U468" s="3"/>
      <c r="V468" s="3"/>
      <c r="W468" s="16"/>
      <c r="X468" s="16"/>
      <c r="Y468" s="3"/>
      <c r="Z468" s="18"/>
      <c r="AA468" s="3"/>
      <c r="AB468" s="16"/>
      <c r="AC468" s="16"/>
      <c r="AD468" s="16"/>
      <c r="AE468" s="9"/>
      <c r="AF468" s="16"/>
      <c r="AG468" s="16"/>
      <c r="AH468" s="16"/>
      <c r="AI468" s="16"/>
      <c r="AJ468" s="16"/>
      <c r="AK468" s="16"/>
      <c r="AL468" s="16"/>
      <c r="AM468" s="3"/>
      <c r="AN468" s="3"/>
      <c r="AO468" s="3"/>
      <c r="AP468" s="3"/>
      <c r="AQ468" s="3"/>
      <c r="AR468" s="3"/>
      <c r="AS468" s="3"/>
      <c r="AT468" s="3"/>
      <c r="AU468" s="3"/>
      <c r="AV468" s="3"/>
    </row>
    <row r="469" spans="1:48" hidden="1" x14ac:dyDescent="0.25">
      <c r="A469" s="31"/>
      <c r="B469" s="31"/>
      <c r="C469" s="3"/>
      <c r="D469" s="3"/>
      <c r="E469" s="2"/>
      <c r="F469" s="3"/>
      <c r="G469" s="3"/>
      <c r="H469" s="16"/>
      <c r="I469" s="16"/>
      <c r="J469" s="3"/>
      <c r="K469" s="17"/>
      <c r="L469" s="16"/>
      <c r="M469" s="3"/>
      <c r="N469" s="3"/>
      <c r="O469" s="2"/>
      <c r="P469" s="3" t="s">
        <v>54</v>
      </c>
      <c r="Q469" s="3"/>
      <c r="R469" s="3"/>
      <c r="S469" s="16"/>
      <c r="T469" s="3"/>
      <c r="U469" s="3"/>
      <c r="V469" s="3"/>
      <c r="W469" s="16"/>
      <c r="X469" s="16"/>
      <c r="Y469" s="3"/>
      <c r="Z469" s="18"/>
      <c r="AA469" s="3"/>
      <c r="AB469" s="16"/>
      <c r="AC469" s="16"/>
      <c r="AD469" s="16"/>
      <c r="AE469" s="9"/>
      <c r="AF469" s="16"/>
      <c r="AG469" s="16"/>
      <c r="AH469" s="16"/>
      <c r="AI469" s="16"/>
      <c r="AJ469" s="16"/>
      <c r="AK469" s="16"/>
      <c r="AL469" s="16"/>
      <c r="AM469" s="3"/>
      <c r="AN469" s="3"/>
      <c r="AO469" s="3"/>
      <c r="AP469" s="3"/>
      <c r="AQ469" s="3"/>
      <c r="AR469" s="3"/>
      <c r="AS469" s="3"/>
      <c r="AT469" s="3"/>
      <c r="AU469" s="3"/>
      <c r="AV469" s="3"/>
    </row>
    <row r="470" spans="1:48" hidden="1" x14ac:dyDescent="0.25">
      <c r="A470" s="31"/>
      <c r="B470" s="31"/>
      <c r="C470" s="3"/>
      <c r="D470" s="3"/>
      <c r="E470" s="2"/>
      <c r="F470" s="3"/>
      <c r="G470" s="3"/>
      <c r="H470" s="16"/>
      <c r="I470" s="16"/>
      <c r="J470" s="3"/>
      <c r="K470" s="17"/>
      <c r="L470" s="16"/>
      <c r="M470" s="3"/>
      <c r="N470" s="3"/>
      <c r="O470" s="2"/>
      <c r="P470" s="3" t="s">
        <v>54</v>
      </c>
      <c r="Q470" s="3"/>
      <c r="R470" s="3"/>
      <c r="S470" s="16"/>
      <c r="T470" s="3"/>
      <c r="U470" s="3"/>
      <c r="V470" s="3"/>
      <c r="W470" s="16"/>
      <c r="X470" s="16"/>
      <c r="Y470" s="3"/>
      <c r="Z470" s="18"/>
      <c r="AA470" s="3"/>
      <c r="AB470" s="16"/>
      <c r="AC470" s="16"/>
      <c r="AD470" s="16"/>
      <c r="AE470" s="9"/>
      <c r="AF470" s="16"/>
      <c r="AG470" s="16"/>
      <c r="AH470" s="16"/>
      <c r="AI470" s="16"/>
      <c r="AJ470" s="16"/>
      <c r="AK470" s="16"/>
      <c r="AL470" s="16"/>
      <c r="AM470" s="3"/>
      <c r="AN470" s="3"/>
      <c r="AO470" s="3"/>
      <c r="AP470" s="3"/>
      <c r="AQ470" s="3"/>
      <c r="AR470" s="3"/>
      <c r="AS470" s="3"/>
      <c r="AT470" s="3"/>
      <c r="AU470" s="3"/>
      <c r="AV470" s="3"/>
    </row>
    <row r="471" spans="1:48" x14ac:dyDescent="0.25">
      <c r="A471" s="15">
        <f t="shared" ref="A471" si="1701">1+A467</f>
        <v>118</v>
      </c>
      <c r="B471" s="15"/>
      <c r="C471" s="2"/>
      <c r="D471" s="2"/>
      <c r="E471" s="24" t="str">
        <f t="shared" ref="E471" si="1702">+AQ471</f>
        <v/>
      </c>
      <c r="F471" s="30"/>
      <c r="G471" s="24" t="str">
        <f t="shared" ref="G471" si="1703">+AV471</f>
        <v>300100</v>
      </c>
      <c r="H471" s="16">
        <f t="shared" ref="H471" si="1704">+AK471</f>
        <v>0</v>
      </c>
      <c r="I471" s="16">
        <f t="shared" ref="I471" si="1705">+ROUND(AD471,2)</f>
        <v>0</v>
      </c>
      <c r="J471" s="2"/>
      <c r="K471" s="17">
        <f t="shared" ref="K471" si="1706">+AE471</f>
        <v>0</v>
      </c>
      <c r="L471" s="16">
        <f t="shared" ref="L471" si="1707">+AJ471</f>
        <v>0</v>
      </c>
      <c r="M471" s="32" t="s">
        <v>5</v>
      </c>
      <c r="N471" s="30"/>
      <c r="O471" s="2"/>
      <c r="P471" s="30"/>
      <c r="Q471" s="32" t="s">
        <v>0</v>
      </c>
      <c r="R471" s="24"/>
      <c r="S471" s="24" t="str">
        <f t="shared" ref="S471" si="1708">+RIGHT(O471,7)</f>
        <v/>
      </c>
      <c r="T471" s="2"/>
      <c r="U471" s="3" t="s">
        <v>1</v>
      </c>
      <c r="V471" s="3" t="s">
        <v>3</v>
      </c>
      <c r="W471" s="16">
        <f t="shared" ref="W471" si="1709">+AI471</f>
        <v>0</v>
      </c>
      <c r="X471" s="16">
        <f t="shared" ref="X471" si="1710">+AJ471</f>
        <v>0</v>
      </c>
      <c r="Y471" s="3" t="s">
        <v>4</v>
      </c>
      <c r="Z471" s="18">
        <f t="shared" ref="Z471" si="1711">+F471</f>
        <v>0</v>
      </c>
      <c r="AA471" s="61"/>
      <c r="AB471" s="65"/>
      <c r="AC471" s="16">
        <f>+AB471*0.18</f>
        <v>0</v>
      </c>
      <c r="AD471" s="16">
        <f>+AB471+AC471</f>
        <v>0</v>
      </c>
      <c r="AE471" s="68"/>
      <c r="AF471" s="16">
        <f t="shared" ref="AF471" si="1712">+AB471*AE471</f>
        <v>0</v>
      </c>
      <c r="AG471" s="16">
        <f t="shared" ref="AG471" si="1713">+AC471*AE471</f>
        <v>0</v>
      </c>
      <c r="AH471" s="16">
        <f t="shared" ref="AH471" si="1714">+AD471*AE471</f>
        <v>0</v>
      </c>
      <c r="AI471" s="16">
        <f t="shared" ref="AI471" si="1715">+ROUND(AF471,2)</f>
        <v>0</v>
      </c>
      <c r="AJ471" s="16">
        <f t="shared" ref="AJ471" si="1716">+ROUND(AG471,2)</f>
        <v>0</v>
      </c>
      <c r="AK471" s="16">
        <f t="shared" ref="AK471" si="1717">+AI471+AJ471</f>
        <v>0</v>
      </c>
      <c r="AL471" s="16">
        <f t="shared" ref="AL471" si="1718">+AI471+AJ471-AK471</f>
        <v>0</v>
      </c>
      <c r="AM471" s="44"/>
      <c r="AN471" s="41" t="str">
        <f t="shared" ref="AN471" si="1719">+LEFT(AM471,2)</f>
        <v/>
      </c>
      <c r="AO471" s="41" t="str">
        <f t="shared" ref="AO471" si="1720">+MID(AM471,4,2)</f>
        <v/>
      </c>
      <c r="AP471" s="41" t="str">
        <f t="shared" ref="AP471" si="1721">+RIGHT(AM471,2)</f>
        <v/>
      </c>
      <c r="AQ471" s="41" t="str">
        <f t="shared" ref="AQ471" si="1722">+CONCATENATE(AN471,AO471,AP471)</f>
        <v/>
      </c>
      <c r="AR471" s="45">
        <f t="shared" ref="AR471" si="1723">+AM471+30</f>
        <v>30</v>
      </c>
      <c r="AS471" s="46">
        <f t="shared" ref="AS471" si="1724">+DAY(AR471)</f>
        <v>30</v>
      </c>
      <c r="AT471" s="41">
        <f t="shared" ref="AT471" si="1725">+MONTH(AR471)</f>
        <v>1</v>
      </c>
      <c r="AU471" s="41">
        <f t="shared" ref="AU471" si="1726">+YEAR(AR471)</f>
        <v>1900</v>
      </c>
      <c r="AV471" s="41" t="str">
        <f t="shared" ref="AV471" si="1727">+CONCATENATE(TEXT(AS471,"00"),TEXT(AT471,"00"),RIGHT(AU471,2))</f>
        <v>300100</v>
      </c>
    </row>
    <row r="472" spans="1:48" hidden="1" x14ac:dyDescent="0.25">
      <c r="A472" s="31"/>
      <c r="B472" s="31"/>
      <c r="C472" s="3"/>
      <c r="D472" s="3"/>
      <c r="E472" s="2"/>
      <c r="F472" s="3"/>
      <c r="G472" s="3"/>
      <c r="H472" s="16"/>
      <c r="I472" s="16"/>
      <c r="J472" s="3"/>
      <c r="K472" s="17"/>
      <c r="L472" s="16"/>
      <c r="M472" s="3"/>
      <c r="N472" s="3"/>
      <c r="O472" s="2"/>
      <c r="P472" s="3" t="s">
        <v>54</v>
      </c>
      <c r="Q472" s="3"/>
      <c r="R472" s="3"/>
      <c r="S472" s="16"/>
      <c r="T472" s="3"/>
      <c r="U472" s="3"/>
      <c r="V472" s="3"/>
      <c r="W472" s="16"/>
      <c r="X472" s="16"/>
      <c r="Y472" s="3"/>
      <c r="Z472" s="18"/>
      <c r="AA472" s="3"/>
      <c r="AB472" s="16"/>
      <c r="AC472" s="16"/>
      <c r="AD472" s="16"/>
      <c r="AE472" s="9"/>
      <c r="AF472" s="16"/>
      <c r="AG472" s="16"/>
      <c r="AH472" s="16"/>
      <c r="AI472" s="16"/>
      <c r="AJ472" s="16"/>
      <c r="AK472" s="16"/>
      <c r="AL472" s="16"/>
      <c r="AM472" s="3"/>
      <c r="AN472" s="3"/>
      <c r="AO472" s="3"/>
      <c r="AP472" s="3"/>
      <c r="AQ472" s="3"/>
      <c r="AR472" s="3"/>
      <c r="AS472" s="3"/>
      <c r="AT472" s="3"/>
      <c r="AU472" s="3"/>
      <c r="AV472" s="3"/>
    </row>
    <row r="473" spans="1:48" hidden="1" x14ac:dyDescent="0.25">
      <c r="A473" s="31"/>
      <c r="B473" s="31"/>
      <c r="C473" s="3"/>
      <c r="D473" s="3"/>
      <c r="E473" s="2"/>
      <c r="F473" s="3"/>
      <c r="G473" s="3"/>
      <c r="H473" s="16"/>
      <c r="I473" s="16"/>
      <c r="J473" s="3"/>
      <c r="K473" s="17"/>
      <c r="L473" s="16"/>
      <c r="M473" s="3"/>
      <c r="N473" s="3"/>
      <c r="O473" s="2"/>
      <c r="P473" s="3" t="s">
        <v>54</v>
      </c>
      <c r="Q473" s="3"/>
      <c r="R473" s="3"/>
      <c r="S473" s="16"/>
      <c r="T473" s="3"/>
      <c r="U473" s="3"/>
      <c r="V473" s="3"/>
      <c r="W473" s="16"/>
      <c r="X473" s="16"/>
      <c r="Y473" s="3"/>
      <c r="Z473" s="18"/>
      <c r="AA473" s="3"/>
      <c r="AB473" s="16"/>
      <c r="AC473" s="16"/>
      <c r="AD473" s="16"/>
      <c r="AE473" s="9"/>
      <c r="AF473" s="16"/>
      <c r="AG473" s="16"/>
      <c r="AH473" s="16"/>
      <c r="AI473" s="16"/>
      <c r="AJ473" s="16"/>
      <c r="AK473" s="16"/>
      <c r="AL473" s="16"/>
      <c r="AM473" s="3"/>
      <c r="AN473" s="3"/>
      <c r="AO473" s="3"/>
      <c r="AP473" s="3"/>
      <c r="AQ473" s="3"/>
      <c r="AR473" s="3"/>
      <c r="AS473" s="3"/>
      <c r="AT473" s="3"/>
      <c r="AU473" s="3"/>
      <c r="AV473" s="3"/>
    </row>
    <row r="474" spans="1:48" hidden="1" x14ac:dyDescent="0.25">
      <c r="A474" s="31"/>
      <c r="B474" s="31"/>
      <c r="C474" s="3"/>
      <c r="D474" s="3"/>
      <c r="E474" s="2"/>
      <c r="F474" s="3"/>
      <c r="G474" s="3"/>
      <c r="H474" s="16"/>
      <c r="I474" s="16"/>
      <c r="J474" s="3"/>
      <c r="K474" s="17"/>
      <c r="L474" s="16"/>
      <c r="M474" s="3"/>
      <c r="N474" s="3"/>
      <c r="O474" s="2"/>
      <c r="P474" s="3" t="s">
        <v>54</v>
      </c>
      <c r="Q474" s="3"/>
      <c r="R474" s="3"/>
      <c r="S474" s="16"/>
      <c r="T474" s="3"/>
      <c r="U474" s="3"/>
      <c r="V474" s="3"/>
      <c r="W474" s="16"/>
      <c r="X474" s="16"/>
      <c r="Y474" s="3"/>
      <c r="Z474" s="18"/>
      <c r="AA474" s="3"/>
      <c r="AB474" s="16"/>
      <c r="AC474" s="16"/>
      <c r="AD474" s="16"/>
      <c r="AE474" s="9"/>
      <c r="AF474" s="16"/>
      <c r="AG474" s="16"/>
      <c r="AH474" s="16"/>
      <c r="AI474" s="16"/>
      <c r="AJ474" s="16"/>
      <c r="AK474" s="16"/>
      <c r="AL474" s="16"/>
      <c r="AM474" s="3"/>
      <c r="AN474" s="3"/>
      <c r="AO474" s="3"/>
      <c r="AP474" s="3"/>
      <c r="AQ474" s="3"/>
      <c r="AR474" s="3"/>
      <c r="AS474" s="3"/>
      <c r="AT474" s="3"/>
      <c r="AU474" s="3"/>
      <c r="AV474" s="3"/>
    </row>
    <row r="475" spans="1:48" x14ac:dyDescent="0.25">
      <c r="A475" s="15">
        <f t="shared" ref="A475" si="1728">1+A471</f>
        <v>119</v>
      </c>
      <c r="B475" s="15"/>
      <c r="C475" s="2"/>
      <c r="D475" s="2"/>
      <c r="E475" s="24" t="str">
        <f t="shared" ref="E475" si="1729">+AQ475</f>
        <v/>
      </c>
      <c r="F475" s="30"/>
      <c r="G475" s="24" t="str">
        <f t="shared" ref="G475" si="1730">+AV475</f>
        <v>300100</v>
      </c>
      <c r="H475" s="16">
        <f t="shared" ref="H475" si="1731">+AK475</f>
        <v>0</v>
      </c>
      <c r="I475" s="16">
        <f t="shared" ref="I475" si="1732">+ROUND(AD475,2)</f>
        <v>0</v>
      </c>
      <c r="J475" s="2"/>
      <c r="K475" s="17">
        <f t="shared" ref="K475" si="1733">+AE475</f>
        <v>0</v>
      </c>
      <c r="L475" s="16">
        <f t="shared" ref="L475" si="1734">+AJ475</f>
        <v>0</v>
      </c>
      <c r="M475" s="32" t="s">
        <v>5</v>
      </c>
      <c r="N475" s="30"/>
      <c r="O475" s="2"/>
      <c r="P475" s="30"/>
      <c r="Q475" s="32" t="s">
        <v>0</v>
      </c>
      <c r="R475" s="24"/>
      <c r="S475" s="24" t="str">
        <f t="shared" ref="S475" si="1735">+RIGHT(O475,7)</f>
        <v/>
      </c>
      <c r="T475" s="2"/>
      <c r="U475" s="3" t="s">
        <v>1</v>
      </c>
      <c r="V475" s="3" t="s">
        <v>3</v>
      </c>
      <c r="W475" s="16">
        <f t="shared" ref="W475" si="1736">+AI475</f>
        <v>0</v>
      </c>
      <c r="X475" s="16">
        <f t="shared" ref="X475" si="1737">+AJ475</f>
        <v>0</v>
      </c>
      <c r="Y475" s="3" t="s">
        <v>4</v>
      </c>
      <c r="Z475" s="18">
        <f t="shared" ref="Z475" si="1738">+F475</f>
        <v>0</v>
      </c>
      <c r="AA475" s="61"/>
      <c r="AB475" s="65"/>
      <c r="AC475" s="16">
        <f>+AB475*0.18</f>
        <v>0</v>
      </c>
      <c r="AD475" s="16">
        <f>+AB475+AC475</f>
        <v>0</v>
      </c>
      <c r="AE475" s="68"/>
      <c r="AF475" s="16">
        <f t="shared" ref="AF475" si="1739">+AB475*AE475</f>
        <v>0</v>
      </c>
      <c r="AG475" s="16">
        <f t="shared" ref="AG475" si="1740">+AC475*AE475</f>
        <v>0</v>
      </c>
      <c r="AH475" s="16">
        <f t="shared" ref="AH475" si="1741">+AD475*AE475</f>
        <v>0</v>
      </c>
      <c r="AI475" s="16">
        <f t="shared" ref="AI475" si="1742">+ROUND(AF475,2)</f>
        <v>0</v>
      </c>
      <c r="AJ475" s="16">
        <f t="shared" ref="AJ475" si="1743">+ROUND(AG475,2)</f>
        <v>0</v>
      </c>
      <c r="AK475" s="16">
        <f t="shared" ref="AK475" si="1744">+AI475+AJ475</f>
        <v>0</v>
      </c>
      <c r="AL475" s="16">
        <f t="shared" ref="AL475" si="1745">+AI475+AJ475-AK475</f>
        <v>0</v>
      </c>
      <c r="AM475" s="44"/>
      <c r="AN475" s="41" t="str">
        <f t="shared" ref="AN475" si="1746">+LEFT(AM475,2)</f>
        <v/>
      </c>
      <c r="AO475" s="41" t="str">
        <f t="shared" ref="AO475" si="1747">+MID(AM475,4,2)</f>
        <v/>
      </c>
      <c r="AP475" s="41" t="str">
        <f t="shared" ref="AP475" si="1748">+RIGHT(AM475,2)</f>
        <v/>
      </c>
      <c r="AQ475" s="41" t="str">
        <f t="shared" ref="AQ475" si="1749">+CONCATENATE(AN475,AO475,AP475)</f>
        <v/>
      </c>
      <c r="AR475" s="45">
        <f t="shared" ref="AR475" si="1750">+AM475+30</f>
        <v>30</v>
      </c>
      <c r="AS475" s="46">
        <f t="shared" ref="AS475" si="1751">+DAY(AR475)</f>
        <v>30</v>
      </c>
      <c r="AT475" s="41">
        <f t="shared" ref="AT475" si="1752">+MONTH(AR475)</f>
        <v>1</v>
      </c>
      <c r="AU475" s="41">
        <f t="shared" ref="AU475" si="1753">+YEAR(AR475)</f>
        <v>1900</v>
      </c>
      <c r="AV475" s="41" t="str">
        <f t="shared" ref="AV475" si="1754">+CONCATENATE(TEXT(AS475,"00"),TEXT(AT475,"00"),RIGHT(AU475,2))</f>
        <v>300100</v>
      </c>
    </row>
    <row r="476" spans="1:48" hidden="1" x14ac:dyDescent="0.25">
      <c r="A476" s="31"/>
      <c r="B476" s="31"/>
      <c r="C476" s="3"/>
      <c r="D476" s="3"/>
      <c r="E476" s="2"/>
      <c r="F476" s="3"/>
      <c r="G476" s="3"/>
      <c r="H476" s="16"/>
      <c r="I476" s="16"/>
      <c r="J476" s="3"/>
      <c r="K476" s="17"/>
      <c r="L476" s="16"/>
      <c r="M476" s="3"/>
      <c r="N476" s="3"/>
      <c r="O476" s="2"/>
      <c r="P476" s="3" t="s">
        <v>54</v>
      </c>
      <c r="Q476" s="3"/>
      <c r="R476" s="3"/>
      <c r="S476" s="16"/>
      <c r="T476" s="3"/>
      <c r="U476" s="3"/>
      <c r="V476" s="3"/>
      <c r="W476" s="16"/>
      <c r="X476" s="16"/>
      <c r="Y476" s="3"/>
      <c r="Z476" s="18"/>
      <c r="AA476" s="3"/>
      <c r="AB476" s="16"/>
      <c r="AC476" s="16"/>
      <c r="AD476" s="16"/>
      <c r="AE476" s="9"/>
      <c r="AF476" s="16"/>
      <c r="AG476" s="16"/>
      <c r="AH476" s="16"/>
      <c r="AI476" s="16"/>
      <c r="AJ476" s="16"/>
      <c r="AK476" s="16"/>
      <c r="AL476" s="16"/>
      <c r="AM476" s="3"/>
      <c r="AN476" s="3"/>
      <c r="AO476" s="3"/>
      <c r="AP476" s="3"/>
      <c r="AQ476" s="3"/>
      <c r="AR476" s="3"/>
      <c r="AS476" s="3"/>
      <c r="AT476" s="3"/>
      <c r="AU476" s="3"/>
      <c r="AV476" s="3"/>
    </row>
    <row r="477" spans="1:48" hidden="1" x14ac:dyDescent="0.25">
      <c r="A477" s="31"/>
      <c r="B477" s="31"/>
      <c r="C477" s="3"/>
      <c r="D477" s="3"/>
      <c r="E477" s="2"/>
      <c r="F477" s="3"/>
      <c r="G477" s="3"/>
      <c r="H477" s="16"/>
      <c r="I477" s="16"/>
      <c r="J477" s="3"/>
      <c r="K477" s="17"/>
      <c r="L477" s="16"/>
      <c r="M477" s="3"/>
      <c r="N477" s="3"/>
      <c r="O477" s="2"/>
      <c r="P477" s="3" t="s">
        <v>54</v>
      </c>
      <c r="Q477" s="3"/>
      <c r="R477" s="3"/>
      <c r="S477" s="16"/>
      <c r="T477" s="3"/>
      <c r="U477" s="3"/>
      <c r="V477" s="3"/>
      <c r="W477" s="16"/>
      <c r="X477" s="16"/>
      <c r="Y477" s="3"/>
      <c r="Z477" s="18"/>
      <c r="AA477" s="3"/>
      <c r="AB477" s="16"/>
      <c r="AC477" s="16"/>
      <c r="AD477" s="16"/>
      <c r="AE477" s="9"/>
      <c r="AF477" s="16"/>
      <c r="AG477" s="16"/>
      <c r="AH477" s="16"/>
      <c r="AI477" s="16"/>
      <c r="AJ477" s="16"/>
      <c r="AK477" s="16"/>
      <c r="AL477" s="16"/>
      <c r="AM477" s="3"/>
      <c r="AN477" s="3"/>
      <c r="AO477" s="3"/>
      <c r="AP477" s="3"/>
      <c r="AQ477" s="3"/>
      <c r="AR477" s="3"/>
      <c r="AS477" s="3"/>
      <c r="AT477" s="3"/>
      <c r="AU477" s="3"/>
      <c r="AV477" s="3"/>
    </row>
    <row r="478" spans="1:48" hidden="1" x14ac:dyDescent="0.25">
      <c r="A478" s="31"/>
      <c r="B478" s="31"/>
      <c r="C478" s="3"/>
      <c r="D478" s="3"/>
      <c r="E478" s="2"/>
      <c r="F478" s="3"/>
      <c r="G478" s="3"/>
      <c r="H478" s="16"/>
      <c r="I478" s="16"/>
      <c r="J478" s="3"/>
      <c r="K478" s="17"/>
      <c r="L478" s="16"/>
      <c r="M478" s="3"/>
      <c r="N478" s="3"/>
      <c r="O478" s="2"/>
      <c r="P478" s="3" t="s">
        <v>54</v>
      </c>
      <c r="Q478" s="3"/>
      <c r="R478" s="3"/>
      <c r="S478" s="16"/>
      <c r="T478" s="3"/>
      <c r="U478" s="3"/>
      <c r="V478" s="3"/>
      <c r="W478" s="16"/>
      <c r="X478" s="16"/>
      <c r="Y478" s="3"/>
      <c r="Z478" s="18"/>
      <c r="AA478" s="3"/>
      <c r="AB478" s="16"/>
      <c r="AC478" s="16"/>
      <c r="AD478" s="16"/>
      <c r="AE478" s="9"/>
      <c r="AF478" s="16"/>
      <c r="AG478" s="16"/>
      <c r="AH478" s="16"/>
      <c r="AI478" s="16"/>
      <c r="AJ478" s="16"/>
      <c r="AK478" s="16"/>
      <c r="AL478" s="16"/>
      <c r="AM478" s="3"/>
      <c r="AN478" s="3"/>
      <c r="AO478" s="3"/>
      <c r="AP478" s="3"/>
      <c r="AQ478" s="3"/>
      <c r="AR478" s="3"/>
      <c r="AS478" s="3"/>
      <c r="AT478" s="3"/>
      <c r="AU478" s="3"/>
      <c r="AV478" s="3"/>
    </row>
    <row r="479" spans="1:48" x14ac:dyDescent="0.25">
      <c r="A479" s="15">
        <f t="shared" ref="A479" si="1755">1+A475</f>
        <v>120</v>
      </c>
      <c r="B479" s="15"/>
      <c r="C479" s="2"/>
      <c r="D479" s="2"/>
      <c r="E479" s="24" t="str">
        <f t="shared" ref="E479" si="1756">+AQ479</f>
        <v/>
      </c>
      <c r="F479" s="30"/>
      <c r="G479" s="24" t="str">
        <f t="shared" ref="G479" si="1757">+AV479</f>
        <v>300100</v>
      </c>
      <c r="H479" s="16">
        <f t="shared" ref="H479" si="1758">+AK479</f>
        <v>0</v>
      </c>
      <c r="I479" s="16">
        <f t="shared" ref="I479" si="1759">+ROUND(AD479,2)</f>
        <v>0</v>
      </c>
      <c r="J479" s="2"/>
      <c r="K479" s="17">
        <f t="shared" ref="K479" si="1760">+AE479</f>
        <v>0</v>
      </c>
      <c r="L479" s="16">
        <f t="shared" ref="L479" si="1761">+AJ479</f>
        <v>0</v>
      </c>
      <c r="M479" s="32" t="s">
        <v>5</v>
      </c>
      <c r="N479" s="30"/>
      <c r="O479" s="2"/>
      <c r="P479" s="30"/>
      <c r="Q479" s="32" t="s">
        <v>0</v>
      </c>
      <c r="R479" s="24"/>
      <c r="S479" s="24" t="str">
        <f t="shared" ref="S479" si="1762">+RIGHT(O479,7)</f>
        <v/>
      </c>
      <c r="T479" s="2"/>
      <c r="U479" s="3" t="s">
        <v>1</v>
      </c>
      <c r="V479" s="3" t="s">
        <v>3</v>
      </c>
      <c r="W479" s="16">
        <f t="shared" ref="W479" si="1763">+AI479</f>
        <v>0</v>
      </c>
      <c r="X479" s="16">
        <f t="shared" ref="X479" si="1764">+AJ479</f>
        <v>0</v>
      </c>
      <c r="Y479" s="3" t="s">
        <v>4</v>
      </c>
      <c r="Z479" s="18">
        <f t="shared" ref="Z479" si="1765">+F479</f>
        <v>0</v>
      </c>
      <c r="AA479" s="61"/>
      <c r="AB479" s="65"/>
      <c r="AC479" s="16">
        <f>+AB479*0.18</f>
        <v>0</v>
      </c>
      <c r="AD479" s="16">
        <f>+AB479+AC479</f>
        <v>0</v>
      </c>
      <c r="AE479" s="68"/>
      <c r="AF479" s="16">
        <f t="shared" ref="AF479" si="1766">+AB479*AE479</f>
        <v>0</v>
      </c>
      <c r="AG479" s="16">
        <f t="shared" ref="AG479" si="1767">+AC479*AE479</f>
        <v>0</v>
      </c>
      <c r="AH479" s="16">
        <f t="shared" ref="AH479" si="1768">+AD479*AE479</f>
        <v>0</v>
      </c>
      <c r="AI479" s="16">
        <f t="shared" ref="AI479" si="1769">+ROUND(AF479,2)</f>
        <v>0</v>
      </c>
      <c r="AJ479" s="16">
        <f t="shared" ref="AJ479" si="1770">+ROUND(AG479,2)</f>
        <v>0</v>
      </c>
      <c r="AK479" s="16">
        <f t="shared" ref="AK479" si="1771">+AI479+AJ479</f>
        <v>0</v>
      </c>
      <c r="AL479" s="16">
        <f t="shared" ref="AL479" si="1772">+AI479+AJ479-AK479</f>
        <v>0</v>
      </c>
      <c r="AM479" s="44"/>
      <c r="AN479" s="41" t="str">
        <f t="shared" ref="AN479" si="1773">+LEFT(AM479,2)</f>
        <v/>
      </c>
      <c r="AO479" s="41" t="str">
        <f t="shared" ref="AO479" si="1774">+MID(AM479,4,2)</f>
        <v/>
      </c>
      <c r="AP479" s="41" t="str">
        <f t="shared" ref="AP479" si="1775">+RIGHT(AM479,2)</f>
        <v/>
      </c>
      <c r="AQ479" s="41" t="str">
        <f t="shared" ref="AQ479" si="1776">+CONCATENATE(AN479,AO479,AP479)</f>
        <v/>
      </c>
      <c r="AR479" s="45">
        <f t="shared" ref="AR479" si="1777">+AM479+30</f>
        <v>30</v>
      </c>
      <c r="AS479" s="46">
        <f t="shared" ref="AS479" si="1778">+DAY(AR479)</f>
        <v>30</v>
      </c>
      <c r="AT479" s="41">
        <f t="shared" ref="AT479" si="1779">+MONTH(AR479)</f>
        <v>1</v>
      </c>
      <c r="AU479" s="41">
        <f t="shared" ref="AU479" si="1780">+YEAR(AR479)</f>
        <v>1900</v>
      </c>
      <c r="AV479" s="41" t="str">
        <f t="shared" ref="AV479" si="1781">+CONCATENATE(TEXT(AS479,"00"),TEXT(AT479,"00"),RIGHT(AU479,2))</f>
        <v>300100</v>
      </c>
    </row>
    <row r="480" spans="1:48" hidden="1" x14ac:dyDescent="0.25">
      <c r="A480" s="31"/>
      <c r="B480" s="31"/>
      <c r="C480" s="3"/>
      <c r="D480" s="3"/>
      <c r="E480" s="2"/>
      <c r="F480" s="3"/>
      <c r="G480" s="3"/>
      <c r="H480" s="16"/>
      <c r="I480" s="16"/>
      <c r="J480" s="3"/>
      <c r="K480" s="17"/>
      <c r="L480" s="16"/>
      <c r="M480" s="3"/>
      <c r="N480" s="3"/>
      <c r="O480" s="2"/>
      <c r="P480" s="3" t="s">
        <v>54</v>
      </c>
      <c r="Q480" s="3"/>
      <c r="R480" s="3"/>
      <c r="S480" s="16"/>
      <c r="T480" s="3"/>
      <c r="U480" s="3"/>
      <c r="V480" s="3"/>
      <c r="W480" s="16"/>
      <c r="X480" s="16"/>
      <c r="Y480" s="3"/>
      <c r="Z480" s="18"/>
      <c r="AA480" s="3"/>
      <c r="AB480" s="16"/>
      <c r="AC480" s="16"/>
      <c r="AD480" s="16"/>
      <c r="AE480" s="9"/>
      <c r="AF480" s="16"/>
      <c r="AG480" s="16"/>
      <c r="AH480" s="16"/>
      <c r="AI480" s="16"/>
      <c r="AJ480" s="16"/>
      <c r="AK480" s="16"/>
      <c r="AL480" s="16"/>
      <c r="AM480" s="3"/>
      <c r="AN480" s="3"/>
      <c r="AO480" s="3"/>
      <c r="AP480" s="3"/>
      <c r="AQ480" s="3"/>
      <c r="AR480" s="3"/>
      <c r="AS480" s="3"/>
      <c r="AT480" s="3"/>
      <c r="AU480" s="3"/>
      <c r="AV480" s="3"/>
    </row>
    <row r="481" spans="1:48" hidden="1" x14ac:dyDescent="0.25">
      <c r="A481" s="31"/>
      <c r="B481" s="31"/>
      <c r="C481" s="3"/>
      <c r="D481" s="3"/>
      <c r="E481" s="2"/>
      <c r="F481" s="3"/>
      <c r="G481" s="3"/>
      <c r="H481" s="16"/>
      <c r="I481" s="16"/>
      <c r="J481" s="3"/>
      <c r="K481" s="17"/>
      <c r="L481" s="16"/>
      <c r="M481" s="3"/>
      <c r="N481" s="3"/>
      <c r="O481" s="2"/>
      <c r="P481" s="3" t="s">
        <v>54</v>
      </c>
      <c r="Q481" s="3"/>
      <c r="R481" s="3"/>
      <c r="S481" s="16"/>
      <c r="T481" s="3"/>
      <c r="U481" s="3"/>
      <c r="V481" s="3"/>
      <c r="W481" s="16"/>
      <c r="X481" s="16"/>
      <c r="Y481" s="3"/>
      <c r="Z481" s="18"/>
      <c r="AA481" s="3"/>
      <c r="AB481" s="16"/>
      <c r="AC481" s="16"/>
      <c r="AD481" s="16"/>
      <c r="AE481" s="9"/>
      <c r="AF481" s="16"/>
      <c r="AG481" s="16"/>
      <c r="AH481" s="16"/>
      <c r="AI481" s="16"/>
      <c r="AJ481" s="16"/>
      <c r="AK481" s="16"/>
      <c r="AL481" s="16"/>
      <c r="AM481" s="3"/>
      <c r="AN481" s="3"/>
      <c r="AO481" s="3"/>
      <c r="AP481" s="3"/>
      <c r="AQ481" s="3"/>
      <c r="AR481" s="3"/>
      <c r="AS481" s="3"/>
      <c r="AT481" s="3"/>
      <c r="AU481" s="3"/>
      <c r="AV481" s="3"/>
    </row>
    <row r="482" spans="1:48" hidden="1" x14ac:dyDescent="0.25">
      <c r="A482" s="31"/>
      <c r="B482" s="31"/>
      <c r="C482" s="3"/>
      <c r="D482" s="3"/>
      <c r="E482" s="2"/>
      <c r="F482" s="3"/>
      <c r="G482" s="3"/>
      <c r="H482" s="16"/>
      <c r="I482" s="16"/>
      <c r="J482" s="3"/>
      <c r="K482" s="17"/>
      <c r="L482" s="16"/>
      <c r="M482" s="3"/>
      <c r="N482" s="3"/>
      <c r="O482" s="2"/>
      <c r="P482" s="3" t="s">
        <v>54</v>
      </c>
      <c r="Q482" s="3"/>
      <c r="R482" s="3"/>
      <c r="S482" s="16"/>
      <c r="T482" s="3"/>
      <c r="U482" s="3"/>
      <c r="V482" s="3"/>
      <c r="W482" s="16"/>
      <c r="X482" s="16"/>
      <c r="Y482" s="3"/>
      <c r="Z482" s="18"/>
      <c r="AA482" s="3"/>
      <c r="AB482" s="16"/>
      <c r="AC482" s="16"/>
      <c r="AD482" s="16"/>
      <c r="AE482" s="9"/>
      <c r="AF482" s="16"/>
      <c r="AG482" s="16"/>
      <c r="AH482" s="16"/>
      <c r="AI482" s="16"/>
      <c r="AJ482" s="16"/>
      <c r="AK482" s="16"/>
      <c r="AL482" s="16"/>
      <c r="AM482" s="3"/>
      <c r="AN482" s="3"/>
      <c r="AO482" s="3"/>
      <c r="AP482" s="3"/>
      <c r="AQ482" s="3"/>
      <c r="AR482" s="3"/>
      <c r="AS482" s="3"/>
      <c r="AT482" s="3"/>
      <c r="AU482" s="3"/>
      <c r="AV482" s="3"/>
    </row>
    <row r="483" spans="1:48" x14ac:dyDescent="0.25">
      <c r="A483" s="15">
        <f t="shared" ref="A483" si="1782">1+A479</f>
        <v>121</v>
      </c>
      <c r="B483" s="15"/>
      <c r="C483" s="2"/>
      <c r="D483" s="2"/>
      <c r="E483" s="24" t="str">
        <f t="shared" ref="E483" si="1783">+AQ483</f>
        <v/>
      </c>
      <c r="F483" s="30"/>
      <c r="G483" s="24" t="str">
        <f t="shared" ref="G483" si="1784">+AV483</f>
        <v>300100</v>
      </c>
      <c r="H483" s="16">
        <f t="shared" ref="H483" si="1785">+AK483</f>
        <v>0</v>
      </c>
      <c r="I483" s="16">
        <f t="shared" ref="I483" si="1786">+ROUND(AD483,2)</f>
        <v>0</v>
      </c>
      <c r="J483" s="2"/>
      <c r="K483" s="17">
        <f t="shared" ref="K483" si="1787">+AE483</f>
        <v>0</v>
      </c>
      <c r="L483" s="16">
        <f t="shared" ref="L483" si="1788">+AJ483</f>
        <v>0</v>
      </c>
      <c r="M483" s="32" t="s">
        <v>5</v>
      </c>
      <c r="N483" s="30"/>
      <c r="O483" s="2"/>
      <c r="P483" s="30"/>
      <c r="Q483" s="32" t="s">
        <v>0</v>
      </c>
      <c r="R483" s="24"/>
      <c r="S483" s="24" t="str">
        <f t="shared" ref="S483" si="1789">+RIGHT(O483,7)</f>
        <v/>
      </c>
      <c r="T483" s="2"/>
      <c r="U483" s="3" t="s">
        <v>1</v>
      </c>
      <c r="V483" s="3" t="s">
        <v>3</v>
      </c>
      <c r="W483" s="16">
        <f t="shared" ref="W483" si="1790">+AI483</f>
        <v>0</v>
      </c>
      <c r="X483" s="16">
        <f t="shared" ref="X483" si="1791">+AJ483</f>
        <v>0</v>
      </c>
      <c r="Y483" s="3" t="s">
        <v>4</v>
      </c>
      <c r="Z483" s="18">
        <f t="shared" ref="Z483" si="1792">+F483</f>
        <v>0</v>
      </c>
      <c r="AA483" s="61"/>
      <c r="AB483" s="65"/>
      <c r="AC483" s="16">
        <f>+AB483*0.18</f>
        <v>0</v>
      </c>
      <c r="AD483" s="16">
        <f>+AB483+AC483</f>
        <v>0</v>
      </c>
      <c r="AE483" s="68"/>
      <c r="AF483" s="16">
        <f t="shared" ref="AF483" si="1793">+AB483*AE483</f>
        <v>0</v>
      </c>
      <c r="AG483" s="16">
        <f t="shared" ref="AG483" si="1794">+AC483*AE483</f>
        <v>0</v>
      </c>
      <c r="AH483" s="16">
        <f t="shared" ref="AH483" si="1795">+AD483*AE483</f>
        <v>0</v>
      </c>
      <c r="AI483" s="16">
        <f t="shared" ref="AI483" si="1796">+ROUND(AF483,2)</f>
        <v>0</v>
      </c>
      <c r="AJ483" s="16">
        <f t="shared" ref="AJ483" si="1797">+ROUND(AG483,2)</f>
        <v>0</v>
      </c>
      <c r="AK483" s="16">
        <f t="shared" ref="AK483" si="1798">+AI483+AJ483</f>
        <v>0</v>
      </c>
      <c r="AL483" s="16">
        <f t="shared" ref="AL483" si="1799">+AI483+AJ483-AK483</f>
        <v>0</v>
      </c>
      <c r="AM483" s="44"/>
      <c r="AN483" s="41" t="str">
        <f t="shared" ref="AN483" si="1800">+LEFT(AM483,2)</f>
        <v/>
      </c>
      <c r="AO483" s="41" t="str">
        <f t="shared" ref="AO483" si="1801">+MID(AM483,4,2)</f>
        <v/>
      </c>
      <c r="AP483" s="41" t="str">
        <f t="shared" ref="AP483" si="1802">+RIGHT(AM483,2)</f>
        <v/>
      </c>
      <c r="AQ483" s="41" t="str">
        <f t="shared" ref="AQ483" si="1803">+CONCATENATE(AN483,AO483,AP483)</f>
        <v/>
      </c>
      <c r="AR483" s="45">
        <f t="shared" ref="AR483" si="1804">+AM483+30</f>
        <v>30</v>
      </c>
      <c r="AS483" s="46">
        <f t="shared" ref="AS483" si="1805">+DAY(AR483)</f>
        <v>30</v>
      </c>
      <c r="AT483" s="41">
        <f t="shared" ref="AT483" si="1806">+MONTH(AR483)</f>
        <v>1</v>
      </c>
      <c r="AU483" s="41">
        <f t="shared" ref="AU483" si="1807">+YEAR(AR483)</f>
        <v>1900</v>
      </c>
      <c r="AV483" s="41" t="str">
        <f t="shared" ref="AV483" si="1808">+CONCATENATE(TEXT(AS483,"00"),TEXT(AT483,"00"),RIGHT(AU483,2))</f>
        <v>300100</v>
      </c>
    </row>
    <row r="484" spans="1:48" hidden="1" x14ac:dyDescent="0.25">
      <c r="A484" s="31"/>
      <c r="B484" s="31"/>
      <c r="C484" s="3"/>
      <c r="D484" s="3"/>
      <c r="E484" s="2"/>
      <c r="F484" s="3"/>
      <c r="G484" s="3"/>
      <c r="H484" s="16"/>
      <c r="I484" s="16"/>
      <c r="J484" s="3"/>
      <c r="K484" s="17"/>
      <c r="L484" s="16"/>
      <c r="M484" s="3"/>
      <c r="N484" s="3"/>
      <c r="O484" s="2"/>
      <c r="P484" s="3" t="s">
        <v>54</v>
      </c>
      <c r="Q484" s="3"/>
      <c r="R484" s="3"/>
      <c r="S484" s="16"/>
      <c r="T484" s="3"/>
      <c r="U484" s="3"/>
      <c r="V484" s="3"/>
      <c r="W484" s="16"/>
      <c r="X484" s="16"/>
      <c r="Y484" s="3"/>
      <c r="Z484" s="18"/>
      <c r="AA484" s="3"/>
      <c r="AB484" s="16"/>
      <c r="AC484" s="16"/>
      <c r="AD484" s="16"/>
      <c r="AE484" s="9"/>
      <c r="AF484" s="16"/>
      <c r="AG484" s="16"/>
      <c r="AH484" s="16"/>
      <c r="AI484" s="16"/>
      <c r="AJ484" s="16"/>
      <c r="AK484" s="16"/>
      <c r="AL484" s="16"/>
      <c r="AM484" s="3"/>
      <c r="AN484" s="3"/>
      <c r="AO484" s="3"/>
      <c r="AP484" s="3"/>
      <c r="AQ484" s="3"/>
      <c r="AR484" s="3"/>
      <c r="AS484" s="3"/>
      <c r="AT484" s="3"/>
      <c r="AU484" s="3"/>
      <c r="AV484" s="3"/>
    </row>
    <row r="485" spans="1:48" hidden="1" x14ac:dyDescent="0.25">
      <c r="A485" s="31"/>
      <c r="B485" s="31"/>
      <c r="C485" s="3"/>
      <c r="D485" s="3"/>
      <c r="E485" s="2"/>
      <c r="F485" s="3"/>
      <c r="G485" s="3"/>
      <c r="H485" s="16"/>
      <c r="I485" s="16"/>
      <c r="J485" s="3"/>
      <c r="K485" s="17"/>
      <c r="L485" s="16"/>
      <c r="M485" s="3"/>
      <c r="N485" s="3"/>
      <c r="O485" s="2"/>
      <c r="P485" s="3" t="s">
        <v>54</v>
      </c>
      <c r="Q485" s="3"/>
      <c r="R485" s="3"/>
      <c r="S485" s="16"/>
      <c r="T485" s="3"/>
      <c r="U485" s="3"/>
      <c r="V485" s="3"/>
      <c r="W485" s="16"/>
      <c r="X485" s="16"/>
      <c r="Y485" s="3"/>
      <c r="Z485" s="18"/>
      <c r="AA485" s="3"/>
      <c r="AB485" s="16"/>
      <c r="AC485" s="16"/>
      <c r="AD485" s="16"/>
      <c r="AE485" s="9"/>
      <c r="AF485" s="16"/>
      <c r="AG485" s="16"/>
      <c r="AH485" s="16"/>
      <c r="AI485" s="16"/>
      <c r="AJ485" s="16"/>
      <c r="AK485" s="16"/>
      <c r="AL485" s="16"/>
      <c r="AM485" s="3"/>
      <c r="AN485" s="3"/>
      <c r="AO485" s="3"/>
      <c r="AP485" s="3"/>
      <c r="AQ485" s="3"/>
      <c r="AR485" s="3"/>
      <c r="AS485" s="3"/>
      <c r="AT485" s="3"/>
      <c r="AU485" s="3"/>
      <c r="AV485" s="3"/>
    </row>
    <row r="486" spans="1:48" hidden="1" x14ac:dyDescent="0.25">
      <c r="A486" s="31"/>
      <c r="B486" s="31"/>
      <c r="C486" s="3"/>
      <c r="D486" s="3"/>
      <c r="E486" s="2"/>
      <c r="F486" s="3"/>
      <c r="G486" s="3"/>
      <c r="H486" s="16"/>
      <c r="I486" s="16"/>
      <c r="J486" s="3"/>
      <c r="K486" s="17"/>
      <c r="L486" s="16"/>
      <c r="M486" s="3"/>
      <c r="N486" s="3"/>
      <c r="O486" s="2"/>
      <c r="P486" s="3" t="s">
        <v>54</v>
      </c>
      <c r="Q486" s="3"/>
      <c r="R486" s="3"/>
      <c r="S486" s="16"/>
      <c r="T486" s="3"/>
      <c r="U486" s="3"/>
      <c r="V486" s="3"/>
      <c r="W486" s="16"/>
      <c r="X486" s="16"/>
      <c r="Y486" s="3"/>
      <c r="Z486" s="18"/>
      <c r="AA486" s="3"/>
      <c r="AB486" s="16"/>
      <c r="AC486" s="16"/>
      <c r="AD486" s="16"/>
      <c r="AE486" s="9"/>
      <c r="AF486" s="16"/>
      <c r="AG486" s="16"/>
      <c r="AH486" s="16"/>
      <c r="AI486" s="16"/>
      <c r="AJ486" s="16"/>
      <c r="AK486" s="16"/>
      <c r="AL486" s="16"/>
      <c r="AM486" s="3"/>
      <c r="AN486" s="3"/>
      <c r="AO486" s="3"/>
      <c r="AP486" s="3"/>
      <c r="AQ486" s="3"/>
      <c r="AR486" s="3"/>
      <c r="AS486" s="3"/>
      <c r="AT486" s="3"/>
      <c r="AU486" s="3"/>
      <c r="AV486" s="3"/>
    </row>
    <row r="487" spans="1:48" x14ac:dyDescent="0.25">
      <c r="A487" s="15">
        <f t="shared" ref="A487" si="1809">1+A483</f>
        <v>122</v>
      </c>
      <c r="B487" s="15"/>
      <c r="C487" s="2"/>
      <c r="D487" s="2"/>
      <c r="E487" s="24" t="str">
        <f t="shared" ref="E487" si="1810">+AQ487</f>
        <v/>
      </c>
      <c r="F487" s="30"/>
      <c r="G487" s="24" t="str">
        <f t="shared" ref="G487" si="1811">+AV487</f>
        <v>300100</v>
      </c>
      <c r="H487" s="16">
        <f t="shared" ref="H487" si="1812">+AK487</f>
        <v>0</v>
      </c>
      <c r="I487" s="16">
        <f t="shared" ref="I487" si="1813">+ROUND(AD487,2)</f>
        <v>0</v>
      </c>
      <c r="J487" s="2"/>
      <c r="K487" s="17">
        <f t="shared" ref="K487" si="1814">+AE487</f>
        <v>0</v>
      </c>
      <c r="L487" s="16">
        <f t="shared" ref="L487" si="1815">+AJ487</f>
        <v>0</v>
      </c>
      <c r="M487" s="32" t="s">
        <v>5</v>
      </c>
      <c r="N487" s="30"/>
      <c r="O487" s="2"/>
      <c r="P487" s="30"/>
      <c r="Q487" s="32" t="s">
        <v>0</v>
      </c>
      <c r="R487" s="24"/>
      <c r="S487" s="24" t="str">
        <f t="shared" ref="S487" si="1816">+RIGHT(O487,7)</f>
        <v/>
      </c>
      <c r="T487" s="2"/>
      <c r="U487" s="3" t="s">
        <v>1</v>
      </c>
      <c r="V487" s="3" t="s">
        <v>3</v>
      </c>
      <c r="W487" s="16">
        <f t="shared" ref="W487" si="1817">+AI487</f>
        <v>0</v>
      </c>
      <c r="X487" s="16">
        <f t="shared" ref="X487" si="1818">+AJ487</f>
        <v>0</v>
      </c>
      <c r="Y487" s="3" t="s">
        <v>4</v>
      </c>
      <c r="Z487" s="18">
        <f t="shared" ref="Z487" si="1819">+F487</f>
        <v>0</v>
      </c>
      <c r="AA487" s="61"/>
      <c r="AB487" s="65"/>
      <c r="AC487" s="16">
        <f>+AB487*0.18</f>
        <v>0</v>
      </c>
      <c r="AD487" s="16">
        <f>+AB487+AC487</f>
        <v>0</v>
      </c>
      <c r="AE487" s="68"/>
      <c r="AF487" s="16">
        <f t="shared" ref="AF487" si="1820">+AB487*AE487</f>
        <v>0</v>
      </c>
      <c r="AG487" s="16">
        <f t="shared" ref="AG487" si="1821">+AC487*AE487</f>
        <v>0</v>
      </c>
      <c r="AH487" s="16">
        <f t="shared" ref="AH487" si="1822">+AD487*AE487</f>
        <v>0</v>
      </c>
      <c r="AI487" s="16">
        <f t="shared" ref="AI487" si="1823">+ROUND(AF487,2)</f>
        <v>0</v>
      </c>
      <c r="AJ487" s="16">
        <f t="shared" ref="AJ487" si="1824">+ROUND(AG487,2)</f>
        <v>0</v>
      </c>
      <c r="AK487" s="16">
        <f t="shared" ref="AK487" si="1825">+AI487+AJ487</f>
        <v>0</v>
      </c>
      <c r="AL487" s="16">
        <f t="shared" ref="AL487" si="1826">+AI487+AJ487-AK487</f>
        <v>0</v>
      </c>
      <c r="AM487" s="44"/>
      <c r="AN487" s="41" t="str">
        <f t="shared" ref="AN487" si="1827">+LEFT(AM487,2)</f>
        <v/>
      </c>
      <c r="AO487" s="41" t="str">
        <f t="shared" ref="AO487" si="1828">+MID(AM487,4,2)</f>
        <v/>
      </c>
      <c r="AP487" s="41" t="str">
        <f t="shared" ref="AP487" si="1829">+RIGHT(AM487,2)</f>
        <v/>
      </c>
      <c r="AQ487" s="41" t="str">
        <f t="shared" ref="AQ487" si="1830">+CONCATENATE(AN487,AO487,AP487)</f>
        <v/>
      </c>
      <c r="AR487" s="45">
        <f t="shared" ref="AR487" si="1831">+AM487+30</f>
        <v>30</v>
      </c>
      <c r="AS487" s="46">
        <f t="shared" ref="AS487" si="1832">+DAY(AR487)</f>
        <v>30</v>
      </c>
      <c r="AT487" s="41">
        <f t="shared" ref="AT487" si="1833">+MONTH(AR487)</f>
        <v>1</v>
      </c>
      <c r="AU487" s="41">
        <f t="shared" ref="AU487" si="1834">+YEAR(AR487)</f>
        <v>1900</v>
      </c>
      <c r="AV487" s="41" t="str">
        <f t="shared" ref="AV487" si="1835">+CONCATENATE(TEXT(AS487,"00"),TEXT(AT487,"00"),RIGHT(AU487,2))</f>
        <v>300100</v>
      </c>
    </row>
    <row r="488" spans="1:48" hidden="1" x14ac:dyDescent="0.25">
      <c r="A488" s="31"/>
      <c r="B488" s="31"/>
      <c r="C488" s="3"/>
      <c r="D488" s="3"/>
      <c r="E488" s="2"/>
      <c r="F488" s="3"/>
      <c r="G488" s="3"/>
      <c r="H488" s="16"/>
      <c r="I488" s="16"/>
      <c r="J488" s="3"/>
      <c r="K488" s="17"/>
      <c r="L488" s="16"/>
      <c r="M488" s="3"/>
      <c r="N488" s="3"/>
      <c r="O488" s="2"/>
      <c r="P488" s="3" t="s">
        <v>54</v>
      </c>
      <c r="Q488" s="3"/>
      <c r="R488" s="3"/>
      <c r="S488" s="16"/>
      <c r="T488" s="3"/>
      <c r="U488" s="3"/>
      <c r="V488" s="3"/>
      <c r="W488" s="16"/>
      <c r="X488" s="16"/>
      <c r="Y488" s="3"/>
      <c r="Z488" s="18"/>
      <c r="AA488" s="3"/>
      <c r="AB488" s="16"/>
      <c r="AC488" s="16"/>
      <c r="AD488" s="16"/>
      <c r="AE488" s="9"/>
      <c r="AF488" s="16"/>
      <c r="AG488" s="16"/>
      <c r="AH488" s="16"/>
      <c r="AI488" s="16"/>
      <c r="AJ488" s="16"/>
      <c r="AK488" s="16"/>
      <c r="AL488" s="16"/>
      <c r="AM488" s="3"/>
      <c r="AN488" s="3"/>
      <c r="AO488" s="3"/>
      <c r="AP488" s="3"/>
      <c r="AQ488" s="3"/>
      <c r="AR488" s="3"/>
      <c r="AS488" s="3"/>
      <c r="AT488" s="3"/>
      <c r="AU488" s="3"/>
      <c r="AV488" s="3"/>
    </row>
    <row r="489" spans="1:48" hidden="1" x14ac:dyDescent="0.25">
      <c r="A489" s="31"/>
      <c r="B489" s="31"/>
      <c r="C489" s="3"/>
      <c r="D489" s="3"/>
      <c r="E489" s="2"/>
      <c r="F489" s="3"/>
      <c r="G489" s="3"/>
      <c r="H489" s="16"/>
      <c r="I489" s="16"/>
      <c r="J489" s="3"/>
      <c r="K489" s="17"/>
      <c r="L489" s="16"/>
      <c r="M489" s="3"/>
      <c r="N489" s="3"/>
      <c r="O489" s="2"/>
      <c r="P489" s="3" t="s">
        <v>54</v>
      </c>
      <c r="Q489" s="3"/>
      <c r="R489" s="3"/>
      <c r="S489" s="16"/>
      <c r="T489" s="3"/>
      <c r="U489" s="3"/>
      <c r="V489" s="3"/>
      <c r="W489" s="16"/>
      <c r="X489" s="16"/>
      <c r="Y489" s="3"/>
      <c r="Z489" s="18"/>
      <c r="AA489" s="3"/>
      <c r="AB489" s="16"/>
      <c r="AC489" s="16"/>
      <c r="AD489" s="16"/>
      <c r="AE489" s="9"/>
      <c r="AF489" s="16"/>
      <c r="AG489" s="16"/>
      <c r="AH489" s="16"/>
      <c r="AI489" s="16"/>
      <c r="AJ489" s="16"/>
      <c r="AK489" s="16"/>
      <c r="AL489" s="16"/>
      <c r="AM489" s="3"/>
      <c r="AN489" s="3"/>
      <c r="AO489" s="3"/>
      <c r="AP489" s="3"/>
      <c r="AQ489" s="3"/>
      <c r="AR489" s="3"/>
      <c r="AS489" s="3"/>
      <c r="AT489" s="3"/>
      <c r="AU489" s="3"/>
      <c r="AV489" s="3"/>
    </row>
    <row r="490" spans="1:48" hidden="1" x14ac:dyDescent="0.25">
      <c r="A490" s="31"/>
      <c r="B490" s="31"/>
      <c r="C490" s="3"/>
      <c r="D490" s="3"/>
      <c r="E490" s="2"/>
      <c r="F490" s="3"/>
      <c r="G490" s="3"/>
      <c r="H490" s="16"/>
      <c r="I490" s="16"/>
      <c r="J490" s="3"/>
      <c r="K490" s="17"/>
      <c r="L490" s="16"/>
      <c r="M490" s="3"/>
      <c r="N490" s="3"/>
      <c r="O490" s="2"/>
      <c r="P490" s="3" t="s">
        <v>54</v>
      </c>
      <c r="Q490" s="3"/>
      <c r="R490" s="3"/>
      <c r="S490" s="16"/>
      <c r="T490" s="3"/>
      <c r="U490" s="3"/>
      <c r="V490" s="3"/>
      <c r="W490" s="16"/>
      <c r="X490" s="16"/>
      <c r="Y490" s="3"/>
      <c r="Z490" s="18"/>
      <c r="AA490" s="3"/>
      <c r="AB490" s="16"/>
      <c r="AC490" s="16"/>
      <c r="AD490" s="16"/>
      <c r="AE490" s="9"/>
      <c r="AF490" s="16"/>
      <c r="AG490" s="16"/>
      <c r="AH490" s="16"/>
      <c r="AI490" s="16"/>
      <c r="AJ490" s="16"/>
      <c r="AK490" s="16"/>
      <c r="AL490" s="16"/>
      <c r="AM490" s="3"/>
      <c r="AN490" s="3"/>
      <c r="AO490" s="3"/>
      <c r="AP490" s="3"/>
      <c r="AQ490" s="3"/>
      <c r="AR490" s="3"/>
      <c r="AS490" s="3"/>
      <c r="AT490" s="3"/>
      <c r="AU490" s="3"/>
      <c r="AV490" s="3"/>
    </row>
    <row r="491" spans="1:48" x14ac:dyDescent="0.25">
      <c r="A491" s="15">
        <f t="shared" ref="A491" si="1836">1+A487</f>
        <v>123</v>
      </c>
      <c r="B491" s="15"/>
      <c r="C491" s="2"/>
      <c r="D491" s="2"/>
      <c r="E491" s="24" t="str">
        <f t="shared" ref="E491" si="1837">+AQ491</f>
        <v/>
      </c>
      <c r="F491" s="30"/>
      <c r="G491" s="24" t="str">
        <f t="shared" ref="G491" si="1838">+AV491</f>
        <v>300100</v>
      </c>
      <c r="H491" s="16">
        <f t="shared" ref="H491" si="1839">+AK491</f>
        <v>0</v>
      </c>
      <c r="I491" s="16">
        <f t="shared" ref="I491" si="1840">+ROUND(AD491,2)</f>
        <v>0</v>
      </c>
      <c r="J491" s="2"/>
      <c r="K491" s="17">
        <f t="shared" ref="K491" si="1841">+AE491</f>
        <v>0</v>
      </c>
      <c r="L491" s="16">
        <f t="shared" ref="L491" si="1842">+AJ491</f>
        <v>0</v>
      </c>
      <c r="M491" s="32" t="s">
        <v>5</v>
      </c>
      <c r="N491" s="30"/>
      <c r="O491" s="2"/>
      <c r="P491" s="30"/>
      <c r="Q491" s="32" t="s">
        <v>0</v>
      </c>
      <c r="R491" s="24"/>
      <c r="S491" s="24" t="str">
        <f t="shared" ref="S491" si="1843">+RIGHT(O491,7)</f>
        <v/>
      </c>
      <c r="T491" s="2"/>
      <c r="U491" s="3" t="s">
        <v>1</v>
      </c>
      <c r="V491" s="3" t="s">
        <v>3</v>
      </c>
      <c r="W491" s="16">
        <f t="shared" ref="W491" si="1844">+AI491</f>
        <v>0</v>
      </c>
      <c r="X491" s="16">
        <f t="shared" ref="X491" si="1845">+AJ491</f>
        <v>0</v>
      </c>
      <c r="Y491" s="3" t="s">
        <v>4</v>
      </c>
      <c r="Z491" s="18">
        <f t="shared" ref="Z491" si="1846">+F491</f>
        <v>0</v>
      </c>
      <c r="AA491" s="61"/>
      <c r="AB491" s="65"/>
      <c r="AC491" s="16">
        <f>+AB491*0.18</f>
        <v>0</v>
      </c>
      <c r="AD491" s="16">
        <f>+AB491+AC491</f>
        <v>0</v>
      </c>
      <c r="AE491" s="68"/>
      <c r="AF491" s="16">
        <f t="shared" ref="AF491" si="1847">+AB491*AE491</f>
        <v>0</v>
      </c>
      <c r="AG491" s="16">
        <f t="shared" ref="AG491" si="1848">+AC491*AE491</f>
        <v>0</v>
      </c>
      <c r="AH491" s="16">
        <f t="shared" ref="AH491" si="1849">+AD491*AE491</f>
        <v>0</v>
      </c>
      <c r="AI491" s="16">
        <f t="shared" ref="AI491" si="1850">+ROUND(AF491,2)</f>
        <v>0</v>
      </c>
      <c r="AJ491" s="16">
        <f t="shared" ref="AJ491" si="1851">+ROUND(AG491,2)</f>
        <v>0</v>
      </c>
      <c r="AK491" s="16">
        <f t="shared" ref="AK491" si="1852">+AI491+AJ491</f>
        <v>0</v>
      </c>
      <c r="AL491" s="16">
        <f t="shared" ref="AL491" si="1853">+AI491+AJ491-AK491</f>
        <v>0</v>
      </c>
      <c r="AM491" s="44"/>
      <c r="AN491" s="41" t="str">
        <f t="shared" ref="AN491" si="1854">+LEFT(AM491,2)</f>
        <v/>
      </c>
      <c r="AO491" s="41" t="str">
        <f t="shared" ref="AO491" si="1855">+MID(AM491,4,2)</f>
        <v/>
      </c>
      <c r="AP491" s="41" t="str">
        <f t="shared" ref="AP491" si="1856">+RIGHT(AM491,2)</f>
        <v/>
      </c>
      <c r="AQ491" s="41" t="str">
        <f t="shared" ref="AQ491" si="1857">+CONCATENATE(AN491,AO491,AP491)</f>
        <v/>
      </c>
      <c r="AR491" s="45">
        <f t="shared" ref="AR491" si="1858">+AM491+30</f>
        <v>30</v>
      </c>
      <c r="AS491" s="46">
        <f t="shared" ref="AS491" si="1859">+DAY(AR491)</f>
        <v>30</v>
      </c>
      <c r="AT491" s="41">
        <f t="shared" ref="AT491" si="1860">+MONTH(AR491)</f>
        <v>1</v>
      </c>
      <c r="AU491" s="41">
        <f t="shared" ref="AU491" si="1861">+YEAR(AR491)</f>
        <v>1900</v>
      </c>
      <c r="AV491" s="41" t="str">
        <f t="shared" ref="AV491" si="1862">+CONCATENATE(TEXT(AS491,"00"),TEXT(AT491,"00"),RIGHT(AU491,2))</f>
        <v>300100</v>
      </c>
    </row>
    <row r="492" spans="1:48" hidden="1" x14ac:dyDescent="0.25">
      <c r="A492" s="31"/>
      <c r="B492" s="31"/>
      <c r="C492" s="3"/>
      <c r="D492" s="3"/>
      <c r="E492" s="2"/>
      <c r="F492" s="3"/>
      <c r="G492" s="3"/>
      <c r="H492" s="16"/>
      <c r="I492" s="16"/>
      <c r="J492" s="3"/>
      <c r="K492" s="17"/>
      <c r="L492" s="16"/>
      <c r="M492" s="3"/>
      <c r="N492" s="3"/>
      <c r="O492" s="2"/>
      <c r="P492" s="3" t="s">
        <v>54</v>
      </c>
      <c r="Q492" s="3"/>
      <c r="R492" s="3"/>
      <c r="S492" s="16"/>
      <c r="T492" s="3"/>
      <c r="U492" s="3"/>
      <c r="V492" s="3"/>
      <c r="W492" s="16"/>
      <c r="X492" s="16"/>
      <c r="Y492" s="3"/>
      <c r="Z492" s="18"/>
      <c r="AA492" s="3"/>
      <c r="AB492" s="16"/>
      <c r="AC492" s="16"/>
      <c r="AD492" s="16"/>
      <c r="AE492" s="9"/>
      <c r="AF492" s="16"/>
      <c r="AG492" s="16"/>
      <c r="AH492" s="16"/>
      <c r="AI492" s="16"/>
      <c r="AJ492" s="16"/>
      <c r="AK492" s="16"/>
      <c r="AL492" s="16"/>
      <c r="AM492" s="3"/>
      <c r="AN492" s="3"/>
      <c r="AO492" s="3"/>
      <c r="AP492" s="3"/>
      <c r="AQ492" s="3"/>
      <c r="AR492" s="3"/>
      <c r="AS492" s="3"/>
      <c r="AT492" s="3"/>
      <c r="AU492" s="3"/>
      <c r="AV492" s="3"/>
    </row>
    <row r="493" spans="1:48" hidden="1" x14ac:dyDescent="0.25">
      <c r="A493" s="31"/>
      <c r="B493" s="31"/>
      <c r="C493" s="3"/>
      <c r="D493" s="3"/>
      <c r="E493" s="2"/>
      <c r="F493" s="3"/>
      <c r="G493" s="3"/>
      <c r="H493" s="16"/>
      <c r="I493" s="16"/>
      <c r="J493" s="3"/>
      <c r="K493" s="17"/>
      <c r="L493" s="16"/>
      <c r="M493" s="3"/>
      <c r="N493" s="3"/>
      <c r="O493" s="2"/>
      <c r="P493" s="3" t="s">
        <v>54</v>
      </c>
      <c r="Q493" s="3"/>
      <c r="R493" s="3"/>
      <c r="S493" s="16"/>
      <c r="T493" s="3"/>
      <c r="U493" s="3"/>
      <c r="V493" s="3"/>
      <c r="W493" s="16"/>
      <c r="X493" s="16"/>
      <c r="Y493" s="3"/>
      <c r="Z493" s="18"/>
      <c r="AA493" s="3"/>
      <c r="AB493" s="16"/>
      <c r="AC493" s="16"/>
      <c r="AD493" s="16"/>
      <c r="AE493" s="9"/>
      <c r="AF493" s="16"/>
      <c r="AG493" s="16"/>
      <c r="AH493" s="16"/>
      <c r="AI493" s="16"/>
      <c r="AJ493" s="16"/>
      <c r="AK493" s="16"/>
      <c r="AL493" s="16"/>
      <c r="AM493" s="3"/>
      <c r="AN493" s="3"/>
      <c r="AO493" s="3"/>
      <c r="AP493" s="3"/>
      <c r="AQ493" s="3"/>
      <c r="AR493" s="3"/>
      <c r="AS493" s="3"/>
      <c r="AT493" s="3"/>
      <c r="AU493" s="3"/>
      <c r="AV493" s="3"/>
    </row>
    <row r="494" spans="1:48" hidden="1" x14ac:dyDescent="0.25">
      <c r="A494" s="31"/>
      <c r="B494" s="31"/>
      <c r="C494" s="3"/>
      <c r="D494" s="3"/>
      <c r="E494" s="2"/>
      <c r="F494" s="3"/>
      <c r="G494" s="3"/>
      <c r="H494" s="16"/>
      <c r="I494" s="16"/>
      <c r="J494" s="3"/>
      <c r="K494" s="17"/>
      <c r="L494" s="16"/>
      <c r="M494" s="3"/>
      <c r="N494" s="3"/>
      <c r="O494" s="2"/>
      <c r="P494" s="3" t="s">
        <v>54</v>
      </c>
      <c r="Q494" s="3"/>
      <c r="R494" s="3"/>
      <c r="S494" s="16"/>
      <c r="T494" s="3"/>
      <c r="U494" s="3"/>
      <c r="V494" s="3"/>
      <c r="W494" s="16"/>
      <c r="X494" s="16"/>
      <c r="Y494" s="3"/>
      <c r="Z494" s="18"/>
      <c r="AA494" s="3"/>
      <c r="AB494" s="16"/>
      <c r="AC494" s="16"/>
      <c r="AD494" s="16"/>
      <c r="AE494" s="9"/>
      <c r="AF494" s="16"/>
      <c r="AG494" s="16"/>
      <c r="AH494" s="16"/>
      <c r="AI494" s="16"/>
      <c r="AJ494" s="16"/>
      <c r="AK494" s="16"/>
      <c r="AL494" s="16"/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 spans="1:48" x14ac:dyDescent="0.25">
      <c r="A495" s="15">
        <f t="shared" ref="A495" si="1863">1+A491</f>
        <v>124</v>
      </c>
      <c r="B495" s="15"/>
      <c r="C495" s="2"/>
      <c r="D495" s="2"/>
      <c r="E495" s="24" t="str">
        <f t="shared" ref="E495" si="1864">+AQ495</f>
        <v/>
      </c>
      <c r="F495" s="30"/>
      <c r="G495" s="24" t="str">
        <f t="shared" ref="G495" si="1865">+AV495</f>
        <v>300100</v>
      </c>
      <c r="H495" s="16">
        <f t="shared" ref="H495" si="1866">+AK495</f>
        <v>0</v>
      </c>
      <c r="I495" s="16">
        <f t="shared" ref="I495" si="1867">+ROUND(AD495,2)</f>
        <v>0</v>
      </c>
      <c r="J495" s="2"/>
      <c r="K495" s="17">
        <f t="shared" ref="K495" si="1868">+AE495</f>
        <v>0</v>
      </c>
      <c r="L495" s="16">
        <f t="shared" ref="L495" si="1869">+AJ495</f>
        <v>0</v>
      </c>
      <c r="M495" s="32" t="s">
        <v>5</v>
      </c>
      <c r="N495" s="30"/>
      <c r="O495" s="2"/>
      <c r="P495" s="30"/>
      <c r="Q495" s="32" t="s">
        <v>0</v>
      </c>
      <c r="R495" s="24"/>
      <c r="S495" s="24" t="str">
        <f t="shared" ref="S495" si="1870">+RIGHT(O495,7)</f>
        <v/>
      </c>
      <c r="T495" s="2"/>
      <c r="U495" s="3" t="s">
        <v>1</v>
      </c>
      <c r="V495" s="3" t="s">
        <v>3</v>
      </c>
      <c r="W495" s="16">
        <f t="shared" ref="W495" si="1871">+AI495</f>
        <v>0</v>
      </c>
      <c r="X495" s="16">
        <f t="shared" ref="X495" si="1872">+AJ495</f>
        <v>0</v>
      </c>
      <c r="Y495" s="3" t="s">
        <v>4</v>
      </c>
      <c r="Z495" s="18">
        <f t="shared" ref="Z495" si="1873">+F495</f>
        <v>0</v>
      </c>
      <c r="AA495" s="61"/>
      <c r="AB495" s="65"/>
      <c r="AC495" s="16">
        <f>+AB495*0.18</f>
        <v>0</v>
      </c>
      <c r="AD495" s="16">
        <f>+AB495+AC495</f>
        <v>0</v>
      </c>
      <c r="AE495" s="68"/>
      <c r="AF495" s="16">
        <f t="shared" ref="AF495" si="1874">+AB495*AE495</f>
        <v>0</v>
      </c>
      <c r="AG495" s="16">
        <f t="shared" ref="AG495" si="1875">+AC495*AE495</f>
        <v>0</v>
      </c>
      <c r="AH495" s="16">
        <f t="shared" ref="AH495" si="1876">+AD495*AE495</f>
        <v>0</v>
      </c>
      <c r="AI495" s="16">
        <f t="shared" ref="AI495" si="1877">+ROUND(AF495,2)</f>
        <v>0</v>
      </c>
      <c r="AJ495" s="16">
        <f t="shared" ref="AJ495" si="1878">+ROUND(AG495,2)</f>
        <v>0</v>
      </c>
      <c r="AK495" s="16">
        <f t="shared" ref="AK495" si="1879">+AI495+AJ495</f>
        <v>0</v>
      </c>
      <c r="AL495" s="16">
        <f t="shared" ref="AL495" si="1880">+AI495+AJ495-AK495</f>
        <v>0</v>
      </c>
      <c r="AM495" s="44"/>
      <c r="AN495" s="41" t="str">
        <f t="shared" ref="AN495" si="1881">+LEFT(AM495,2)</f>
        <v/>
      </c>
      <c r="AO495" s="41" t="str">
        <f t="shared" ref="AO495" si="1882">+MID(AM495,4,2)</f>
        <v/>
      </c>
      <c r="AP495" s="41" t="str">
        <f t="shared" ref="AP495" si="1883">+RIGHT(AM495,2)</f>
        <v/>
      </c>
      <c r="AQ495" s="41" t="str">
        <f t="shared" ref="AQ495" si="1884">+CONCATENATE(AN495,AO495,AP495)</f>
        <v/>
      </c>
      <c r="AR495" s="45">
        <f t="shared" ref="AR495" si="1885">+AM495+30</f>
        <v>30</v>
      </c>
      <c r="AS495" s="46">
        <f t="shared" ref="AS495" si="1886">+DAY(AR495)</f>
        <v>30</v>
      </c>
      <c r="AT495" s="41">
        <f t="shared" ref="AT495" si="1887">+MONTH(AR495)</f>
        <v>1</v>
      </c>
      <c r="AU495" s="41">
        <f t="shared" ref="AU495" si="1888">+YEAR(AR495)</f>
        <v>1900</v>
      </c>
      <c r="AV495" s="41" t="str">
        <f t="shared" ref="AV495" si="1889">+CONCATENATE(TEXT(AS495,"00"),TEXT(AT495,"00"),RIGHT(AU495,2))</f>
        <v>300100</v>
      </c>
    </row>
    <row r="496" spans="1:48" hidden="1" x14ac:dyDescent="0.25">
      <c r="A496" s="31"/>
      <c r="B496" s="31"/>
      <c r="C496" s="3"/>
      <c r="D496" s="3"/>
      <c r="E496" s="2"/>
      <c r="F496" s="3"/>
      <c r="G496" s="3"/>
      <c r="H496" s="16"/>
      <c r="I496" s="16"/>
      <c r="J496" s="3"/>
      <c r="K496" s="17"/>
      <c r="L496" s="16"/>
      <c r="M496" s="3"/>
      <c r="N496" s="3"/>
      <c r="O496" s="2"/>
      <c r="P496" s="3" t="s">
        <v>54</v>
      </c>
      <c r="Q496" s="3"/>
      <c r="R496" s="3"/>
      <c r="S496" s="16"/>
      <c r="T496" s="3"/>
      <c r="U496" s="3"/>
      <c r="V496" s="3"/>
      <c r="W496" s="16"/>
      <c r="X496" s="16"/>
      <c r="Y496" s="3"/>
      <c r="Z496" s="18"/>
      <c r="AA496" s="3"/>
      <c r="AB496" s="16"/>
      <c r="AC496" s="16"/>
      <c r="AD496" s="16"/>
      <c r="AE496" s="9"/>
      <c r="AF496" s="16"/>
      <c r="AG496" s="16"/>
      <c r="AH496" s="16"/>
      <c r="AI496" s="16"/>
      <c r="AJ496" s="16"/>
      <c r="AK496" s="16"/>
      <c r="AL496" s="16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 spans="1:48" hidden="1" x14ac:dyDescent="0.25">
      <c r="A497" s="31"/>
      <c r="B497" s="31"/>
      <c r="C497" s="3"/>
      <c r="D497" s="3"/>
      <c r="E497" s="2"/>
      <c r="F497" s="3"/>
      <c r="G497" s="3"/>
      <c r="H497" s="16"/>
      <c r="I497" s="16"/>
      <c r="J497" s="3"/>
      <c r="K497" s="17"/>
      <c r="L497" s="16"/>
      <c r="M497" s="3"/>
      <c r="N497" s="3"/>
      <c r="O497" s="2"/>
      <c r="P497" s="3" t="s">
        <v>54</v>
      </c>
      <c r="Q497" s="3"/>
      <c r="R497" s="3"/>
      <c r="S497" s="16"/>
      <c r="T497" s="3"/>
      <c r="U497" s="3"/>
      <c r="V497" s="3"/>
      <c r="W497" s="16"/>
      <c r="X497" s="16"/>
      <c r="Y497" s="3"/>
      <c r="Z497" s="18"/>
      <c r="AA497" s="3"/>
      <c r="AB497" s="16"/>
      <c r="AC497" s="16"/>
      <c r="AD497" s="16"/>
      <c r="AE497" s="9"/>
      <c r="AF497" s="16"/>
      <c r="AG497" s="16"/>
      <c r="AH497" s="16"/>
      <c r="AI497" s="16"/>
      <c r="AJ497" s="16"/>
      <c r="AK497" s="16"/>
      <c r="AL497" s="16"/>
      <c r="AM497" s="3"/>
      <c r="AN497" s="3"/>
      <c r="AO497" s="3"/>
      <c r="AP497" s="3"/>
      <c r="AQ497" s="3"/>
      <c r="AR497" s="3"/>
      <c r="AS497" s="3"/>
      <c r="AT497" s="3"/>
      <c r="AU497" s="3"/>
      <c r="AV497" s="3"/>
    </row>
    <row r="498" spans="1:48" hidden="1" x14ac:dyDescent="0.25">
      <c r="A498" s="31"/>
      <c r="B498" s="31"/>
      <c r="C498" s="3"/>
      <c r="D498" s="3"/>
      <c r="E498" s="2"/>
      <c r="F498" s="3"/>
      <c r="G498" s="3"/>
      <c r="H498" s="16"/>
      <c r="I498" s="16"/>
      <c r="J498" s="3"/>
      <c r="K498" s="17"/>
      <c r="L498" s="16"/>
      <c r="M498" s="3"/>
      <c r="N498" s="3"/>
      <c r="O498" s="2"/>
      <c r="P498" s="3" t="s">
        <v>54</v>
      </c>
      <c r="Q498" s="3"/>
      <c r="R498" s="3"/>
      <c r="S498" s="16"/>
      <c r="T498" s="3"/>
      <c r="U498" s="3"/>
      <c r="V498" s="3"/>
      <c r="W498" s="16"/>
      <c r="X498" s="16"/>
      <c r="Y498" s="3"/>
      <c r="Z498" s="18"/>
      <c r="AA498" s="3"/>
      <c r="AB498" s="16"/>
      <c r="AC498" s="16"/>
      <c r="AD498" s="16"/>
      <c r="AE498" s="9"/>
      <c r="AF498" s="16"/>
      <c r="AG498" s="16"/>
      <c r="AH498" s="16"/>
      <c r="AI498" s="16"/>
      <c r="AJ498" s="16"/>
      <c r="AK498" s="16"/>
      <c r="AL498" s="16"/>
      <c r="AM498" s="3"/>
      <c r="AN498" s="3"/>
      <c r="AO498" s="3"/>
      <c r="AP498" s="3"/>
      <c r="AQ498" s="3"/>
      <c r="AR498" s="3"/>
      <c r="AS498" s="3"/>
      <c r="AT498" s="3"/>
      <c r="AU498" s="3"/>
      <c r="AV498" s="3"/>
    </row>
    <row r="499" spans="1:48" x14ac:dyDescent="0.25">
      <c r="A499" s="15">
        <f t="shared" ref="A499" si="1890">1+A495</f>
        <v>125</v>
      </c>
      <c r="B499" s="15"/>
      <c r="C499" s="2"/>
      <c r="D499" s="2"/>
      <c r="E499" s="24" t="str">
        <f t="shared" ref="E499" si="1891">+AQ499</f>
        <v/>
      </c>
      <c r="F499" s="30"/>
      <c r="G499" s="24" t="str">
        <f t="shared" ref="G499" si="1892">+AV499</f>
        <v>300100</v>
      </c>
      <c r="H499" s="16">
        <f t="shared" ref="H499" si="1893">+AK499</f>
        <v>0</v>
      </c>
      <c r="I499" s="16">
        <f t="shared" ref="I499" si="1894">+ROUND(AD499,2)</f>
        <v>0</v>
      </c>
      <c r="J499" s="2"/>
      <c r="K499" s="17">
        <f t="shared" ref="K499" si="1895">+AE499</f>
        <v>0</v>
      </c>
      <c r="L499" s="16">
        <f t="shared" ref="L499" si="1896">+AJ499</f>
        <v>0</v>
      </c>
      <c r="M499" s="32" t="s">
        <v>5</v>
      </c>
      <c r="N499" s="30"/>
      <c r="O499" s="2"/>
      <c r="P499" s="30"/>
      <c r="Q499" s="32" t="s">
        <v>0</v>
      </c>
      <c r="R499" s="24"/>
      <c r="S499" s="24" t="str">
        <f t="shared" ref="S499" si="1897">+RIGHT(O499,7)</f>
        <v/>
      </c>
      <c r="T499" s="2"/>
      <c r="U499" s="3" t="s">
        <v>1</v>
      </c>
      <c r="V499" s="3" t="s">
        <v>3</v>
      </c>
      <c r="W499" s="16">
        <f t="shared" ref="W499" si="1898">+AI499</f>
        <v>0</v>
      </c>
      <c r="X499" s="16">
        <f t="shared" ref="X499" si="1899">+AJ499</f>
        <v>0</v>
      </c>
      <c r="Y499" s="3" t="s">
        <v>4</v>
      </c>
      <c r="Z499" s="18">
        <f t="shared" ref="Z499" si="1900">+F499</f>
        <v>0</v>
      </c>
      <c r="AA499" s="61"/>
      <c r="AB499" s="65"/>
      <c r="AC499" s="16">
        <f>+AB499*0.18</f>
        <v>0</v>
      </c>
      <c r="AD499" s="16">
        <f>+AB499+AC499</f>
        <v>0</v>
      </c>
      <c r="AE499" s="68"/>
      <c r="AF499" s="16">
        <f t="shared" ref="AF499" si="1901">+AB499*AE499</f>
        <v>0</v>
      </c>
      <c r="AG499" s="16">
        <f t="shared" ref="AG499" si="1902">+AC499*AE499</f>
        <v>0</v>
      </c>
      <c r="AH499" s="16">
        <f t="shared" ref="AH499" si="1903">+AD499*AE499</f>
        <v>0</v>
      </c>
      <c r="AI499" s="16">
        <f t="shared" ref="AI499" si="1904">+ROUND(AF499,2)</f>
        <v>0</v>
      </c>
      <c r="AJ499" s="16">
        <f t="shared" ref="AJ499" si="1905">+ROUND(AG499,2)</f>
        <v>0</v>
      </c>
      <c r="AK499" s="16">
        <f t="shared" ref="AK499" si="1906">+AI499+AJ499</f>
        <v>0</v>
      </c>
      <c r="AL499" s="16">
        <f t="shared" ref="AL499" si="1907">+AI499+AJ499-AK499</f>
        <v>0</v>
      </c>
      <c r="AM499" s="44"/>
      <c r="AN499" s="41" t="str">
        <f t="shared" ref="AN499" si="1908">+LEFT(AM499,2)</f>
        <v/>
      </c>
      <c r="AO499" s="41" t="str">
        <f t="shared" ref="AO499" si="1909">+MID(AM499,4,2)</f>
        <v/>
      </c>
      <c r="AP499" s="41" t="str">
        <f t="shared" ref="AP499" si="1910">+RIGHT(AM499,2)</f>
        <v/>
      </c>
      <c r="AQ499" s="41" t="str">
        <f t="shared" ref="AQ499" si="1911">+CONCATENATE(AN499,AO499,AP499)</f>
        <v/>
      </c>
      <c r="AR499" s="45">
        <f t="shared" ref="AR499" si="1912">+AM499+30</f>
        <v>30</v>
      </c>
      <c r="AS499" s="46">
        <f t="shared" ref="AS499" si="1913">+DAY(AR499)</f>
        <v>30</v>
      </c>
      <c r="AT499" s="41">
        <f t="shared" ref="AT499" si="1914">+MONTH(AR499)</f>
        <v>1</v>
      </c>
      <c r="AU499" s="41">
        <f t="shared" ref="AU499" si="1915">+YEAR(AR499)</f>
        <v>1900</v>
      </c>
      <c r="AV499" s="41" t="str">
        <f t="shared" ref="AV499" si="1916">+CONCATENATE(TEXT(AS499,"00"),TEXT(AT499,"00"),RIGHT(AU499,2))</f>
        <v>300100</v>
      </c>
    </row>
    <row r="500" spans="1:48" hidden="1" x14ac:dyDescent="0.25">
      <c r="A500" s="31"/>
      <c r="B500" s="31"/>
      <c r="C500" s="3"/>
      <c r="D500" s="3"/>
      <c r="E500" s="2"/>
      <c r="F500" s="3"/>
      <c r="G500" s="3"/>
      <c r="H500" s="16"/>
      <c r="I500" s="16"/>
      <c r="J500" s="3"/>
      <c r="K500" s="17"/>
      <c r="L500" s="16"/>
      <c r="M500" s="3"/>
      <c r="N500" s="3"/>
      <c r="O500" s="2"/>
      <c r="P500" s="3" t="s">
        <v>54</v>
      </c>
      <c r="Q500" s="3"/>
      <c r="R500" s="3"/>
      <c r="S500" s="16"/>
      <c r="T500" s="3"/>
      <c r="U500" s="3"/>
      <c r="V500" s="3"/>
      <c r="W500" s="16"/>
      <c r="X500" s="16"/>
      <c r="Y500" s="3"/>
      <c r="Z500" s="18"/>
      <c r="AA500" s="3"/>
      <c r="AB500" s="16"/>
      <c r="AC500" s="16"/>
      <c r="AD500" s="16"/>
      <c r="AE500" s="9"/>
      <c r="AF500" s="16"/>
      <c r="AG500" s="16"/>
      <c r="AH500" s="16"/>
      <c r="AI500" s="16"/>
      <c r="AJ500" s="16"/>
      <c r="AK500" s="16"/>
      <c r="AL500" s="16"/>
      <c r="AM500" s="3"/>
      <c r="AN500" s="3"/>
      <c r="AO500" s="3"/>
      <c r="AP500" s="3"/>
      <c r="AQ500" s="3"/>
      <c r="AR500" s="3"/>
      <c r="AS500" s="3"/>
      <c r="AT500" s="3"/>
      <c r="AU500" s="3"/>
      <c r="AV500" s="3"/>
    </row>
    <row r="501" spans="1:48" hidden="1" x14ac:dyDescent="0.25">
      <c r="A501" s="31"/>
      <c r="B501" s="31"/>
      <c r="C501" s="3"/>
      <c r="D501" s="3"/>
      <c r="E501" s="2"/>
      <c r="F501" s="3"/>
      <c r="G501" s="3"/>
      <c r="H501" s="16"/>
      <c r="I501" s="16"/>
      <c r="J501" s="3"/>
      <c r="K501" s="17"/>
      <c r="L501" s="16"/>
      <c r="M501" s="3"/>
      <c r="N501" s="3"/>
      <c r="O501" s="2"/>
      <c r="P501" s="3" t="s">
        <v>54</v>
      </c>
      <c r="Q501" s="3"/>
      <c r="R501" s="3"/>
      <c r="S501" s="16"/>
      <c r="T501" s="3"/>
      <c r="U501" s="3"/>
      <c r="V501" s="3"/>
      <c r="W501" s="16"/>
      <c r="X501" s="16"/>
      <c r="Y501" s="3"/>
      <c r="Z501" s="18"/>
      <c r="AA501" s="3"/>
      <c r="AB501" s="16"/>
      <c r="AC501" s="16"/>
      <c r="AD501" s="16"/>
      <c r="AE501" s="9"/>
      <c r="AF501" s="16"/>
      <c r="AG501" s="16"/>
      <c r="AH501" s="16"/>
      <c r="AI501" s="16"/>
      <c r="AJ501" s="16"/>
      <c r="AK501" s="16"/>
      <c r="AL501" s="16"/>
      <c r="AM501" s="3"/>
      <c r="AN501" s="3"/>
      <c r="AO501" s="3"/>
      <c r="AP501" s="3"/>
      <c r="AQ501" s="3"/>
      <c r="AR501" s="3"/>
      <c r="AS501" s="3"/>
      <c r="AT501" s="3"/>
      <c r="AU501" s="3"/>
      <c r="AV501" s="3"/>
    </row>
    <row r="502" spans="1:48" hidden="1" x14ac:dyDescent="0.25">
      <c r="A502" s="31"/>
      <c r="B502" s="31"/>
      <c r="C502" s="3"/>
      <c r="D502" s="3"/>
      <c r="E502" s="2"/>
      <c r="F502" s="3"/>
      <c r="G502" s="3"/>
      <c r="H502" s="16"/>
      <c r="I502" s="16"/>
      <c r="J502" s="3"/>
      <c r="K502" s="17"/>
      <c r="L502" s="16"/>
      <c r="M502" s="3"/>
      <c r="N502" s="3"/>
      <c r="O502" s="2"/>
      <c r="P502" s="3" t="s">
        <v>54</v>
      </c>
      <c r="Q502" s="3"/>
      <c r="R502" s="3"/>
      <c r="S502" s="16"/>
      <c r="T502" s="3"/>
      <c r="U502" s="3"/>
      <c r="V502" s="3"/>
      <c r="W502" s="16"/>
      <c r="X502" s="16"/>
      <c r="Y502" s="3"/>
      <c r="Z502" s="18"/>
      <c r="AA502" s="3"/>
      <c r="AB502" s="16"/>
      <c r="AC502" s="16"/>
      <c r="AD502" s="16"/>
      <c r="AE502" s="9"/>
      <c r="AF502" s="16"/>
      <c r="AG502" s="16"/>
      <c r="AH502" s="16"/>
      <c r="AI502" s="16"/>
      <c r="AJ502" s="16"/>
      <c r="AK502" s="16"/>
      <c r="AL502" s="16"/>
      <c r="AM502" s="3"/>
      <c r="AN502" s="3"/>
      <c r="AO502" s="3"/>
      <c r="AP502" s="3"/>
      <c r="AQ502" s="3"/>
      <c r="AR502" s="3"/>
      <c r="AS502" s="3"/>
      <c r="AT502" s="3"/>
      <c r="AU502" s="3"/>
      <c r="AV502" s="3"/>
    </row>
    <row r="503" spans="1:48" x14ac:dyDescent="0.25">
      <c r="A503" s="15">
        <f t="shared" ref="A503" si="1917">1+A499</f>
        <v>126</v>
      </c>
      <c r="B503" s="15"/>
      <c r="C503" s="2"/>
      <c r="D503" s="2"/>
      <c r="E503" s="24" t="str">
        <f t="shared" ref="E503" si="1918">+AQ503</f>
        <v/>
      </c>
      <c r="F503" s="30"/>
      <c r="G503" s="24" t="str">
        <f t="shared" ref="G503" si="1919">+AV503</f>
        <v>300100</v>
      </c>
      <c r="H503" s="16">
        <f t="shared" ref="H503" si="1920">+AK503</f>
        <v>0</v>
      </c>
      <c r="I503" s="16">
        <f t="shared" ref="I503" si="1921">+ROUND(AD503,2)</f>
        <v>0</v>
      </c>
      <c r="J503" s="2"/>
      <c r="K503" s="17">
        <f t="shared" ref="K503" si="1922">+AE503</f>
        <v>0</v>
      </c>
      <c r="L503" s="16">
        <f t="shared" ref="L503" si="1923">+AJ503</f>
        <v>0</v>
      </c>
      <c r="M503" s="32" t="s">
        <v>5</v>
      </c>
      <c r="N503" s="30"/>
      <c r="O503" s="2"/>
      <c r="P503" s="30"/>
      <c r="Q503" s="32" t="s">
        <v>0</v>
      </c>
      <c r="R503" s="24"/>
      <c r="S503" s="24" t="str">
        <f t="shared" ref="S503" si="1924">+RIGHT(O503,7)</f>
        <v/>
      </c>
      <c r="T503" s="2"/>
      <c r="U503" s="3" t="s">
        <v>1</v>
      </c>
      <c r="V503" s="3" t="s">
        <v>3</v>
      </c>
      <c r="W503" s="16">
        <f t="shared" ref="W503" si="1925">+AI503</f>
        <v>0</v>
      </c>
      <c r="X503" s="16">
        <f t="shared" ref="X503" si="1926">+AJ503</f>
        <v>0</v>
      </c>
      <c r="Y503" s="3" t="s">
        <v>4</v>
      </c>
      <c r="Z503" s="18">
        <f t="shared" ref="Z503" si="1927">+F503</f>
        <v>0</v>
      </c>
      <c r="AA503" s="61"/>
      <c r="AB503" s="65"/>
      <c r="AC503" s="16">
        <f>+AB503*0.18</f>
        <v>0</v>
      </c>
      <c r="AD503" s="16">
        <f>+AB503+AC503</f>
        <v>0</v>
      </c>
      <c r="AE503" s="68"/>
      <c r="AF503" s="16">
        <f t="shared" ref="AF503" si="1928">+AB503*AE503</f>
        <v>0</v>
      </c>
      <c r="AG503" s="16">
        <f t="shared" ref="AG503" si="1929">+AC503*AE503</f>
        <v>0</v>
      </c>
      <c r="AH503" s="16">
        <f t="shared" ref="AH503" si="1930">+AD503*AE503</f>
        <v>0</v>
      </c>
      <c r="AI503" s="16">
        <f t="shared" ref="AI503" si="1931">+ROUND(AF503,2)</f>
        <v>0</v>
      </c>
      <c r="AJ503" s="16">
        <f t="shared" ref="AJ503" si="1932">+ROUND(AG503,2)</f>
        <v>0</v>
      </c>
      <c r="AK503" s="16">
        <f t="shared" ref="AK503" si="1933">+AI503+AJ503</f>
        <v>0</v>
      </c>
      <c r="AL503" s="16">
        <f t="shared" ref="AL503" si="1934">+AI503+AJ503-AK503</f>
        <v>0</v>
      </c>
      <c r="AM503" s="44"/>
      <c r="AN503" s="41" t="str">
        <f t="shared" ref="AN503" si="1935">+LEFT(AM503,2)</f>
        <v/>
      </c>
      <c r="AO503" s="41" t="str">
        <f t="shared" ref="AO503" si="1936">+MID(AM503,4,2)</f>
        <v/>
      </c>
      <c r="AP503" s="41" t="str">
        <f t="shared" ref="AP503" si="1937">+RIGHT(AM503,2)</f>
        <v/>
      </c>
      <c r="AQ503" s="41" t="str">
        <f t="shared" ref="AQ503" si="1938">+CONCATENATE(AN503,AO503,AP503)</f>
        <v/>
      </c>
      <c r="AR503" s="45">
        <f t="shared" ref="AR503" si="1939">+AM503+30</f>
        <v>30</v>
      </c>
      <c r="AS503" s="46">
        <f t="shared" ref="AS503" si="1940">+DAY(AR503)</f>
        <v>30</v>
      </c>
      <c r="AT503" s="41">
        <f t="shared" ref="AT503" si="1941">+MONTH(AR503)</f>
        <v>1</v>
      </c>
      <c r="AU503" s="41">
        <f t="shared" ref="AU503" si="1942">+YEAR(AR503)</f>
        <v>1900</v>
      </c>
      <c r="AV503" s="41" t="str">
        <f t="shared" ref="AV503" si="1943">+CONCATENATE(TEXT(AS503,"00"),TEXT(AT503,"00"),RIGHT(AU503,2))</f>
        <v>300100</v>
      </c>
    </row>
    <row r="504" spans="1:48" hidden="1" x14ac:dyDescent="0.25">
      <c r="A504" s="31"/>
      <c r="B504" s="31"/>
      <c r="C504" s="3"/>
      <c r="D504" s="3"/>
      <c r="E504" s="2"/>
      <c r="F504" s="3"/>
      <c r="G504" s="3"/>
      <c r="H504" s="16"/>
      <c r="I504" s="16"/>
      <c r="J504" s="3"/>
      <c r="K504" s="17"/>
      <c r="L504" s="16"/>
      <c r="M504" s="3"/>
      <c r="N504" s="3"/>
      <c r="O504" s="2"/>
      <c r="P504" s="3" t="s">
        <v>54</v>
      </c>
      <c r="Q504" s="3"/>
      <c r="R504" s="3"/>
      <c r="S504" s="16"/>
      <c r="T504" s="3"/>
      <c r="U504" s="3"/>
      <c r="V504" s="3"/>
      <c r="W504" s="16"/>
      <c r="X504" s="16"/>
      <c r="Y504" s="3"/>
      <c r="Z504" s="18"/>
      <c r="AA504" s="3"/>
      <c r="AB504" s="16"/>
      <c r="AC504" s="16"/>
      <c r="AD504" s="16"/>
      <c r="AE504" s="9"/>
      <c r="AF504" s="16"/>
      <c r="AG504" s="16"/>
      <c r="AH504" s="16"/>
      <c r="AI504" s="16"/>
      <c r="AJ504" s="16"/>
      <c r="AK504" s="16"/>
      <c r="AL504" s="16"/>
      <c r="AM504" s="3"/>
      <c r="AN504" s="3"/>
      <c r="AO504" s="3"/>
      <c r="AP504" s="3"/>
      <c r="AQ504" s="3"/>
      <c r="AR504" s="3"/>
      <c r="AS504" s="3"/>
      <c r="AT504" s="3"/>
      <c r="AU504" s="3"/>
      <c r="AV504" s="3"/>
    </row>
    <row r="505" spans="1:48" hidden="1" x14ac:dyDescent="0.25">
      <c r="A505" s="31"/>
      <c r="B505" s="31"/>
      <c r="C505" s="3"/>
      <c r="D505" s="3"/>
      <c r="E505" s="2"/>
      <c r="F505" s="3"/>
      <c r="G505" s="3"/>
      <c r="H505" s="16"/>
      <c r="I505" s="16"/>
      <c r="J505" s="3"/>
      <c r="K505" s="17"/>
      <c r="L505" s="16"/>
      <c r="M505" s="3"/>
      <c r="N505" s="3"/>
      <c r="O505" s="2"/>
      <c r="P505" s="3" t="s">
        <v>54</v>
      </c>
      <c r="Q505" s="3"/>
      <c r="R505" s="3"/>
      <c r="S505" s="16"/>
      <c r="T505" s="3"/>
      <c r="U505" s="3"/>
      <c r="V505" s="3"/>
      <c r="W505" s="16"/>
      <c r="X505" s="16"/>
      <c r="Y505" s="3"/>
      <c r="Z505" s="18"/>
      <c r="AA505" s="3"/>
      <c r="AB505" s="16"/>
      <c r="AC505" s="16"/>
      <c r="AD505" s="16"/>
      <c r="AE505" s="9"/>
      <c r="AF505" s="16"/>
      <c r="AG505" s="16"/>
      <c r="AH505" s="16"/>
      <c r="AI505" s="16"/>
      <c r="AJ505" s="16"/>
      <c r="AK505" s="16"/>
      <c r="AL505" s="16"/>
      <c r="AM505" s="3"/>
      <c r="AN505" s="3"/>
      <c r="AO505" s="3"/>
      <c r="AP505" s="3"/>
      <c r="AQ505" s="3"/>
      <c r="AR505" s="3"/>
      <c r="AS505" s="3"/>
      <c r="AT505" s="3"/>
      <c r="AU505" s="3"/>
      <c r="AV505" s="3"/>
    </row>
    <row r="506" spans="1:48" hidden="1" x14ac:dyDescent="0.25">
      <c r="A506" s="31"/>
      <c r="B506" s="31"/>
      <c r="C506" s="3"/>
      <c r="D506" s="3"/>
      <c r="E506" s="2"/>
      <c r="F506" s="3"/>
      <c r="G506" s="3"/>
      <c r="H506" s="16"/>
      <c r="I506" s="16"/>
      <c r="J506" s="3"/>
      <c r="K506" s="17"/>
      <c r="L506" s="16"/>
      <c r="M506" s="3"/>
      <c r="N506" s="3"/>
      <c r="O506" s="2"/>
      <c r="P506" s="3" t="s">
        <v>54</v>
      </c>
      <c r="Q506" s="3"/>
      <c r="R506" s="3"/>
      <c r="S506" s="16"/>
      <c r="T506" s="3"/>
      <c r="U506" s="3"/>
      <c r="V506" s="3"/>
      <c r="W506" s="16"/>
      <c r="X506" s="16"/>
      <c r="Y506" s="3"/>
      <c r="Z506" s="18"/>
      <c r="AA506" s="3"/>
      <c r="AB506" s="16"/>
      <c r="AC506" s="16"/>
      <c r="AD506" s="16"/>
      <c r="AE506" s="9"/>
      <c r="AF506" s="16"/>
      <c r="AG506" s="16"/>
      <c r="AH506" s="16"/>
      <c r="AI506" s="16"/>
      <c r="AJ506" s="16"/>
      <c r="AK506" s="16"/>
      <c r="AL506" s="16"/>
      <c r="AM506" s="3"/>
      <c r="AN506" s="3"/>
      <c r="AO506" s="3"/>
      <c r="AP506" s="3"/>
      <c r="AQ506" s="3"/>
      <c r="AR506" s="3"/>
      <c r="AS506" s="3"/>
      <c r="AT506" s="3"/>
      <c r="AU506" s="3"/>
      <c r="AV506" s="3"/>
    </row>
    <row r="507" spans="1:48" x14ac:dyDescent="0.25">
      <c r="A507" s="15">
        <f t="shared" ref="A507" si="1944">1+A503</f>
        <v>127</v>
      </c>
      <c r="B507" s="15"/>
      <c r="C507" s="2"/>
      <c r="D507" s="2"/>
      <c r="E507" s="24" t="str">
        <f t="shared" ref="E507" si="1945">+AQ507</f>
        <v/>
      </c>
      <c r="F507" s="30"/>
      <c r="G507" s="24" t="str">
        <f t="shared" ref="G507" si="1946">+AV507</f>
        <v>300100</v>
      </c>
      <c r="H507" s="16">
        <f t="shared" ref="H507" si="1947">+AK507</f>
        <v>0</v>
      </c>
      <c r="I507" s="16">
        <f t="shared" ref="I507" si="1948">+ROUND(AD507,2)</f>
        <v>0</v>
      </c>
      <c r="J507" s="2"/>
      <c r="K507" s="17">
        <f t="shared" ref="K507" si="1949">+AE507</f>
        <v>0</v>
      </c>
      <c r="L507" s="16">
        <f t="shared" ref="L507" si="1950">+AJ507</f>
        <v>0</v>
      </c>
      <c r="M507" s="32" t="s">
        <v>5</v>
      </c>
      <c r="N507" s="30"/>
      <c r="O507" s="2"/>
      <c r="P507" s="30"/>
      <c r="Q507" s="32" t="s">
        <v>0</v>
      </c>
      <c r="R507" s="24"/>
      <c r="S507" s="24" t="str">
        <f t="shared" ref="S507" si="1951">+RIGHT(O507,7)</f>
        <v/>
      </c>
      <c r="T507" s="2"/>
      <c r="U507" s="3" t="s">
        <v>1</v>
      </c>
      <c r="V507" s="3" t="s">
        <v>3</v>
      </c>
      <c r="W507" s="16">
        <f t="shared" ref="W507" si="1952">+AI507</f>
        <v>0</v>
      </c>
      <c r="X507" s="16">
        <f t="shared" ref="X507" si="1953">+AJ507</f>
        <v>0</v>
      </c>
      <c r="Y507" s="3" t="s">
        <v>4</v>
      </c>
      <c r="Z507" s="18">
        <f t="shared" ref="Z507" si="1954">+F507</f>
        <v>0</v>
      </c>
      <c r="AA507" s="61"/>
      <c r="AB507" s="65"/>
      <c r="AC507" s="16">
        <f>+AB507*0.18</f>
        <v>0</v>
      </c>
      <c r="AD507" s="16">
        <f>+AB507+AC507</f>
        <v>0</v>
      </c>
      <c r="AE507" s="68"/>
      <c r="AF507" s="16">
        <f t="shared" ref="AF507" si="1955">+AB507*AE507</f>
        <v>0</v>
      </c>
      <c r="AG507" s="16">
        <f t="shared" ref="AG507" si="1956">+AC507*AE507</f>
        <v>0</v>
      </c>
      <c r="AH507" s="16">
        <f t="shared" ref="AH507" si="1957">+AD507*AE507</f>
        <v>0</v>
      </c>
      <c r="AI507" s="16">
        <f t="shared" ref="AI507" si="1958">+ROUND(AF507,2)</f>
        <v>0</v>
      </c>
      <c r="AJ507" s="16">
        <f t="shared" ref="AJ507" si="1959">+ROUND(AG507,2)</f>
        <v>0</v>
      </c>
      <c r="AK507" s="16">
        <f t="shared" ref="AK507" si="1960">+AI507+AJ507</f>
        <v>0</v>
      </c>
      <c r="AL507" s="16">
        <f t="shared" ref="AL507" si="1961">+AI507+AJ507-AK507</f>
        <v>0</v>
      </c>
      <c r="AM507" s="44"/>
      <c r="AN507" s="41" t="str">
        <f t="shared" ref="AN507" si="1962">+LEFT(AM507,2)</f>
        <v/>
      </c>
      <c r="AO507" s="41" t="str">
        <f t="shared" ref="AO507" si="1963">+MID(AM507,4,2)</f>
        <v/>
      </c>
      <c r="AP507" s="41" t="str">
        <f t="shared" ref="AP507" si="1964">+RIGHT(AM507,2)</f>
        <v/>
      </c>
      <c r="AQ507" s="41" t="str">
        <f t="shared" ref="AQ507" si="1965">+CONCATENATE(AN507,AO507,AP507)</f>
        <v/>
      </c>
      <c r="AR507" s="45">
        <f t="shared" ref="AR507" si="1966">+AM507+30</f>
        <v>30</v>
      </c>
      <c r="AS507" s="46">
        <f t="shared" ref="AS507" si="1967">+DAY(AR507)</f>
        <v>30</v>
      </c>
      <c r="AT507" s="41">
        <f t="shared" ref="AT507" si="1968">+MONTH(AR507)</f>
        <v>1</v>
      </c>
      <c r="AU507" s="41">
        <f t="shared" ref="AU507" si="1969">+YEAR(AR507)</f>
        <v>1900</v>
      </c>
      <c r="AV507" s="41" t="str">
        <f t="shared" ref="AV507" si="1970">+CONCATENATE(TEXT(AS507,"00"),TEXT(AT507,"00"),RIGHT(AU507,2))</f>
        <v>300100</v>
      </c>
    </row>
    <row r="508" spans="1:48" hidden="1" x14ac:dyDescent="0.25">
      <c r="A508" s="31"/>
      <c r="B508" s="31"/>
      <c r="C508" s="3"/>
      <c r="D508" s="3"/>
      <c r="E508" s="2"/>
      <c r="F508" s="3"/>
      <c r="G508" s="3"/>
      <c r="H508" s="16"/>
      <c r="I508" s="16"/>
      <c r="J508" s="3"/>
      <c r="K508" s="17"/>
      <c r="L508" s="16"/>
      <c r="M508" s="3"/>
      <c r="N508" s="3"/>
      <c r="O508" s="2"/>
      <c r="P508" s="3" t="s">
        <v>54</v>
      </c>
      <c r="Q508" s="3"/>
      <c r="R508" s="3"/>
      <c r="S508" s="16"/>
      <c r="T508" s="3"/>
      <c r="U508" s="3"/>
      <c r="V508" s="3"/>
      <c r="W508" s="16"/>
      <c r="X508" s="16"/>
      <c r="Y508" s="3"/>
      <c r="Z508" s="18"/>
      <c r="AA508" s="3"/>
      <c r="AB508" s="16"/>
      <c r="AC508" s="16"/>
      <c r="AD508" s="16"/>
      <c r="AE508" s="9"/>
      <c r="AF508" s="16"/>
      <c r="AG508" s="16"/>
      <c r="AH508" s="16"/>
      <c r="AI508" s="16"/>
      <c r="AJ508" s="16"/>
      <c r="AK508" s="16"/>
      <c r="AL508" s="16"/>
      <c r="AM508" s="3"/>
      <c r="AN508" s="3"/>
      <c r="AO508" s="3"/>
      <c r="AP508" s="3"/>
      <c r="AQ508" s="3"/>
      <c r="AR508" s="3"/>
      <c r="AS508" s="3"/>
      <c r="AT508" s="3"/>
      <c r="AU508" s="3"/>
      <c r="AV508" s="3"/>
    </row>
    <row r="509" spans="1:48" hidden="1" x14ac:dyDescent="0.25">
      <c r="A509" s="31"/>
      <c r="B509" s="31"/>
      <c r="C509" s="3"/>
      <c r="D509" s="3"/>
      <c r="E509" s="2"/>
      <c r="F509" s="3"/>
      <c r="G509" s="3"/>
      <c r="H509" s="16"/>
      <c r="I509" s="16"/>
      <c r="J509" s="3"/>
      <c r="K509" s="17"/>
      <c r="L509" s="16"/>
      <c r="M509" s="3"/>
      <c r="N509" s="3"/>
      <c r="O509" s="2"/>
      <c r="P509" s="3" t="s">
        <v>54</v>
      </c>
      <c r="Q509" s="3"/>
      <c r="R509" s="3"/>
      <c r="S509" s="16"/>
      <c r="T509" s="3"/>
      <c r="U509" s="3"/>
      <c r="V509" s="3"/>
      <c r="W509" s="16"/>
      <c r="X509" s="16"/>
      <c r="Y509" s="3"/>
      <c r="Z509" s="18"/>
      <c r="AA509" s="3"/>
      <c r="AB509" s="16"/>
      <c r="AC509" s="16"/>
      <c r="AD509" s="16"/>
      <c r="AE509" s="9"/>
      <c r="AF509" s="16"/>
      <c r="AG509" s="16"/>
      <c r="AH509" s="16"/>
      <c r="AI509" s="16"/>
      <c r="AJ509" s="16"/>
      <c r="AK509" s="16"/>
      <c r="AL509" s="16"/>
      <c r="AM509" s="3"/>
      <c r="AN509" s="3"/>
      <c r="AO509" s="3"/>
      <c r="AP509" s="3"/>
      <c r="AQ509" s="3"/>
      <c r="AR509" s="3"/>
      <c r="AS509" s="3"/>
      <c r="AT509" s="3"/>
      <c r="AU509" s="3"/>
      <c r="AV509" s="3"/>
    </row>
    <row r="510" spans="1:48" hidden="1" x14ac:dyDescent="0.25">
      <c r="A510" s="31"/>
      <c r="B510" s="31"/>
      <c r="C510" s="3"/>
      <c r="D510" s="3"/>
      <c r="E510" s="2"/>
      <c r="F510" s="3"/>
      <c r="G510" s="3"/>
      <c r="H510" s="16"/>
      <c r="I510" s="16"/>
      <c r="J510" s="3"/>
      <c r="K510" s="17"/>
      <c r="L510" s="16"/>
      <c r="M510" s="3"/>
      <c r="N510" s="3"/>
      <c r="O510" s="2"/>
      <c r="P510" s="3" t="s">
        <v>54</v>
      </c>
      <c r="Q510" s="3"/>
      <c r="R510" s="3"/>
      <c r="S510" s="16"/>
      <c r="T510" s="3"/>
      <c r="U510" s="3"/>
      <c r="V510" s="3"/>
      <c r="W510" s="16"/>
      <c r="X510" s="16"/>
      <c r="Y510" s="3"/>
      <c r="Z510" s="18"/>
      <c r="AA510" s="3"/>
      <c r="AB510" s="16"/>
      <c r="AC510" s="16"/>
      <c r="AD510" s="16"/>
      <c r="AE510" s="9"/>
      <c r="AF510" s="16"/>
      <c r="AG510" s="16"/>
      <c r="AH510" s="16"/>
      <c r="AI510" s="16"/>
      <c r="AJ510" s="16"/>
      <c r="AK510" s="16"/>
      <c r="AL510" s="16"/>
      <c r="AM510" s="3"/>
      <c r="AN510" s="3"/>
      <c r="AO510" s="3"/>
      <c r="AP510" s="3"/>
      <c r="AQ510" s="3"/>
      <c r="AR510" s="3"/>
      <c r="AS510" s="3"/>
      <c r="AT510" s="3"/>
      <c r="AU510" s="3"/>
      <c r="AV510" s="3"/>
    </row>
    <row r="511" spans="1:48" x14ac:dyDescent="0.25">
      <c r="A511" s="15">
        <f t="shared" ref="A511" si="1971">1+A507</f>
        <v>128</v>
      </c>
      <c r="B511" s="15"/>
      <c r="C511" s="2"/>
      <c r="D511" s="2"/>
      <c r="E511" s="24" t="str">
        <f t="shared" ref="E511" si="1972">+AQ511</f>
        <v/>
      </c>
      <c r="F511" s="30"/>
      <c r="G511" s="24" t="str">
        <f t="shared" ref="G511" si="1973">+AV511</f>
        <v>300100</v>
      </c>
      <c r="H511" s="16">
        <f t="shared" ref="H511" si="1974">+AK511</f>
        <v>0</v>
      </c>
      <c r="I511" s="16">
        <f t="shared" ref="I511" si="1975">+ROUND(AD511,2)</f>
        <v>0</v>
      </c>
      <c r="J511" s="2"/>
      <c r="K511" s="17">
        <f t="shared" ref="K511" si="1976">+AE511</f>
        <v>0</v>
      </c>
      <c r="L511" s="16">
        <f t="shared" ref="L511" si="1977">+AJ511</f>
        <v>0</v>
      </c>
      <c r="M511" s="32" t="s">
        <v>5</v>
      </c>
      <c r="N511" s="30"/>
      <c r="O511" s="2"/>
      <c r="P511" s="30"/>
      <c r="Q511" s="32" t="s">
        <v>0</v>
      </c>
      <c r="R511" s="24"/>
      <c r="S511" s="24" t="str">
        <f t="shared" ref="S511" si="1978">+RIGHT(O511,7)</f>
        <v/>
      </c>
      <c r="T511" s="2"/>
      <c r="U511" s="3" t="s">
        <v>1</v>
      </c>
      <c r="V511" s="3" t="s">
        <v>3</v>
      </c>
      <c r="W511" s="16">
        <f t="shared" ref="W511" si="1979">+AI511</f>
        <v>0</v>
      </c>
      <c r="X511" s="16">
        <f t="shared" ref="X511" si="1980">+AJ511</f>
        <v>0</v>
      </c>
      <c r="Y511" s="3" t="s">
        <v>4</v>
      </c>
      <c r="Z511" s="18">
        <f t="shared" ref="Z511" si="1981">+F511</f>
        <v>0</v>
      </c>
      <c r="AA511" s="61"/>
      <c r="AB511" s="65"/>
      <c r="AC511" s="16">
        <f>+AB511*0.18</f>
        <v>0</v>
      </c>
      <c r="AD511" s="16">
        <f>+AB511+AC511</f>
        <v>0</v>
      </c>
      <c r="AE511" s="68"/>
      <c r="AF511" s="16">
        <f t="shared" ref="AF511" si="1982">+AB511*AE511</f>
        <v>0</v>
      </c>
      <c r="AG511" s="16">
        <f t="shared" ref="AG511" si="1983">+AC511*AE511</f>
        <v>0</v>
      </c>
      <c r="AH511" s="16">
        <f t="shared" ref="AH511" si="1984">+AD511*AE511</f>
        <v>0</v>
      </c>
      <c r="AI511" s="16">
        <f t="shared" ref="AI511" si="1985">+ROUND(AF511,2)</f>
        <v>0</v>
      </c>
      <c r="AJ511" s="16">
        <f t="shared" ref="AJ511" si="1986">+ROUND(AG511,2)</f>
        <v>0</v>
      </c>
      <c r="AK511" s="16">
        <f t="shared" ref="AK511" si="1987">+AI511+AJ511</f>
        <v>0</v>
      </c>
      <c r="AL511" s="16">
        <f t="shared" ref="AL511" si="1988">+AI511+AJ511-AK511</f>
        <v>0</v>
      </c>
      <c r="AM511" s="44"/>
      <c r="AN511" s="41" t="str">
        <f t="shared" ref="AN511" si="1989">+LEFT(AM511,2)</f>
        <v/>
      </c>
      <c r="AO511" s="41" t="str">
        <f t="shared" ref="AO511" si="1990">+MID(AM511,4,2)</f>
        <v/>
      </c>
      <c r="AP511" s="41" t="str">
        <f t="shared" ref="AP511" si="1991">+RIGHT(AM511,2)</f>
        <v/>
      </c>
      <c r="AQ511" s="41" t="str">
        <f t="shared" ref="AQ511" si="1992">+CONCATENATE(AN511,AO511,AP511)</f>
        <v/>
      </c>
      <c r="AR511" s="45">
        <f t="shared" ref="AR511" si="1993">+AM511+30</f>
        <v>30</v>
      </c>
      <c r="AS511" s="46">
        <f t="shared" ref="AS511" si="1994">+DAY(AR511)</f>
        <v>30</v>
      </c>
      <c r="AT511" s="41">
        <f t="shared" ref="AT511" si="1995">+MONTH(AR511)</f>
        <v>1</v>
      </c>
      <c r="AU511" s="41">
        <f t="shared" ref="AU511" si="1996">+YEAR(AR511)</f>
        <v>1900</v>
      </c>
      <c r="AV511" s="41" t="str">
        <f t="shared" ref="AV511" si="1997">+CONCATENATE(TEXT(AS511,"00"),TEXT(AT511,"00"),RIGHT(AU511,2))</f>
        <v>300100</v>
      </c>
    </row>
    <row r="512" spans="1:48" hidden="1" x14ac:dyDescent="0.25">
      <c r="A512" s="31"/>
      <c r="B512" s="31"/>
      <c r="C512" s="3"/>
      <c r="D512" s="3"/>
      <c r="E512" s="2"/>
      <c r="F512" s="3"/>
      <c r="G512" s="3"/>
      <c r="H512" s="16"/>
      <c r="I512" s="16"/>
      <c r="J512" s="3"/>
      <c r="K512" s="17"/>
      <c r="L512" s="16"/>
      <c r="M512" s="3"/>
      <c r="N512" s="3"/>
      <c r="O512" s="2"/>
      <c r="P512" s="3" t="s">
        <v>54</v>
      </c>
      <c r="Q512" s="3"/>
      <c r="R512" s="3"/>
      <c r="S512" s="16"/>
      <c r="T512" s="3"/>
      <c r="U512" s="3"/>
      <c r="V512" s="3"/>
      <c r="W512" s="16"/>
      <c r="X512" s="16"/>
      <c r="Y512" s="3"/>
      <c r="Z512" s="18"/>
      <c r="AA512" s="3"/>
      <c r="AB512" s="16"/>
      <c r="AC512" s="16"/>
      <c r="AD512" s="16"/>
      <c r="AE512" s="9"/>
      <c r="AF512" s="16"/>
      <c r="AG512" s="16"/>
      <c r="AH512" s="16"/>
      <c r="AI512" s="16"/>
      <c r="AJ512" s="16"/>
      <c r="AK512" s="16"/>
      <c r="AL512" s="16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 spans="1:48" hidden="1" x14ac:dyDescent="0.25">
      <c r="A513" s="31"/>
      <c r="B513" s="31"/>
      <c r="C513" s="3"/>
      <c r="D513" s="3"/>
      <c r="E513" s="2"/>
      <c r="F513" s="3"/>
      <c r="G513" s="3"/>
      <c r="H513" s="16"/>
      <c r="I513" s="16"/>
      <c r="J513" s="3"/>
      <c r="K513" s="17"/>
      <c r="L513" s="16"/>
      <c r="M513" s="3"/>
      <c r="N513" s="3"/>
      <c r="O513" s="2"/>
      <c r="P513" s="3" t="s">
        <v>54</v>
      </c>
      <c r="Q513" s="3"/>
      <c r="R513" s="3"/>
      <c r="S513" s="16"/>
      <c r="T513" s="3"/>
      <c r="U513" s="3"/>
      <c r="V513" s="3"/>
      <c r="W513" s="16"/>
      <c r="X513" s="16"/>
      <c r="Y513" s="3"/>
      <c r="Z513" s="18"/>
      <c r="AA513" s="3"/>
      <c r="AB513" s="16"/>
      <c r="AC513" s="16"/>
      <c r="AD513" s="16"/>
      <c r="AE513" s="9"/>
      <c r="AF513" s="16"/>
      <c r="AG513" s="16"/>
      <c r="AH513" s="16"/>
      <c r="AI513" s="16"/>
      <c r="AJ513" s="16"/>
      <c r="AK513" s="16"/>
      <c r="AL513" s="16"/>
      <c r="AM513" s="3"/>
      <c r="AN513" s="3"/>
      <c r="AO513" s="3"/>
      <c r="AP513" s="3"/>
      <c r="AQ513" s="3"/>
      <c r="AR513" s="3"/>
      <c r="AS513" s="3"/>
      <c r="AT513" s="3"/>
      <c r="AU513" s="3"/>
      <c r="AV513" s="3"/>
    </row>
    <row r="514" spans="1:48" hidden="1" x14ac:dyDescent="0.25">
      <c r="A514" s="31"/>
      <c r="B514" s="31"/>
      <c r="C514" s="3"/>
      <c r="D514" s="3"/>
      <c r="E514" s="2"/>
      <c r="F514" s="3"/>
      <c r="G514" s="3"/>
      <c r="H514" s="16"/>
      <c r="I514" s="16"/>
      <c r="J514" s="3"/>
      <c r="K514" s="17"/>
      <c r="L514" s="16"/>
      <c r="M514" s="3"/>
      <c r="N514" s="3"/>
      <c r="O514" s="2"/>
      <c r="P514" s="3" t="s">
        <v>54</v>
      </c>
      <c r="Q514" s="3"/>
      <c r="R514" s="3"/>
      <c r="S514" s="16"/>
      <c r="T514" s="3"/>
      <c r="U514" s="3"/>
      <c r="V514" s="3"/>
      <c r="W514" s="16"/>
      <c r="X514" s="16"/>
      <c r="Y514" s="3"/>
      <c r="Z514" s="18"/>
      <c r="AA514" s="3"/>
      <c r="AB514" s="16"/>
      <c r="AC514" s="16"/>
      <c r="AD514" s="16"/>
      <c r="AE514" s="9"/>
      <c r="AF514" s="16"/>
      <c r="AG514" s="16"/>
      <c r="AH514" s="16"/>
      <c r="AI514" s="16"/>
      <c r="AJ514" s="16"/>
      <c r="AK514" s="16"/>
      <c r="AL514" s="16"/>
      <c r="AM514" s="3"/>
      <c r="AN514" s="3"/>
      <c r="AO514" s="3"/>
      <c r="AP514" s="3"/>
      <c r="AQ514" s="3"/>
      <c r="AR514" s="3"/>
      <c r="AS514" s="3"/>
      <c r="AT514" s="3"/>
      <c r="AU514" s="3"/>
      <c r="AV514" s="3"/>
    </row>
    <row r="515" spans="1:48" x14ac:dyDescent="0.25">
      <c r="A515" s="15">
        <f t="shared" ref="A515" si="1998">1+A511</f>
        <v>129</v>
      </c>
      <c r="B515" s="15"/>
      <c r="C515" s="2"/>
      <c r="D515" s="2"/>
      <c r="E515" s="24" t="str">
        <f t="shared" ref="E515" si="1999">+AQ515</f>
        <v/>
      </c>
      <c r="F515" s="30"/>
      <c r="G515" s="24" t="str">
        <f t="shared" ref="G515" si="2000">+AV515</f>
        <v>300100</v>
      </c>
      <c r="H515" s="16">
        <f t="shared" ref="H515" si="2001">+AK515</f>
        <v>0</v>
      </c>
      <c r="I515" s="16">
        <f t="shared" ref="I515" si="2002">+ROUND(AD515,2)</f>
        <v>0</v>
      </c>
      <c r="J515" s="2"/>
      <c r="K515" s="17">
        <f t="shared" ref="K515" si="2003">+AE515</f>
        <v>0</v>
      </c>
      <c r="L515" s="16">
        <f t="shared" ref="L515" si="2004">+AJ515</f>
        <v>0</v>
      </c>
      <c r="M515" s="32" t="s">
        <v>5</v>
      </c>
      <c r="N515" s="30"/>
      <c r="O515" s="2"/>
      <c r="P515" s="30"/>
      <c r="Q515" s="32" t="s">
        <v>0</v>
      </c>
      <c r="R515" s="24"/>
      <c r="S515" s="24" t="str">
        <f t="shared" ref="S515" si="2005">+RIGHT(O515,7)</f>
        <v/>
      </c>
      <c r="T515" s="2"/>
      <c r="U515" s="3" t="s">
        <v>1</v>
      </c>
      <c r="V515" s="3" t="s">
        <v>3</v>
      </c>
      <c r="W515" s="16">
        <f t="shared" ref="W515" si="2006">+AI515</f>
        <v>0</v>
      </c>
      <c r="X515" s="16">
        <f t="shared" ref="X515" si="2007">+AJ515</f>
        <v>0</v>
      </c>
      <c r="Y515" s="3" t="s">
        <v>4</v>
      </c>
      <c r="Z515" s="18">
        <f t="shared" ref="Z515" si="2008">+F515</f>
        <v>0</v>
      </c>
      <c r="AA515" s="61"/>
      <c r="AB515" s="65"/>
      <c r="AC515" s="16">
        <f>+AB515*0.18</f>
        <v>0</v>
      </c>
      <c r="AD515" s="16">
        <f>+AB515+AC515</f>
        <v>0</v>
      </c>
      <c r="AE515" s="68"/>
      <c r="AF515" s="16">
        <f t="shared" ref="AF515" si="2009">+AB515*AE515</f>
        <v>0</v>
      </c>
      <c r="AG515" s="16">
        <f t="shared" ref="AG515" si="2010">+AC515*AE515</f>
        <v>0</v>
      </c>
      <c r="AH515" s="16">
        <f t="shared" ref="AH515" si="2011">+AD515*AE515</f>
        <v>0</v>
      </c>
      <c r="AI515" s="16">
        <f t="shared" ref="AI515" si="2012">+ROUND(AF515,2)</f>
        <v>0</v>
      </c>
      <c r="AJ515" s="16">
        <f t="shared" ref="AJ515" si="2013">+ROUND(AG515,2)</f>
        <v>0</v>
      </c>
      <c r="AK515" s="16">
        <f t="shared" ref="AK515" si="2014">+AI515+AJ515</f>
        <v>0</v>
      </c>
      <c r="AL515" s="16">
        <f t="shared" ref="AL515" si="2015">+AI515+AJ515-AK515</f>
        <v>0</v>
      </c>
      <c r="AM515" s="44"/>
      <c r="AN515" s="41" t="str">
        <f t="shared" ref="AN515" si="2016">+LEFT(AM515,2)</f>
        <v/>
      </c>
      <c r="AO515" s="41" t="str">
        <f t="shared" ref="AO515" si="2017">+MID(AM515,4,2)</f>
        <v/>
      </c>
      <c r="AP515" s="41" t="str">
        <f t="shared" ref="AP515" si="2018">+RIGHT(AM515,2)</f>
        <v/>
      </c>
      <c r="AQ515" s="41" t="str">
        <f t="shared" ref="AQ515" si="2019">+CONCATENATE(AN515,AO515,AP515)</f>
        <v/>
      </c>
      <c r="AR515" s="45">
        <f t="shared" ref="AR515" si="2020">+AM515+30</f>
        <v>30</v>
      </c>
      <c r="AS515" s="46">
        <f t="shared" ref="AS515" si="2021">+DAY(AR515)</f>
        <v>30</v>
      </c>
      <c r="AT515" s="41">
        <f t="shared" ref="AT515" si="2022">+MONTH(AR515)</f>
        <v>1</v>
      </c>
      <c r="AU515" s="41">
        <f t="shared" ref="AU515" si="2023">+YEAR(AR515)</f>
        <v>1900</v>
      </c>
      <c r="AV515" s="41" t="str">
        <f t="shared" ref="AV515" si="2024">+CONCATENATE(TEXT(AS515,"00"),TEXT(AT515,"00"),RIGHT(AU515,2))</f>
        <v>300100</v>
      </c>
    </row>
    <row r="516" spans="1:48" hidden="1" x14ac:dyDescent="0.25">
      <c r="A516" s="31"/>
      <c r="B516" s="31"/>
      <c r="C516" s="3"/>
      <c r="D516" s="3"/>
      <c r="E516" s="2"/>
      <c r="F516" s="3"/>
      <c r="G516" s="3"/>
      <c r="H516" s="16"/>
      <c r="I516" s="16"/>
      <c r="J516" s="3"/>
      <c r="K516" s="17"/>
      <c r="L516" s="16"/>
      <c r="M516" s="3"/>
      <c r="N516" s="3"/>
      <c r="O516" s="2"/>
      <c r="P516" s="3" t="s">
        <v>54</v>
      </c>
      <c r="Q516" s="3"/>
      <c r="R516" s="3"/>
      <c r="S516" s="16"/>
      <c r="T516" s="3"/>
      <c r="U516" s="3"/>
      <c r="V516" s="3"/>
      <c r="W516" s="16"/>
      <c r="X516" s="16"/>
      <c r="Y516" s="3"/>
      <c r="Z516" s="18"/>
      <c r="AA516" s="3"/>
      <c r="AB516" s="16"/>
      <c r="AC516" s="16"/>
      <c r="AD516" s="16"/>
      <c r="AE516" s="9"/>
      <c r="AF516" s="16"/>
      <c r="AG516" s="16"/>
      <c r="AH516" s="16"/>
      <c r="AI516" s="16"/>
      <c r="AJ516" s="16"/>
      <c r="AK516" s="16"/>
      <c r="AL516" s="16"/>
      <c r="AM516" s="3"/>
      <c r="AN516" s="3"/>
      <c r="AO516" s="3"/>
      <c r="AP516" s="3"/>
      <c r="AQ516" s="3"/>
      <c r="AR516" s="3"/>
      <c r="AS516" s="3"/>
      <c r="AT516" s="3"/>
      <c r="AU516" s="3"/>
      <c r="AV516" s="3"/>
    </row>
    <row r="517" spans="1:48" hidden="1" x14ac:dyDescent="0.25">
      <c r="A517" s="31"/>
      <c r="B517" s="31"/>
      <c r="C517" s="3"/>
      <c r="D517" s="3"/>
      <c r="E517" s="2"/>
      <c r="F517" s="3"/>
      <c r="G517" s="3"/>
      <c r="H517" s="16"/>
      <c r="I517" s="16"/>
      <c r="J517" s="3"/>
      <c r="K517" s="17"/>
      <c r="L517" s="16"/>
      <c r="M517" s="3"/>
      <c r="N517" s="3"/>
      <c r="O517" s="2"/>
      <c r="P517" s="3" t="s">
        <v>54</v>
      </c>
      <c r="Q517" s="3"/>
      <c r="R517" s="3"/>
      <c r="S517" s="16"/>
      <c r="T517" s="3"/>
      <c r="U517" s="3"/>
      <c r="V517" s="3"/>
      <c r="W517" s="16"/>
      <c r="X517" s="16"/>
      <c r="Y517" s="3"/>
      <c r="Z517" s="18"/>
      <c r="AA517" s="3"/>
      <c r="AB517" s="16"/>
      <c r="AC517" s="16"/>
      <c r="AD517" s="16"/>
      <c r="AE517" s="9"/>
      <c r="AF517" s="16"/>
      <c r="AG517" s="16"/>
      <c r="AH517" s="16"/>
      <c r="AI517" s="16"/>
      <c r="AJ517" s="16"/>
      <c r="AK517" s="16"/>
      <c r="AL517" s="16"/>
      <c r="AM517" s="3"/>
      <c r="AN517" s="3"/>
      <c r="AO517" s="3"/>
      <c r="AP517" s="3"/>
      <c r="AQ517" s="3"/>
      <c r="AR517" s="3"/>
      <c r="AS517" s="3"/>
      <c r="AT517" s="3"/>
      <c r="AU517" s="3"/>
      <c r="AV517" s="3"/>
    </row>
    <row r="518" spans="1:48" hidden="1" x14ac:dyDescent="0.25">
      <c r="A518" s="31"/>
      <c r="B518" s="31"/>
      <c r="C518" s="3"/>
      <c r="D518" s="3"/>
      <c r="E518" s="2"/>
      <c r="F518" s="3"/>
      <c r="G518" s="3"/>
      <c r="H518" s="16"/>
      <c r="I518" s="16"/>
      <c r="J518" s="3"/>
      <c r="K518" s="17"/>
      <c r="L518" s="16"/>
      <c r="M518" s="3"/>
      <c r="N518" s="3"/>
      <c r="O518" s="2"/>
      <c r="P518" s="3" t="s">
        <v>54</v>
      </c>
      <c r="Q518" s="3"/>
      <c r="R518" s="3"/>
      <c r="S518" s="16"/>
      <c r="T518" s="3"/>
      <c r="U518" s="3"/>
      <c r="V518" s="3"/>
      <c r="W518" s="16"/>
      <c r="X518" s="16"/>
      <c r="Y518" s="3"/>
      <c r="Z518" s="18"/>
      <c r="AA518" s="3"/>
      <c r="AB518" s="16"/>
      <c r="AC518" s="16"/>
      <c r="AD518" s="16"/>
      <c r="AE518" s="9"/>
      <c r="AF518" s="16"/>
      <c r="AG518" s="16"/>
      <c r="AH518" s="16"/>
      <c r="AI518" s="16"/>
      <c r="AJ518" s="16"/>
      <c r="AK518" s="16"/>
      <c r="AL518" s="16"/>
      <c r="AM518" s="3"/>
      <c r="AN518" s="3"/>
      <c r="AO518" s="3"/>
      <c r="AP518" s="3"/>
      <c r="AQ518" s="3"/>
      <c r="AR518" s="3"/>
      <c r="AS518" s="3"/>
      <c r="AT518" s="3"/>
      <c r="AU518" s="3"/>
      <c r="AV518" s="3"/>
    </row>
    <row r="519" spans="1:48" x14ac:dyDescent="0.25">
      <c r="A519" s="15">
        <f t="shared" ref="A519" si="2025">1+A515</f>
        <v>130</v>
      </c>
      <c r="B519" s="15"/>
      <c r="C519" s="2"/>
      <c r="D519" s="2"/>
      <c r="E519" s="24" t="str">
        <f t="shared" ref="E519" si="2026">+AQ519</f>
        <v/>
      </c>
      <c r="F519" s="30"/>
      <c r="G519" s="24" t="str">
        <f t="shared" ref="G519" si="2027">+AV519</f>
        <v>300100</v>
      </c>
      <c r="H519" s="16">
        <f t="shared" ref="H519" si="2028">+AK519</f>
        <v>0</v>
      </c>
      <c r="I519" s="16">
        <f t="shared" ref="I519" si="2029">+ROUND(AD519,2)</f>
        <v>0</v>
      </c>
      <c r="J519" s="2"/>
      <c r="K519" s="17">
        <f t="shared" ref="K519" si="2030">+AE519</f>
        <v>0</v>
      </c>
      <c r="L519" s="16">
        <f t="shared" ref="L519" si="2031">+AJ519</f>
        <v>0</v>
      </c>
      <c r="M519" s="32" t="s">
        <v>5</v>
      </c>
      <c r="N519" s="30"/>
      <c r="O519" s="2"/>
      <c r="P519" s="30"/>
      <c r="Q519" s="32" t="s">
        <v>0</v>
      </c>
      <c r="R519" s="24"/>
      <c r="S519" s="24" t="str">
        <f t="shared" ref="S519" si="2032">+RIGHT(O519,7)</f>
        <v/>
      </c>
      <c r="T519" s="2"/>
      <c r="U519" s="3" t="s">
        <v>1</v>
      </c>
      <c r="V519" s="3" t="s">
        <v>3</v>
      </c>
      <c r="W519" s="16">
        <f t="shared" ref="W519" si="2033">+AI519</f>
        <v>0</v>
      </c>
      <c r="X519" s="16">
        <f t="shared" ref="X519" si="2034">+AJ519</f>
        <v>0</v>
      </c>
      <c r="Y519" s="3" t="s">
        <v>4</v>
      </c>
      <c r="Z519" s="18">
        <f t="shared" ref="Z519" si="2035">+F519</f>
        <v>0</v>
      </c>
      <c r="AA519" s="61"/>
      <c r="AB519" s="65"/>
      <c r="AC519" s="16">
        <f>+AB519*0.18</f>
        <v>0</v>
      </c>
      <c r="AD519" s="16">
        <f>+AB519+AC519</f>
        <v>0</v>
      </c>
      <c r="AE519" s="68"/>
      <c r="AF519" s="16">
        <f t="shared" ref="AF519" si="2036">+AB519*AE519</f>
        <v>0</v>
      </c>
      <c r="AG519" s="16">
        <f t="shared" ref="AG519" si="2037">+AC519*AE519</f>
        <v>0</v>
      </c>
      <c r="AH519" s="16">
        <f t="shared" ref="AH519" si="2038">+AD519*AE519</f>
        <v>0</v>
      </c>
      <c r="AI519" s="16">
        <f t="shared" ref="AI519" si="2039">+ROUND(AF519,2)</f>
        <v>0</v>
      </c>
      <c r="AJ519" s="16">
        <f t="shared" ref="AJ519" si="2040">+ROUND(AG519,2)</f>
        <v>0</v>
      </c>
      <c r="AK519" s="16">
        <f t="shared" ref="AK519" si="2041">+AI519+AJ519</f>
        <v>0</v>
      </c>
      <c r="AL519" s="16">
        <f t="shared" ref="AL519" si="2042">+AI519+AJ519-AK519</f>
        <v>0</v>
      </c>
      <c r="AM519" s="44"/>
      <c r="AN519" s="41" t="str">
        <f t="shared" ref="AN519" si="2043">+LEFT(AM519,2)</f>
        <v/>
      </c>
      <c r="AO519" s="41" t="str">
        <f t="shared" ref="AO519" si="2044">+MID(AM519,4,2)</f>
        <v/>
      </c>
      <c r="AP519" s="41" t="str">
        <f t="shared" ref="AP519" si="2045">+RIGHT(AM519,2)</f>
        <v/>
      </c>
      <c r="AQ519" s="41" t="str">
        <f t="shared" ref="AQ519" si="2046">+CONCATENATE(AN519,AO519,AP519)</f>
        <v/>
      </c>
      <c r="AR519" s="45">
        <f t="shared" ref="AR519" si="2047">+AM519+30</f>
        <v>30</v>
      </c>
      <c r="AS519" s="46">
        <f t="shared" ref="AS519" si="2048">+DAY(AR519)</f>
        <v>30</v>
      </c>
      <c r="AT519" s="41">
        <f t="shared" ref="AT519" si="2049">+MONTH(AR519)</f>
        <v>1</v>
      </c>
      <c r="AU519" s="41">
        <f t="shared" ref="AU519" si="2050">+YEAR(AR519)</f>
        <v>1900</v>
      </c>
      <c r="AV519" s="41" t="str">
        <f t="shared" ref="AV519" si="2051">+CONCATENATE(TEXT(AS519,"00"),TEXT(AT519,"00"),RIGHT(AU519,2))</f>
        <v>300100</v>
      </c>
    </row>
    <row r="520" spans="1:48" hidden="1" x14ac:dyDescent="0.25">
      <c r="A520" s="31"/>
      <c r="B520" s="31"/>
      <c r="C520" s="3"/>
      <c r="D520" s="3"/>
      <c r="E520" s="2"/>
      <c r="F520" s="3"/>
      <c r="G520" s="3"/>
      <c r="H520" s="16"/>
      <c r="I520" s="16"/>
      <c r="J520" s="3"/>
      <c r="K520" s="17"/>
      <c r="L520" s="16"/>
      <c r="M520" s="3"/>
      <c r="N520" s="3"/>
      <c r="O520" s="2"/>
      <c r="P520" s="3" t="s">
        <v>54</v>
      </c>
      <c r="Q520" s="3"/>
      <c r="R520" s="3"/>
      <c r="S520" s="16"/>
      <c r="T520" s="3"/>
      <c r="U520" s="3"/>
      <c r="V520" s="3"/>
      <c r="W520" s="16"/>
      <c r="X520" s="16"/>
      <c r="Y520" s="3"/>
      <c r="Z520" s="18"/>
      <c r="AA520" s="3"/>
      <c r="AB520" s="16"/>
      <c r="AC520" s="16"/>
      <c r="AD520" s="16"/>
      <c r="AE520" s="9"/>
      <c r="AF520" s="16"/>
      <c r="AG520" s="16"/>
      <c r="AH520" s="16"/>
      <c r="AI520" s="16"/>
      <c r="AJ520" s="16"/>
      <c r="AK520" s="16"/>
      <c r="AL520" s="16"/>
      <c r="AM520" s="3"/>
      <c r="AN520" s="3"/>
      <c r="AO520" s="3"/>
      <c r="AP520" s="3"/>
      <c r="AQ520" s="3"/>
      <c r="AR520" s="3"/>
      <c r="AS520" s="3"/>
      <c r="AT520" s="3"/>
      <c r="AU520" s="3"/>
      <c r="AV520" s="3"/>
    </row>
    <row r="521" spans="1:48" hidden="1" x14ac:dyDescent="0.25">
      <c r="A521" s="31"/>
      <c r="B521" s="31"/>
      <c r="C521" s="3"/>
      <c r="D521" s="3"/>
      <c r="E521" s="2"/>
      <c r="F521" s="3"/>
      <c r="G521" s="3"/>
      <c r="H521" s="16"/>
      <c r="I521" s="16"/>
      <c r="J521" s="3"/>
      <c r="K521" s="17"/>
      <c r="L521" s="16"/>
      <c r="M521" s="3"/>
      <c r="N521" s="3"/>
      <c r="O521" s="2"/>
      <c r="P521" s="3" t="s">
        <v>54</v>
      </c>
      <c r="Q521" s="3"/>
      <c r="R521" s="3"/>
      <c r="S521" s="16"/>
      <c r="T521" s="3"/>
      <c r="U521" s="3"/>
      <c r="V521" s="3"/>
      <c r="W521" s="16"/>
      <c r="X521" s="16"/>
      <c r="Y521" s="3"/>
      <c r="Z521" s="18"/>
      <c r="AA521" s="3"/>
      <c r="AB521" s="16"/>
      <c r="AC521" s="16"/>
      <c r="AD521" s="16"/>
      <c r="AE521" s="9"/>
      <c r="AF521" s="16"/>
      <c r="AG521" s="16"/>
      <c r="AH521" s="16"/>
      <c r="AI521" s="16"/>
      <c r="AJ521" s="16"/>
      <c r="AK521" s="16"/>
      <c r="AL521" s="16"/>
      <c r="AM521" s="3"/>
      <c r="AN521" s="3"/>
      <c r="AO521" s="3"/>
      <c r="AP521" s="3"/>
      <c r="AQ521" s="3"/>
      <c r="AR521" s="3"/>
      <c r="AS521" s="3"/>
      <c r="AT521" s="3"/>
      <c r="AU521" s="3"/>
      <c r="AV521" s="3"/>
    </row>
    <row r="522" spans="1:48" hidden="1" x14ac:dyDescent="0.25">
      <c r="A522" s="31"/>
      <c r="B522" s="31"/>
      <c r="C522" s="3"/>
      <c r="D522" s="3"/>
      <c r="E522" s="2"/>
      <c r="F522" s="3"/>
      <c r="G522" s="3"/>
      <c r="H522" s="16"/>
      <c r="I522" s="16"/>
      <c r="J522" s="3"/>
      <c r="K522" s="17"/>
      <c r="L522" s="16"/>
      <c r="M522" s="3"/>
      <c r="N522" s="3"/>
      <c r="O522" s="2"/>
      <c r="P522" s="3" t="s">
        <v>54</v>
      </c>
      <c r="Q522" s="3"/>
      <c r="R522" s="3"/>
      <c r="S522" s="16"/>
      <c r="T522" s="3"/>
      <c r="U522" s="3"/>
      <c r="V522" s="3"/>
      <c r="W522" s="16"/>
      <c r="X522" s="16"/>
      <c r="Y522" s="3"/>
      <c r="Z522" s="18"/>
      <c r="AA522" s="3"/>
      <c r="AB522" s="16"/>
      <c r="AC522" s="16"/>
      <c r="AD522" s="16"/>
      <c r="AE522" s="9"/>
      <c r="AF522" s="16"/>
      <c r="AG522" s="16"/>
      <c r="AH522" s="16"/>
      <c r="AI522" s="16"/>
      <c r="AJ522" s="16"/>
      <c r="AK522" s="16"/>
      <c r="AL522" s="16"/>
      <c r="AM522" s="3"/>
      <c r="AN522" s="3"/>
      <c r="AO522" s="3"/>
      <c r="AP522" s="3"/>
      <c r="AQ522" s="3"/>
      <c r="AR522" s="3"/>
      <c r="AS522" s="3"/>
      <c r="AT522" s="3"/>
      <c r="AU522" s="3"/>
      <c r="AV522" s="3"/>
    </row>
    <row r="523" spans="1:48" x14ac:dyDescent="0.25">
      <c r="A523" s="15">
        <f t="shared" ref="A523" si="2052">1+A519</f>
        <v>131</v>
      </c>
      <c r="B523" s="15"/>
      <c r="C523" s="2"/>
      <c r="D523" s="2"/>
      <c r="E523" s="24" t="str">
        <f t="shared" ref="E523" si="2053">+AQ523</f>
        <v/>
      </c>
      <c r="F523" s="30"/>
      <c r="G523" s="24" t="str">
        <f t="shared" ref="G523" si="2054">+AV523</f>
        <v>300100</v>
      </c>
      <c r="H523" s="16">
        <f t="shared" ref="H523" si="2055">+AK523</f>
        <v>0</v>
      </c>
      <c r="I523" s="16">
        <f t="shared" ref="I523" si="2056">+ROUND(AD523,2)</f>
        <v>0</v>
      </c>
      <c r="J523" s="2"/>
      <c r="K523" s="17">
        <f t="shared" ref="K523" si="2057">+AE523</f>
        <v>0</v>
      </c>
      <c r="L523" s="16">
        <f t="shared" ref="L523" si="2058">+AJ523</f>
        <v>0</v>
      </c>
      <c r="M523" s="32" t="s">
        <v>5</v>
      </c>
      <c r="N523" s="30"/>
      <c r="O523" s="2"/>
      <c r="P523" s="30"/>
      <c r="Q523" s="32" t="s">
        <v>0</v>
      </c>
      <c r="R523" s="24"/>
      <c r="S523" s="24" t="str">
        <f t="shared" ref="S523" si="2059">+RIGHT(O523,7)</f>
        <v/>
      </c>
      <c r="T523" s="2"/>
      <c r="U523" s="3" t="s">
        <v>1</v>
      </c>
      <c r="V523" s="3" t="s">
        <v>3</v>
      </c>
      <c r="W523" s="16">
        <f t="shared" ref="W523" si="2060">+AI523</f>
        <v>0</v>
      </c>
      <c r="X523" s="16">
        <f t="shared" ref="X523" si="2061">+AJ523</f>
        <v>0</v>
      </c>
      <c r="Y523" s="3" t="s">
        <v>4</v>
      </c>
      <c r="Z523" s="18">
        <f t="shared" ref="Z523" si="2062">+F523</f>
        <v>0</v>
      </c>
      <c r="AA523" s="61"/>
      <c r="AB523" s="65"/>
      <c r="AC523" s="16">
        <f>+AB523*0.18</f>
        <v>0</v>
      </c>
      <c r="AD523" s="16">
        <f>+AB523+AC523</f>
        <v>0</v>
      </c>
      <c r="AE523" s="68"/>
      <c r="AF523" s="16">
        <f t="shared" ref="AF523" si="2063">+AB523*AE523</f>
        <v>0</v>
      </c>
      <c r="AG523" s="16">
        <f t="shared" ref="AG523" si="2064">+AC523*AE523</f>
        <v>0</v>
      </c>
      <c r="AH523" s="16">
        <f t="shared" ref="AH523" si="2065">+AD523*AE523</f>
        <v>0</v>
      </c>
      <c r="AI523" s="16">
        <f t="shared" ref="AI523" si="2066">+ROUND(AF523,2)</f>
        <v>0</v>
      </c>
      <c r="AJ523" s="16">
        <f t="shared" ref="AJ523" si="2067">+ROUND(AG523,2)</f>
        <v>0</v>
      </c>
      <c r="AK523" s="16">
        <f t="shared" ref="AK523" si="2068">+AI523+AJ523</f>
        <v>0</v>
      </c>
      <c r="AL523" s="16">
        <f t="shared" ref="AL523" si="2069">+AI523+AJ523-AK523</f>
        <v>0</v>
      </c>
      <c r="AM523" s="44"/>
      <c r="AN523" s="41" t="str">
        <f t="shared" ref="AN523" si="2070">+LEFT(AM523,2)</f>
        <v/>
      </c>
      <c r="AO523" s="41" t="str">
        <f t="shared" ref="AO523" si="2071">+MID(AM523,4,2)</f>
        <v/>
      </c>
      <c r="AP523" s="41" t="str">
        <f t="shared" ref="AP523" si="2072">+RIGHT(AM523,2)</f>
        <v/>
      </c>
      <c r="AQ523" s="41" t="str">
        <f t="shared" ref="AQ523" si="2073">+CONCATENATE(AN523,AO523,AP523)</f>
        <v/>
      </c>
      <c r="AR523" s="45">
        <f t="shared" ref="AR523" si="2074">+AM523+30</f>
        <v>30</v>
      </c>
      <c r="AS523" s="46">
        <f t="shared" ref="AS523" si="2075">+DAY(AR523)</f>
        <v>30</v>
      </c>
      <c r="AT523" s="41">
        <f t="shared" ref="AT523" si="2076">+MONTH(AR523)</f>
        <v>1</v>
      </c>
      <c r="AU523" s="41">
        <f t="shared" ref="AU523" si="2077">+YEAR(AR523)</f>
        <v>1900</v>
      </c>
      <c r="AV523" s="41" t="str">
        <f t="shared" ref="AV523" si="2078">+CONCATENATE(TEXT(AS523,"00"),TEXT(AT523,"00"),RIGHT(AU523,2))</f>
        <v>300100</v>
      </c>
    </row>
    <row r="524" spans="1:48" hidden="1" x14ac:dyDescent="0.25">
      <c r="A524" s="31"/>
      <c r="B524" s="31"/>
      <c r="C524" s="3"/>
      <c r="D524" s="3"/>
      <c r="E524" s="2"/>
      <c r="F524" s="3"/>
      <c r="G524" s="3"/>
      <c r="H524" s="16"/>
      <c r="I524" s="16"/>
      <c r="J524" s="3"/>
      <c r="K524" s="17"/>
      <c r="L524" s="16"/>
      <c r="M524" s="3"/>
      <c r="N524" s="3"/>
      <c r="O524" s="2"/>
      <c r="P524" s="3" t="s">
        <v>54</v>
      </c>
      <c r="Q524" s="3"/>
      <c r="R524" s="3"/>
      <c r="S524" s="16"/>
      <c r="T524" s="3"/>
      <c r="U524" s="3"/>
      <c r="V524" s="3"/>
      <c r="W524" s="16"/>
      <c r="X524" s="16"/>
      <c r="Y524" s="3"/>
      <c r="Z524" s="18"/>
      <c r="AA524" s="3"/>
      <c r="AB524" s="16"/>
      <c r="AC524" s="16"/>
      <c r="AD524" s="16"/>
      <c r="AE524" s="9"/>
      <c r="AF524" s="16"/>
      <c r="AG524" s="16"/>
      <c r="AH524" s="16"/>
      <c r="AI524" s="16"/>
      <c r="AJ524" s="16"/>
      <c r="AK524" s="16"/>
      <c r="AL524" s="16"/>
      <c r="AM524" s="3"/>
      <c r="AN524" s="3"/>
      <c r="AO524" s="3"/>
      <c r="AP524" s="3"/>
      <c r="AQ524" s="3"/>
      <c r="AR524" s="3"/>
      <c r="AS524" s="3"/>
      <c r="AT524" s="3"/>
      <c r="AU524" s="3"/>
      <c r="AV524" s="3"/>
    </row>
    <row r="525" spans="1:48" hidden="1" x14ac:dyDescent="0.25">
      <c r="A525" s="31"/>
      <c r="B525" s="31"/>
      <c r="C525" s="3"/>
      <c r="D525" s="3"/>
      <c r="E525" s="2"/>
      <c r="F525" s="3"/>
      <c r="G525" s="3"/>
      <c r="H525" s="16"/>
      <c r="I525" s="16"/>
      <c r="J525" s="3"/>
      <c r="K525" s="17"/>
      <c r="L525" s="16"/>
      <c r="M525" s="3"/>
      <c r="N525" s="3"/>
      <c r="O525" s="2"/>
      <c r="P525" s="3" t="s">
        <v>54</v>
      </c>
      <c r="Q525" s="3"/>
      <c r="R525" s="3"/>
      <c r="S525" s="16"/>
      <c r="T525" s="3"/>
      <c r="U525" s="3"/>
      <c r="V525" s="3"/>
      <c r="W525" s="16"/>
      <c r="X525" s="16"/>
      <c r="Y525" s="3"/>
      <c r="Z525" s="18"/>
      <c r="AA525" s="3"/>
      <c r="AB525" s="16"/>
      <c r="AC525" s="16"/>
      <c r="AD525" s="16"/>
      <c r="AE525" s="9"/>
      <c r="AF525" s="16"/>
      <c r="AG525" s="16"/>
      <c r="AH525" s="16"/>
      <c r="AI525" s="16"/>
      <c r="AJ525" s="16"/>
      <c r="AK525" s="16"/>
      <c r="AL525" s="16"/>
      <c r="AM525" s="3"/>
      <c r="AN525" s="3"/>
      <c r="AO525" s="3"/>
      <c r="AP525" s="3"/>
      <c r="AQ525" s="3"/>
      <c r="AR525" s="3"/>
      <c r="AS525" s="3"/>
      <c r="AT525" s="3"/>
      <c r="AU525" s="3"/>
      <c r="AV525" s="3"/>
    </row>
    <row r="526" spans="1:48" hidden="1" x14ac:dyDescent="0.25">
      <c r="A526" s="31"/>
      <c r="B526" s="31"/>
      <c r="C526" s="3"/>
      <c r="D526" s="3"/>
      <c r="E526" s="2"/>
      <c r="F526" s="3"/>
      <c r="G526" s="3"/>
      <c r="H526" s="16"/>
      <c r="I526" s="16"/>
      <c r="J526" s="3"/>
      <c r="K526" s="17"/>
      <c r="L526" s="16"/>
      <c r="M526" s="3"/>
      <c r="N526" s="3"/>
      <c r="O526" s="2"/>
      <c r="P526" s="3" t="s">
        <v>54</v>
      </c>
      <c r="Q526" s="3"/>
      <c r="R526" s="3"/>
      <c r="S526" s="16"/>
      <c r="T526" s="3"/>
      <c r="U526" s="3"/>
      <c r="V526" s="3"/>
      <c r="W526" s="16"/>
      <c r="X526" s="16"/>
      <c r="Y526" s="3"/>
      <c r="Z526" s="18"/>
      <c r="AA526" s="3"/>
      <c r="AB526" s="16"/>
      <c r="AC526" s="16"/>
      <c r="AD526" s="16"/>
      <c r="AE526" s="9"/>
      <c r="AF526" s="16"/>
      <c r="AG526" s="16"/>
      <c r="AH526" s="16"/>
      <c r="AI526" s="16"/>
      <c r="AJ526" s="16"/>
      <c r="AK526" s="16"/>
      <c r="AL526" s="16"/>
      <c r="AM526" s="3"/>
      <c r="AN526" s="3"/>
      <c r="AO526" s="3"/>
      <c r="AP526" s="3"/>
      <c r="AQ526" s="3"/>
      <c r="AR526" s="3"/>
      <c r="AS526" s="3"/>
      <c r="AT526" s="3"/>
      <c r="AU526" s="3"/>
      <c r="AV526" s="3"/>
    </row>
    <row r="527" spans="1:48" x14ac:dyDescent="0.25">
      <c r="A527" s="15">
        <f t="shared" ref="A527" si="2079">1+A523</f>
        <v>132</v>
      </c>
      <c r="B527" s="15"/>
      <c r="C527" s="2"/>
      <c r="D527" s="2"/>
      <c r="E527" s="24" t="str">
        <f t="shared" ref="E527" si="2080">+AQ527</f>
        <v/>
      </c>
      <c r="F527" s="30"/>
      <c r="G527" s="24" t="str">
        <f t="shared" ref="G527" si="2081">+AV527</f>
        <v>300100</v>
      </c>
      <c r="H527" s="16">
        <f t="shared" ref="H527" si="2082">+AK527</f>
        <v>0</v>
      </c>
      <c r="I527" s="16">
        <f t="shared" ref="I527" si="2083">+ROUND(AD527,2)</f>
        <v>0</v>
      </c>
      <c r="J527" s="2"/>
      <c r="K527" s="17">
        <f t="shared" ref="K527" si="2084">+AE527</f>
        <v>0</v>
      </c>
      <c r="L527" s="16">
        <f t="shared" ref="L527" si="2085">+AJ527</f>
        <v>0</v>
      </c>
      <c r="M527" s="32" t="s">
        <v>5</v>
      </c>
      <c r="N527" s="30"/>
      <c r="O527" s="2"/>
      <c r="P527" s="30"/>
      <c r="Q527" s="32" t="s">
        <v>0</v>
      </c>
      <c r="R527" s="24"/>
      <c r="S527" s="24" t="str">
        <f t="shared" ref="S527" si="2086">+RIGHT(O527,7)</f>
        <v/>
      </c>
      <c r="T527" s="2"/>
      <c r="U527" s="3" t="s">
        <v>1</v>
      </c>
      <c r="V527" s="3" t="s">
        <v>3</v>
      </c>
      <c r="W527" s="16">
        <f t="shared" ref="W527" si="2087">+AI527</f>
        <v>0</v>
      </c>
      <c r="X527" s="16">
        <f t="shared" ref="X527" si="2088">+AJ527</f>
        <v>0</v>
      </c>
      <c r="Y527" s="3" t="s">
        <v>4</v>
      </c>
      <c r="Z527" s="18">
        <f t="shared" ref="Z527" si="2089">+F527</f>
        <v>0</v>
      </c>
      <c r="AA527" s="61"/>
      <c r="AB527" s="65"/>
      <c r="AC527" s="16">
        <f>+AB527*0.18</f>
        <v>0</v>
      </c>
      <c r="AD527" s="16">
        <f>+AB527+AC527</f>
        <v>0</v>
      </c>
      <c r="AE527" s="68"/>
      <c r="AF527" s="16">
        <f t="shared" ref="AF527" si="2090">+AB527*AE527</f>
        <v>0</v>
      </c>
      <c r="AG527" s="16">
        <f t="shared" ref="AG527" si="2091">+AC527*AE527</f>
        <v>0</v>
      </c>
      <c r="AH527" s="16">
        <f t="shared" ref="AH527" si="2092">+AD527*AE527</f>
        <v>0</v>
      </c>
      <c r="AI527" s="16">
        <f t="shared" ref="AI527" si="2093">+ROUND(AF527,2)</f>
        <v>0</v>
      </c>
      <c r="AJ527" s="16">
        <f t="shared" ref="AJ527" si="2094">+ROUND(AG527,2)</f>
        <v>0</v>
      </c>
      <c r="AK527" s="16">
        <f t="shared" ref="AK527" si="2095">+AI527+AJ527</f>
        <v>0</v>
      </c>
      <c r="AL527" s="16">
        <f t="shared" ref="AL527" si="2096">+AI527+AJ527-AK527</f>
        <v>0</v>
      </c>
      <c r="AM527" s="44"/>
      <c r="AN527" s="41" t="str">
        <f t="shared" ref="AN527" si="2097">+LEFT(AM527,2)</f>
        <v/>
      </c>
      <c r="AO527" s="41" t="str">
        <f t="shared" ref="AO527" si="2098">+MID(AM527,4,2)</f>
        <v/>
      </c>
      <c r="AP527" s="41" t="str">
        <f t="shared" ref="AP527" si="2099">+RIGHT(AM527,2)</f>
        <v/>
      </c>
      <c r="AQ527" s="41" t="str">
        <f t="shared" ref="AQ527" si="2100">+CONCATENATE(AN527,AO527,AP527)</f>
        <v/>
      </c>
      <c r="AR527" s="45">
        <f t="shared" ref="AR527" si="2101">+AM527+30</f>
        <v>30</v>
      </c>
      <c r="AS527" s="46">
        <f t="shared" ref="AS527" si="2102">+DAY(AR527)</f>
        <v>30</v>
      </c>
      <c r="AT527" s="41">
        <f t="shared" ref="AT527" si="2103">+MONTH(AR527)</f>
        <v>1</v>
      </c>
      <c r="AU527" s="41">
        <f t="shared" ref="AU527" si="2104">+YEAR(AR527)</f>
        <v>1900</v>
      </c>
      <c r="AV527" s="41" t="str">
        <f t="shared" ref="AV527" si="2105">+CONCATENATE(TEXT(AS527,"00"),TEXT(AT527,"00"),RIGHT(AU527,2))</f>
        <v>300100</v>
      </c>
    </row>
    <row r="528" spans="1:48" hidden="1" x14ac:dyDescent="0.25">
      <c r="A528" s="31"/>
      <c r="B528" s="31"/>
      <c r="C528" s="3"/>
      <c r="D528" s="3"/>
      <c r="E528" s="2"/>
      <c r="F528" s="3"/>
      <c r="G528" s="3"/>
      <c r="H528" s="16"/>
      <c r="I528" s="16"/>
      <c r="J528" s="3"/>
      <c r="K528" s="17"/>
      <c r="L528" s="16"/>
      <c r="M528" s="3"/>
      <c r="N528" s="3"/>
      <c r="O528" s="2"/>
      <c r="P528" s="3" t="s">
        <v>54</v>
      </c>
      <c r="Q528" s="3"/>
      <c r="R528" s="3"/>
      <c r="S528" s="16"/>
      <c r="T528" s="3"/>
      <c r="U528" s="3"/>
      <c r="V528" s="3"/>
      <c r="W528" s="16"/>
      <c r="X528" s="16"/>
      <c r="Y528" s="3"/>
      <c r="Z528" s="18"/>
      <c r="AA528" s="3"/>
      <c r="AB528" s="16"/>
      <c r="AC528" s="16"/>
      <c r="AD528" s="16"/>
      <c r="AE528" s="9"/>
      <c r="AF528" s="16"/>
      <c r="AG528" s="16"/>
      <c r="AH528" s="16"/>
      <c r="AI528" s="16"/>
      <c r="AJ528" s="16"/>
      <c r="AK528" s="16"/>
      <c r="AL528" s="16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 spans="1:48" hidden="1" x14ac:dyDescent="0.25">
      <c r="A529" s="31"/>
      <c r="B529" s="31"/>
      <c r="C529" s="3"/>
      <c r="D529" s="3"/>
      <c r="E529" s="2"/>
      <c r="F529" s="3"/>
      <c r="G529" s="3"/>
      <c r="H529" s="16"/>
      <c r="I529" s="16"/>
      <c r="J529" s="3"/>
      <c r="K529" s="17"/>
      <c r="L529" s="16"/>
      <c r="M529" s="3"/>
      <c r="N529" s="3"/>
      <c r="O529" s="2"/>
      <c r="P529" s="3" t="s">
        <v>54</v>
      </c>
      <c r="Q529" s="3"/>
      <c r="R529" s="3"/>
      <c r="S529" s="16"/>
      <c r="T529" s="3"/>
      <c r="U529" s="3"/>
      <c r="V529" s="3"/>
      <c r="W529" s="16"/>
      <c r="X529" s="16"/>
      <c r="Y529" s="3"/>
      <c r="Z529" s="18"/>
      <c r="AA529" s="3"/>
      <c r="AB529" s="16"/>
      <c r="AC529" s="16"/>
      <c r="AD529" s="16"/>
      <c r="AE529" s="9"/>
      <c r="AF529" s="16"/>
      <c r="AG529" s="16"/>
      <c r="AH529" s="16"/>
      <c r="AI529" s="16"/>
      <c r="AJ529" s="16"/>
      <c r="AK529" s="16"/>
      <c r="AL529" s="16"/>
      <c r="AM529" s="3"/>
      <c r="AN529" s="3"/>
      <c r="AO529" s="3"/>
      <c r="AP529" s="3"/>
      <c r="AQ529" s="3"/>
      <c r="AR529" s="3"/>
      <c r="AS529" s="3"/>
      <c r="AT529" s="3"/>
      <c r="AU529" s="3"/>
      <c r="AV529" s="3"/>
    </row>
    <row r="530" spans="1:48" hidden="1" x14ac:dyDescent="0.25">
      <c r="A530" s="31"/>
      <c r="B530" s="31"/>
      <c r="C530" s="3"/>
      <c r="D530" s="3"/>
      <c r="E530" s="2"/>
      <c r="F530" s="3"/>
      <c r="G530" s="3"/>
      <c r="H530" s="16"/>
      <c r="I530" s="16"/>
      <c r="J530" s="3"/>
      <c r="K530" s="17"/>
      <c r="L530" s="16"/>
      <c r="M530" s="3"/>
      <c r="N530" s="3"/>
      <c r="O530" s="2"/>
      <c r="P530" s="3" t="s">
        <v>54</v>
      </c>
      <c r="Q530" s="3"/>
      <c r="R530" s="3"/>
      <c r="S530" s="16"/>
      <c r="T530" s="3"/>
      <c r="U530" s="3"/>
      <c r="V530" s="3"/>
      <c r="W530" s="16"/>
      <c r="X530" s="16"/>
      <c r="Y530" s="3"/>
      <c r="Z530" s="18"/>
      <c r="AA530" s="3"/>
      <c r="AB530" s="16"/>
      <c r="AC530" s="16"/>
      <c r="AD530" s="16"/>
      <c r="AE530" s="9"/>
      <c r="AF530" s="16"/>
      <c r="AG530" s="16"/>
      <c r="AH530" s="16"/>
      <c r="AI530" s="16"/>
      <c r="AJ530" s="16"/>
      <c r="AK530" s="16"/>
      <c r="AL530" s="16"/>
      <c r="AM530" s="3"/>
      <c r="AN530" s="3"/>
      <c r="AO530" s="3"/>
      <c r="AP530" s="3"/>
      <c r="AQ530" s="3"/>
      <c r="AR530" s="3"/>
      <c r="AS530" s="3"/>
      <c r="AT530" s="3"/>
      <c r="AU530" s="3"/>
      <c r="AV530" s="3"/>
    </row>
    <row r="531" spans="1:48" x14ac:dyDescent="0.25">
      <c r="A531" s="15">
        <f t="shared" ref="A531" si="2106">1+A527</f>
        <v>133</v>
      </c>
      <c r="B531" s="15"/>
      <c r="C531" s="2"/>
      <c r="D531" s="2"/>
      <c r="E531" s="24" t="str">
        <f t="shared" ref="E531" si="2107">+AQ531</f>
        <v/>
      </c>
      <c r="F531" s="30"/>
      <c r="G531" s="24" t="str">
        <f t="shared" ref="G531" si="2108">+AV531</f>
        <v>300100</v>
      </c>
      <c r="H531" s="16">
        <f t="shared" ref="H531" si="2109">+AK531</f>
        <v>0</v>
      </c>
      <c r="I531" s="16">
        <f t="shared" ref="I531" si="2110">+ROUND(AD531,2)</f>
        <v>0</v>
      </c>
      <c r="J531" s="2"/>
      <c r="K531" s="17">
        <f t="shared" ref="K531" si="2111">+AE531</f>
        <v>0</v>
      </c>
      <c r="L531" s="16">
        <f t="shared" ref="L531" si="2112">+AJ531</f>
        <v>0</v>
      </c>
      <c r="M531" s="32" t="s">
        <v>5</v>
      </c>
      <c r="N531" s="30"/>
      <c r="O531" s="2"/>
      <c r="P531" s="30"/>
      <c r="Q531" s="32" t="s">
        <v>0</v>
      </c>
      <c r="R531" s="24"/>
      <c r="S531" s="24" t="str">
        <f t="shared" ref="S531" si="2113">+RIGHT(O531,7)</f>
        <v/>
      </c>
      <c r="T531" s="2"/>
      <c r="U531" s="3" t="s">
        <v>1</v>
      </c>
      <c r="V531" s="3" t="s">
        <v>3</v>
      </c>
      <c r="W531" s="16">
        <f t="shared" ref="W531" si="2114">+AI531</f>
        <v>0</v>
      </c>
      <c r="X531" s="16">
        <f t="shared" ref="X531" si="2115">+AJ531</f>
        <v>0</v>
      </c>
      <c r="Y531" s="3" t="s">
        <v>4</v>
      </c>
      <c r="Z531" s="18">
        <f t="shared" ref="Z531" si="2116">+F531</f>
        <v>0</v>
      </c>
      <c r="AA531" s="61"/>
      <c r="AB531" s="65"/>
      <c r="AC531" s="16">
        <f>+AB531*0.18</f>
        <v>0</v>
      </c>
      <c r="AD531" s="16">
        <f>+AB531+AC531</f>
        <v>0</v>
      </c>
      <c r="AE531" s="68"/>
      <c r="AF531" s="16">
        <f t="shared" ref="AF531" si="2117">+AB531*AE531</f>
        <v>0</v>
      </c>
      <c r="AG531" s="16">
        <f t="shared" ref="AG531" si="2118">+AC531*AE531</f>
        <v>0</v>
      </c>
      <c r="AH531" s="16">
        <f t="shared" ref="AH531" si="2119">+AD531*AE531</f>
        <v>0</v>
      </c>
      <c r="AI531" s="16">
        <f t="shared" ref="AI531" si="2120">+ROUND(AF531,2)</f>
        <v>0</v>
      </c>
      <c r="AJ531" s="16">
        <f t="shared" ref="AJ531" si="2121">+ROUND(AG531,2)</f>
        <v>0</v>
      </c>
      <c r="AK531" s="16">
        <f t="shared" ref="AK531" si="2122">+AI531+AJ531</f>
        <v>0</v>
      </c>
      <c r="AL531" s="16">
        <f t="shared" ref="AL531" si="2123">+AI531+AJ531-AK531</f>
        <v>0</v>
      </c>
      <c r="AM531" s="44"/>
      <c r="AN531" s="41" t="str">
        <f t="shared" ref="AN531" si="2124">+LEFT(AM531,2)</f>
        <v/>
      </c>
      <c r="AO531" s="41" t="str">
        <f t="shared" ref="AO531" si="2125">+MID(AM531,4,2)</f>
        <v/>
      </c>
      <c r="AP531" s="41" t="str">
        <f t="shared" ref="AP531" si="2126">+RIGHT(AM531,2)</f>
        <v/>
      </c>
      <c r="AQ531" s="41" t="str">
        <f t="shared" ref="AQ531" si="2127">+CONCATENATE(AN531,AO531,AP531)</f>
        <v/>
      </c>
      <c r="AR531" s="45">
        <f t="shared" ref="AR531" si="2128">+AM531+30</f>
        <v>30</v>
      </c>
      <c r="AS531" s="46">
        <f t="shared" ref="AS531" si="2129">+DAY(AR531)</f>
        <v>30</v>
      </c>
      <c r="AT531" s="41">
        <f t="shared" ref="AT531" si="2130">+MONTH(AR531)</f>
        <v>1</v>
      </c>
      <c r="AU531" s="41">
        <f t="shared" ref="AU531" si="2131">+YEAR(AR531)</f>
        <v>1900</v>
      </c>
      <c r="AV531" s="41" t="str">
        <f t="shared" ref="AV531" si="2132">+CONCATENATE(TEXT(AS531,"00"),TEXT(AT531,"00"),RIGHT(AU531,2))</f>
        <v>300100</v>
      </c>
    </row>
    <row r="532" spans="1:48" hidden="1" x14ac:dyDescent="0.25">
      <c r="A532" s="31"/>
      <c r="B532" s="31"/>
      <c r="C532" s="3"/>
      <c r="D532" s="3"/>
      <c r="E532" s="2"/>
      <c r="F532" s="3"/>
      <c r="G532" s="3"/>
      <c r="H532" s="16"/>
      <c r="I532" s="16"/>
      <c r="J532" s="3"/>
      <c r="K532" s="17"/>
      <c r="L532" s="16"/>
      <c r="M532" s="3"/>
      <c r="N532" s="3"/>
      <c r="O532" s="2"/>
      <c r="P532" s="3" t="s">
        <v>54</v>
      </c>
      <c r="Q532" s="3"/>
      <c r="R532" s="3"/>
      <c r="S532" s="16"/>
      <c r="T532" s="3"/>
      <c r="U532" s="3"/>
      <c r="V532" s="3"/>
      <c r="W532" s="16"/>
      <c r="X532" s="16"/>
      <c r="Y532" s="3"/>
      <c r="Z532" s="18"/>
      <c r="AA532" s="3"/>
      <c r="AB532" s="16"/>
      <c r="AC532" s="16"/>
      <c r="AD532" s="16"/>
      <c r="AE532" s="9"/>
      <c r="AF532" s="16"/>
      <c r="AG532" s="16"/>
      <c r="AH532" s="16"/>
      <c r="AI532" s="16"/>
      <c r="AJ532" s="16"/>
      <c r="AK532" s="16"/>
      <c r="AL532" s="16"/>
      <c r="AM532" s="3"/>
      <c r="AN532" s="3"/>
      <c r="AO532" s="3"/>
      <c r="AP532" s="3"/>
      <c r="AQ532" s="3"/>
      <c r="AR532" s="3"/>
      <c r="AS532" s="3"/>
      <c r="AT532" s="3"/>
      <c r="AU532" s="3"/>
      <c r="AV532" s="3"/>
    </row>
    <row r="533" spans="1:48" hidden="1" x14ac:dyDescent="0.25">
      <c r="A533" s="31"/>
      <c r="B533" s="31"/>
      <c r="C533" s="3"/>
      <c r="D533" s="3"/>
      <c r="E533" s="2"/>
      <c r="F533" s="3"/>
      <c r="G533" s="3"/>
      <c r="H533" s="16"/>
      <c r="I533" s="16"/>
      <c r="J533" s="3"/>
      <c r="K533" s="17"/>
      <c r="L533" s="16"/>
      <c r="M533" s="3"/>
      <c r="N533" s="3"/>
      <c r="O533" s="2"/>
      <c r="P533" s="3" t="s">
        <v>54</v>
      </c>
      <c r="Q533" s="3"/>
      <c r="R533" s="3"/>
      <c r="S533" s="16"/>
      <c r="T533" s="3"/>
      <c r="U533" s="3"/>
      <c r="V533" s="3"/>
      <c r="W533" s="16"/>
      <c r="X533" s="16"/>
      <c r="Y533" s="3"/>
      <c r="Z533" s="18"/>
      <c r="AA533" s="3"/>
      <c r="AB533" s="16"/>
      <c r="AC533" s="16"/>
      <c r="AD533" s="16"/>
      <c r="AE533" s="9"/>
      <c r="AF533" s="16"/>
      <c r="AG533" s="16"/>
      <c r="AH533" s="16"/>
      <c r="AI533" s="16"/>
      <c r="AJ533" s="16"/>
      <c r="AK533" s="16"/>
      <c r="AL533" s="16"/>
      <c r="AM533" s="3"/>
      <c r="AN533" s="3"/>
      <c r="AO533" s="3"/>
      <c r="AP533" s="3"/>
      <c r="AQ533" s="3"/>
      <c r="AR533" s="3"/>
      <c r="AS533" s="3"/>
      <c r="AT533" s="3"/>
      <c r="AU533" s="3"/>
      <c r="AV533" s="3"/>
    </row>
    <row r="534" spans="1:48" hidden="1" x14ac:dyDescent="0.25">
      <c r="A534" s="31"/>
      <c r="B534" s="31"/>
      <c r="C534" s="3"/>
      <c r="D534" s="3"/>
      <c r="E534" s="2"/>
      <c r="F534" s="3"/>
      <c r="G534" s="3"/>
      <c r="H534" s="16"/>
      <c r="I534" s="16"/>
      <c r="J534" s="3"/>
      <c r="K534" s="17"/>
      <c r="L534" s="16"/>
      <c r="M534" s="3"/>
      <c r="N534" s="3"/>
      <c r="O534" s="2"/>
      <c r="P534" s="3" t="s">
        <v>54</v>
      </c>
      <c r="Q534" s="3"/>
      <c r="R534" s="3"/>
      <c r="S534" s="16"/>
      <c r="T534" s="3"/>
      <c r="U534" s="3"/>
      <c r="V534" s="3"/>
      <c r="W534" s="16"/>
      <c r="X534" s="16"/>
      <c r="Y534" s="3"/>
      <c r="Z534" s="18"/>
      <c r="AA534" s="3"/>
      <c r="AB534" s="16"/>
      <c r="AC534" s="16"/>
      <c r="AD534" s="16"/>
      <c r="AE534" s="9"/>
      <c r="AF534" s="16"/>
      <c r="AG534" s="16"/>
      <c r="AH534" s="16"/>
      <c r="AI534" s="16"/>
      <c r="AJ534" s="16"/>
      <c r="AK534" s="16"/>
      <c r="AL534" s="16"/>
      <c r="AM534" s="3"/>
      <c r="AN534" s="3"/>
      <c r="AO534" s="3"/>
      <c r="AP534" s="3"/>
      <c r="AQ534" s="3"/>
      <c r="AR534" s="3"/>
      <c r="AS534" s="3"/>
      <c r="AT534" s="3"/>
      <c r="AU534" s="3"/>
      <c r="AV534" s="3"/>
    </row>
    <row r="535" spans="1:48" x14ac:dyDescent="0.25">
      <c r="A535" s="15">
        <f t="shared" ref="A535" si="2133">1+A531</f>
        <v>134</v>
      </c>
      <c r="B535" s="15"/>
      <c r="C535" s="2"/>
      <c r="D535" s="2"/>
      <c r="E535" s="24" t="str">
        <f t="shared" ref="E535" si="2134">+AQ535</f>
        <v/>
      </c>
      <c r="F535" s="30"/>
      <c r="G535" s="24" t="str">
        <f t="shared" ref="G535" si="2135">+AV535</f>
        <v>300100</v>
      </c>
      <c r="H535" s="16">
        <f t="shared" ref="H535" si="2136">+AK535</f>
        <v>0</v>
      </c>
      <c r="I535" s="16">
        <f t="shared" ref="I535" si="2137">+ROUND(AD535,2)</f>
        <v>0</v>
      </c>
      <c r="J535" s="2"/>
      <c r="K535" s="17">
        <f t="shared" ref="K535" si="2138">+AE535</f>
        <v>0</v>
      </c>
      <c r="L535" s="16">
        <f t="shared" ref="L535" si="2139">+AJ535</f>
        <v>0</v>
      </c>
      <c r="M535" s="32" t="s">
        <v>5</v>
      </c>
      <c r="N535" s="30"/>
      <c r="O535" s="2"/>
      <c r="P535" s="30"/>
      <c r="Q535" s="32" t="s">
        <v>0</v>
      </c>
      <c r="R535" s="24"/>
      <c r="S535" s="24" t="str">
        <f t="shared" ref="S535" si="2140">+RIGHT(O535,7)</f>
        <v/>
      </c>
      <c r="T535" s="2"/>
      <c r="U535" s="3" t="s">
        <v>1</v>
      </c>
      <c r="V535" s="3" t="s">
        <v>3</v>
      </c>
      <c r="W535" s="16">
        <f t="shared" ref="W535" si="2141">+AI535</f>
        <v>0</v>
      </c>
      <c r="X535" s="16">
        <f t="shared" ref="X535" si="2142">+AJ535</f>
        <v>0</v>
      </c>
      <c r="Y535" s="3" t="s">
        <v>4</v>
      </c>
      <c r="Z535" s="18">
        <f t="shared" ref="Z535" si="2143">+F535</f>
        <v>0</v>
      </c>
      <c r="AA535" s="61"/>
      <c r="AB535" s="65"/>
      <c r="AC535" s="16">
        <f>+AB535*0.18</f>
        <v>0</v>
      </c>
      <c r="AD535" s="16">
        <f>+AB535+AC535</f>
        <v>0</v>
      </c>
      <c r="AE535" s="68"/>
      <c r="AF535" s="16">
        <f t="shared" ref="AF535" si="2144">+AB535*AE535</f>
        <v>0</v>
      </c>
      <c r="AG535" s="16">
        <f t="shared" ref="AG535" si="2145">+AC535*AE535</f>
        <v>0</v>
      </c>
      <c r="AH535" s="16">
        <f t="shared" ref="AH535" si="2146">+AD535*AE535</f>
        <v>0</v>
      </c>
      <c r="AI535" s="16">
        <f t="shared" ref="AI535" si="2147">+ROUND(AF535,2)</f>
        <v>0</v>
      </c>
      <c r="AJ535" s="16">
        <f t="shared" ref="AJ535" si="2148">+ROUND(AG535,2)</f>
        <v>0</v>
      </c>
      <c r="AK535" s="16">
        <f t="shared" ref="AK535" si="2149">+AI535+AJ535</f>
        <v>0</v>
      </c>
      <c r="AL535" s="16">
        <f t="shared" ref="AL535" si="2150">+AI535+AJ535-AK535</f>
        <v>0</v>
      </c>
      <c r="AM535" s="44"/>
      <c r="AN535" s="41" t="str">
        <f t="shared" ref="AN535" si="2151">+LEFT(AM535,2)</f>
        <v/>
      </c>
      <c r="AO535" s="41" t="str">
        <f t="shared" ref="AO535" si="2152">+MID(AM535,4,2)</f>
        <v/>
      </c>
      <c r="AP535" s="41" t="str">
        <f t="shared" ref="AP535" si="2153">+RIGHT(AM535,2)</f>
        <v/>
      </c>
      <c r="AQ535" s="41" t="str">
        <f t="shared" ref="AQ535" si="2154">+CONCATENATE(AN535,AO535,AP535)</f>
        <v/>
      </c>
      <c r="AR535" s="45">
        <f t="shared" ref="AR535" si="2155">+AM535+30</f>
        <v>30</v>
      </c>
      <c r="AS535" s="46">
        <f t="shared" ref="AS535" si="2156">+DAY(AR535)</f>
        <v>30</v>
      </c>
      <c r="AT535" s="41">
        <f t="shared" ref="AT535" si="2157">+MONTH(AR535)</f>
        <v>1</v>
      </c>
      <c r="AU535" s="41">
        <f t="shared" ref="AU535" si="2158">+YEAR(AR535)</f>
        <v>1900</v>
      </c>
      <c r="AV535" s="41" t="str">
        <f t="shared" ref="AV535" si="2159">+CONCATENATE(TEXT(AS535,"00"),TEXT(AT535,"00"),RIGHT(AU535,2))</f>
        <v>300100</v>
      </c>
    </row>
    <row r="536" spans="1:48" hidden="1" x14ac:dyDescent="0.25">
      <c r="A536" s="31"/>
      <c r="B536" s="31"/>
      <c r="C536" s="3"/>
      <c r="D536" s="3"/>
      <c r="E536" s="2"/>
      <c r="F536" s="3"/>
      <c r="G536" s="3"/>
      <c r="H536" s="16"/>
      <c r="I536" s="16"/>
      <c r="J536" s="3"/>
      <c r="K536" s="17"/>
      <c r="L536" s="16"/>
      <c r="M536" s="3"/>
      <c r="N536" s="3"/>
      <c r="O536" s="2"/>
      <c r="P536" s="3" t="s">
        <v>54</v>
      </c>
      <c r="Q536" s="3"/>
      <c r="R536" s="3"/>
      <c r="S536" s="16"/>
      <c r="T536" s="3"/>
      <c r="U536" s="3"/>
      <c r="V536" s="3"/>
      <c r="W536" s="16"/>
      <c r="X536" s="16"/>
      <c r="Y536" s="3"/>
      <c r="Z536" s="18"/>
      <c r="AA536" s="3"/>
      <c r="AB536" s="16"/>
      <c r="AC536" s="16"/>
      <c r="AD536" s="16"/>
      <c r="AE536" s="9"/>
      <c r="AF536" s="16"/>
      <c r="AG536" s="16"/>
      <c r="AH536" s="16"/>
      <c r="AI536" s="16"/>
      <c r="AJ536" s="16"/>
      <c r="AK536" s="16"/>
      <c r="AL536" s="16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 spans="1:48" hidden="1" x14ac:dyDescent="0.25">
      <c r="A537" s="31"/>
      <c r="B537" s="31"/>
      <c r="C537" s="3"/>
      <c r="D537" s="3"/>
      <c r="E537" s="2"/>
      <c r="F537" s="3"/>
      <c r="G537" s="3"/>
      <c r="H537" s="16"/>
      <c r="I537" s="16"/>
      <c r="J537" s="3"/>
      <c r="K537" s="17"/>
      <c r="L537" s="16"/>
      <c r="M537" s="3"/>
      <c r="N537" s="3"/>
      <c r="O537" s="2"/>
      <c r="P537" s="3" t="s">
        <v>54</v>
      </c>
      <c r="Q537" s="3"/>
      <c r="R537" s="3"/>
      <c r="S537" s="16"/>
      <c r="T537" s="3"/>
      <c r="U537" s="3"/>
      <c r="V537" s="3"/>
      <c r="W537" s="16"/>
      <c r="X537" s="16"/>
      <c r="Y537" s="3"/>
      <c r="Z537" s="18"/>
      <c r="AA537" s="3"/>
      <c r="AB537" s="16"/>
      <c r="AC537" s="16"/>
      <c r="AD537" s="16"/>
      <c r="AE537" s="9"/>
      <c r="AF537" s="16"/>
      <c r="AG537" s="16"/>
      <c r="AH537" s="16"/>
      <c r="AI537" s="16"/>
      <c r="AJ537" s="16"/>
      <c r="AK537" s="16"/>
      <c r="AL537" s="16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 spans="1:48" hidden="1" x14ac:dyDescent="0.25">
      <c r="A538" s="31"/>
      <c r="B538" s="31"/>
      <c r="C538" s="3"/>
      <c r="D538" s="3"/>
      <c r="E538" s="2"/>
      <c r="F538" s="3"/>
      <c r="G538" s="3"/>
      <c r="H538" s="16"/>
      <c r="I538" s="16"/>
      <c r="J538" s="3"/>
      <c r="K538" s="17"/>
      <c r="L538" s="16"/>
      <c r="M538" s="3"/>
      <c r="N538" s="3"/>
      <c r="O538" s="2"/>
      <c r="P538" s="3" t="s">
        <v>54</v>
      </c>
      <c r="Q538" s="3"/>
      <c r="R538" s="3"/>
      <c r="S538" s="16"/>
      <c r="T538" s="3"/>
      <c r="U538" s="3"/>
      <c r="V538" s="3"/>
      <c r="W538" s="16"/>
      <c r="X538" s="16"/>
      <c r="Y538" s="3"/>
      <c r="Z538" s="18"/>
      <c r="AA538" s="3"/>
      <c r="AB538" s="16"/>
      <c r="AC538" s="16"/>
      <c r="AD538" s="16"/>
      <c r="AE538" s="9"/>
      <c r="AF538" s="16"/>
      <c r="AG538" s="16"/>
      <c r="AH538" s="16"/>
      <c r="AI538" s="16"/>
      <c r="AJ538" s="16"/>
      <c r="AK538" s="16"/>
      <c r="AL538" s="16"/>
      <c r="AM538" s="3"/>
      <c r="AN538" s="3"/>
      <c r="AO538" s="3"/>
      <c r="AP538" s="3"/>
      <c r="AQ538" s="3"/>
      <c r="AR538" s="3"/>
      <c r="AS538" s="3"/>
      <c r="AT538" s="3"/>
      <c r="AU538" s="3"/>
      <c r="AV538" s="3"/>
    </row>
    <row r="539" spans="1:48" x14ac:dyDescent="0.25">
      <c r="A539" s="15">
        <f t="shared" ref="A539" si="2160">1+A535</f>
        <v>135</v>
      </c>
      <c r="B539" s="15"/>
      <c r="C539" s="2"/>
      <c r="D539" s="2"/>
      <c r="E539" s="24" t="str">
        <f t="shared" ref="E539" si="2161">+AQ539</f>
        <v/>
      </c>
      <c r="F539" s="30"/>
      <c r="G539" s="24" t="str">
        <f t="shared" ref="G539" si="2162">+AV539</f>
        <v>300100</v>
      </c>
      <c r="H539" s="16">
        <f t="shared" ref="H539" si="2163">+AK539</f>
        <v>0</v>
      </c>
      <c r="I539" s="16">
        <f t="shared" ref="I539" si="2164">+ROUND(AD539,2)</f>
        <v>0</v>
      </c>
      <c r="J539" s="2"/>
      <c r="K539" s="17">
        <f t="shared" ref="K539" si="2165">+AE539</f>
        <v>0</v>
      </c>
      <c r="L539" s="16">
        <f t="shared" ref="L539" si="2166">+AJ539</f>
        <v>0</v>
      </c>
      <c r="M539" s="32" t="s">
        <v>5</v>
      </c>
      <c r="N539" s="30"/>
      <c r="O539" s="2"/>
      <c r="P539" s="30"/>
      <c r="Q539" s="32" t="s">
        <v>0</v>
      </c>
      <c r="R539" s="24"/>
      <c r="S539" s="24" t="str">
        <f t="shared" ref="S539" si="2167">+RIGHT(O539,7)</f>
        <v/>
      </c>
      <c r="T539" s="2"/>
      <c r="U539" s="3" t="s">
        <v>1</v>
      </c>
      <c r="V539" s="3" t="s">
        <v>3</v>
      </c>
      <c r="W539" s="16">
        <f t="shared" ref="W539" si="2168">+AI539</f>
        <v>0</v>
      </c>
      <c r="X539" s="16">
        <f t="shared" ref="X539" si="2169">+AJ539</f>
        <v>0</v>
      </c>
      <c r="Y539" s="3" t="s">
        <v>4</v>
      </c>
      <c r="Z539" s="18">
        <f t="shared" ref="Z539" si="2170">+F539</f>
        <v>0</v>
      </c>
      <c r="AA539" s="61"/>
      <c r="AB539" s="65"/>
      <c r="AC539" s="16">
        <f>+AB539*0.18</f>
        <v>0</v>
      </c>
      <c r="AD539" s="16">
        <f>+AB539+AC539</f>
        <v>0</v>
      </c>
      <c r="AE539" s="68"/>
      <c r="AF539" s="16">
        <f t="shared" ref="AF539" si="2171">+AB539*AE539</f>
        <v>0</v>
      </c>
      <c r="AG539" s="16">
        <f t="shared" ref="AG539" si="2172">+AC539*AE539</f>
        <v>0</v>
      </c>
      <c r="AH539" s="16">
        <f t="shared" ref="AH539" si="2173">+AD539*AE539</f>
        <v>0</v>
      </c>
      <c r="AI539" s="16">
        <f t="shared" ref="AI539" si="2174">+ROUND(AF539,2)</f>
        <v>0</v>
      </c>
      <c r="AJ539" s="16">
        <f t="shared" ref="AJ539" si="2175">+ROUND(AG539,2)</f>
        <v>0</v>
      </c>
      <c r="AK539" s="16">
        <f t="shared" ref="AK539" si="2176">+AI539+AJ539</f>
        <v>0</v>
      </c>
      <c r="AL539" s="16">
        <f t="shared" ref="AL539" si="2177">+AI539+AJ539-AK539</f>
        <v>0</v>
      </c>
      <c r="AM539" s="44"/>
      <c r="AN539" s="41" t="str">
        <f t="shared" ref="AN539" si="2178">+LEFT(AM539,2)</f>
        <v/>
      </c>
      <c r="AO539" s="41" t="str">
        <f t="shared" ref="AO539" si="2179">+MID(AM539,4,2)</f>
        <v/>
      </c>
      <c r="AP539" s="41" t="str">
        <f t="shared" ref="AP539" si="2180">+RIGHT(AM539,2)</f>
        <v/>
      </c>
      <c r="AQ539" s="41" t="str">
        <f t="shared" ref="AQ539" si="2181">+CONCATENATE(AN539,AO539,AP539)</f>
        <v/>
      </c>
      <c r="AR539" s="45">
        <f t="shared" ref="AR539" si="2182">+AM539+30</f>
        <v>30</v>
      </c>
      <c r="AS539" s="46">
        <f t="shared" ref="AS539" si="2183">+DAY(AR539)</f>
        <v>30</v>
      </c>
      <c r="AT539" s="41">
        <f t="shared" ref="AT539" si="2184">+MONTH(AR539)</f>
        <v>1</v>
      </c>
      <c r="AU539" s="41">
        <f t="shared" ref="AU539" si="2185">+YEAR(AR539)</f>
        <v>1900</v>
      </c>
      <c r="AV539" s="41" t="str">
        <f t="shared" ref="AV539" si="2186">+CONCATENATE(TEXT(AS539,"00"),TEXT(AT539,"00"),RIGHT(AU539,2))</f>
        <v>300100</v>
      </c>
    </row>
    <row r="540" spans="1:48" hidden="1" x14ac:dyDescent="0.25">
      <c r="A540" s="31"/>
      <c r="B540" s="31"/>
      <c r="C540" s="3"/>
      <c r="D540" s="3"/>
      <c r="E540" s="2"/>
      <c r="F540" s="3"/>
      <c r="G540" s="3"/>
      <c r="H540" s="16"/>
      <c r="I540" s="16"/>
      <c r="J540" s="3"/>
      <c r="K540" s="17"/>
      <c r="L540" s="16"/>
      <c r="M540" s="3"/>
      <c r="N540" s="3"/>
      <c r="O540" s="2"/>
      <c r="P540" s="3" t="s">
        <v>54</v>
      </c>
      <c r="Q540" s="3"/>
      <c r="R540" s="3"/>
      <c r="S540" s="16"/>
      <c r="T540" s="3"/>
      <c r="U540" s="3"/>
      <c r="V540" s="3"/>
      <c r="W540" s="16"/>
      <c r="X540" s="16"/>
      <c r="Y540" s="3"/>
      <c r="Z540" s="18"/>
      <c r="AA540" s="3"/>
      <c r="AB540" s="16"/>
      <c r="AC540" s="16"/>
      <c r="AD540" s="16"/>
      <c r="AE540" s="9"/>
      <c r="AF540" s="16"/>
      <c r="AG540" s="16"/>
      <c r="AH540" s="16"/>
      <c r="AI540" s="16"/>
      <c r="AJ540" s="16"/>
      <c r="AK540" s="16"/>
      <c r="AL540" s="16"/>
      <c r="AM540" s="3"/>
      <c r="AN540" s="3"/>
      <c r="AO540" s="3"/>
      <c r="AP540" s="3"/>
      <c r="AQ540" s="3"/>
      <c r="AR540" s="3"/>
      <c r="AS540" s="3"/>
      <c r="AT540" s="3"/>
      <c r="AU540" s="3"/>
      <c r="AV540" s="3"/>
    </row>
    <row r="541" spans="1:48" hidden="1" x14ac:dyDescent="0.25">
      <c r="A541" s="31"/>
      <c r="B541" s="31"/>
      <c r="C541" s="3"/>
      <c r="D541" s="3"/>
      <c r="E541" s="2"/>
      <c r="F541" s="3"/>
      <c r="G541" s="3"/>
      <c r="H541" s="16"/>
      <c r="I541" s="16"/>
      <c r="J541" s="3"/>
      <c r="K541" s="17"/>
      <c r="L541" s="16"/>
      <c r="M541" s="3"/>
      <c r="N541" s="3"/>
      <c r="O541" s="2"/>
      <c r="P541" s="3" t="s">
        <v>54</v>
      </c>
      <c r="Q541" s="3"/>
      <c r="R541" s="3"/>
      <c r="S541" s="16"/>
      <c r="T541" s="3"/>
      <c r="U541" s="3"/>
      <c r="V541" s="3"/>
      <c r="W541" s="16"/>
      <c r="X541" s="16"/>
      <c r="Y541" s="3"/>
      <c r="Z541" s="18"/>
      <c r="AA541" s="3"/>
      <c r="AB541" s="16"/>
      <c r="AC541" s="16"/>
      <c r="AD541" s="16"/>
      <c r="AE541" s="9"/>
      <c r="AF541" s="16"/>
      <c r="AG541" s="16"/>
      <c r="AH541" s="16"/>
      <c r="AI541" s="16"/>
      <c r="AJ541" s="16"/>
      <c r="AK541" s="16"/>
      <c r="AL541" s="16"/>
      <c r="AM541" s="3"/>
      <c r="AN541" s="3"/>
      <c r="AO541" s="3"/>
      <c r="AP541" s="3"/>
      <c r="AQ541" s="3"/>
      <c r="AR541" s="3"/>
      <c r="AS541" s="3"/>
      <c r="AT541" s="3"/>
      <c r="AU541" s="3"/>
      <c r="AV541" s="3"/>
    </row>
    <row r="542" spans="1:48" hidden="1" x14ac:dyDescent="0.25">
      <c r="A542" s="31"/>
      <c r="B542" s="31"/>
      <c r="C542" s="3"/>
      <c r="D542" s="3"/>
      <c r="E542" s="2"/>
      <c r="F542" s="3"/>
      <c r="G542" s="3"/>
      <c r="H542" s="16"/>
      <c r="I542" s="16"/>
      <c r="J542" s="3"/>
      <c r="K542" s="17"/>
      <c r="L542" s="16"/>
      <c r="M542" s="3"/>
      <c r="N542" s="3"/>
      <c r="O542" s="2"/>
      <c r="P542" s="3" t="s">
        <v>54</v>
      </c>
      <c r="Q542" s="3"/>
      <c r="R542" s="3"/>
      <c r="S542" s="16"/>
      <c r="T542" s="3"/>
      <c r="U542" s="3"/>
      <c r="V542" s="3"/>
      <c r="W542" s="16"/>
      <c r="X542" s="16"/>
      <c r="Y542" s="3"/>
      <c r="Z542" s="18"/>
      <c r="AA542" s="3"/>
      <c r="AB542" s="16"/>
      <c r="AC542" s="16"/>
      <c r="AD542" s="16"/>
      <c r="AE542" s="9"/>
      <c r="AF542" s="16"/>
      <c r="AG542" s="16"/>
      <c r="AH542" s="16"/>
      <c r="AI542" s="16"/>
      <c r="AJ542" s="16"/>
      <c r="AK542" s="16"/>
      <c r="AL542" s="16"/>
      <c r="AM542" s="3"/>
      <c r="AN542" s="3"/>
      <c r="AO542" s="3"/>
      <c r="AP542" s="3"/>
      <c r="AQ542" s="3"/>
      <c r="AR542" s="3"/>
      <c r="AS542" s="3"/>
      <c r="AT542" s="3"/>
      <c r="AU542" s="3"/>
      <c r="AV542" s="3"/>
    </row>
    <row r="543" spans="1:48" x14ac:dyDescent="0.25">
      <c r="A543" s="15">
        <f t="shared" ref="A543" si="2187">1+A539</f>
        <v>136</v>
      </c>
      <c r="B543" s="15"/>
      <c r="C543" s="2"/>
      <c r="D543" s="2"/>
      <c r="E543" s="24" t="str">
        <f t="shared" ref="E543" si="2188">+AQ543</f>
        <v/>
      </c>
      <c r="F543" s="30"/>
      <c r="G543" s="24" t="str">
        <f t="shared" ref="G543" si="2189">+AV543</f>
        <v>300100</v>
      </c>
      <c r="H543" s="16">
        <f t="shared" ref="H543" si="2190">+AK543</f>
        <v>0</v>
      </c>
      <c r="I543" s="16">
        <f t="shared" ref="I543" si="2191">+ROUND(AD543,2)</f>
        <v>0</v>
      </c>
      <c r="J543" s="2"/>
      <c r="K543" s="17">
        <f t="shared" ref="K543" si="2192">+AE543</f>
        <v>0</v>
      </c>
      <c r="L543" s="16">
        <f t="shared" ref="L543" si="2193">+AJ543</f>
        <v>0</v>
      </c>
      <c r="M543" s="32" t="s">
        <v>5</v>
      </c>
      <c r="N543" s="30"/>
      <c r="O543" s="2"/>
      <c r="P543" s="30"/>
      <c r="Q543" s="32" t="s">
        <v>0</v>
      </c>
      <c r="R543" s="24"/>
      <c r="S543" s="24" t="str">
        <f t="shared" ref="S543" si="2194">+RIGHT(O543,7)</f>
        <v/>
      </c>
      <c r="T543" s="2"/>
      <c r="U543" s="3" t="s">
        <v>1</v>
      </c>
      <c r="V543" s="3" t="s">
        <v>3</v>
      </c>
      <c r="W543" s="16">
        <f t="shared" ref="W543" si="2195">+AI543</f>
        <v>0</v>
      </c>
      <c r="X543" s="16">
        <f t="shared" ref="X543" si="2196">+AJ543</f>
        <v>0</v>
      </c>
      <c r="Y543" s="3" t="s">
        <v>4</v>
      </c>
      <c r="Z543" s="18">
        <f t="shared" ref="Z543" si="2197">+F543</f>
        <v>0</v>
      </c>
      <c r="AA543" s="61"/>
      <c r="AB543" s="65"/>
      <c r="AC543" s="16">
        <f>+AB543*0.18</f>
        <v>0</v>
      </c>
      <c r="AD543" s="16">
        <f>+AB543+AC543</f>
        <v>0</v>
      </c>
      <c r="AE543" s="68"/>
      <c r="AF543" s="16">
        <f t="shared" ref="AF543" si="2198">+AB543*AE543</f>
        <v>0</v>
      </c>
      <c r="AG543" s="16">
        <f t="shared" ref="AG543" si="2199">+AC543*AE543</f>
        <v>0</v>
      </c>
      <c r="AH543" s="16">
        <f t="shared" ref="AH543" si="2200">+AD543*AE543</f>
        <v>0</v>
      </c>
      <c r="AI543" s="16">
        <f t="shared" ref="AI543" si="2201">+ROUND(AF543,2)</f>
        <v>0</v>
      </c>
      <c r="AJ543" s="16">
        <f t="shared" ref="AJ543" si="2202">+ROUND(AG543,2)</f>
        <v>0</v>
      </c>
      <c r="AK543" s="16">
        <f t="shared" ref="AK543" si="2203">+AI543+AJ543</f>
        <v>0</v>
      </c>
      <c r="AL543" s="16">
        <f t="shared" ref="AL543" si="2204">+AI543+AJ543-AK543</f>
        <v>0</v>
      </c>
      <c r="AM543" s="44"/>
      <c r="AN543" s="41" t="str">
        <f t="shared" ref="AN543" si="2205">+LEFT(AM543,2)</f>
        <v/>
      </c>
      <c r="AO543" s="41" t="str">
        <f t="shared" ref="AO543" si="2206">+MID(AM543,4,2)</f>
        <v/>
      </c>
      <c r="AP543" s="41" t="str">
        <f t="shared" ref="AP543" si="2207">+RIGHT(AM543,2)</f>
        <v/>
      </c>
      <c r="AQ543" s="41" t="str">
        <f t="shared" ref="AQ543" si="2208">+CONCATENATE(AN543,AO543,AP543)</f>
        <v/>
      </c>
      <c r="AR543" s="45">
        <f t="shared" ref="AR543" si="2209">+AM543+30</f>
        <v>30</v>
      </c>
      <c r="AS543" s="46">
        <f t="shared" ref="AS543" si="2210">+DAY(AR543)</f>
        <v>30</v>
      </c>
      <c r="AT543" s="41">
        <f t="shared" ref="AT543" si="2211">+MONTH(AR543)</f>
        <v>1</v>
      </c>
      <c r="AU543" s="41">
        <f t="shared" ref="AU543" si="2212">+YEAR(AR543)</f>
        <v>1900</v>
      </c>
      <c r="AV543" s="41" t="str">
        <f t="shared" ref="AV543" si="2213">+CONCATENATE(TEXT(AS543,"00"),TEXT(AT543,"00"),RIGHT(AU543,2))</f>
        <v>300100</v>
      </c>
    </row>
    <row r="544" spans="1:48" hidden="1" x14ac:dyDescent="0.25">
      <c r="A544" s="31"/>
      <c r="B544" s="31"/>
      <c r="C544" s="3"/>
      <c r="D544" s="3"/>
      <c r="E544" s="2"/>
      <c r="F544" s="3"/>
      <c r="G544" s="3"/>
      <c r="H544" s="16"/>
      <c r="I544" s="16"/>
      <c r="J544" s="3"/>
      <c r="K544" s="17"/>
      <c r="L544" s="16"/>
      <c r="M544" s="3"/>
      <c r="N544" s="3"/>
      <c r="O544" s="2"/>
      <c r="P544" s="3" t="s">
        <v>54</v>
      </c>
      <c r="Q544" s="3"/>
      <c r="R544" s="3"/>
      <c r="S544" s="16"/>
      <c r="T544" s="3"/>
      <c r="U544" s="3"/>
      <c r="V544" s="3"/>
      <c r="W544" s="16"/>
      <c r="X544" s="16"/>
      <c r="Y544" s="3"/>
      <c r="Z544" s="18"/>
      <c r="AA544" s="3"/>
      <c r="AB544" s="16"/>
      <c r="AC544" s="16"/>
      <c r="AD544" s="16"/>
      <c r="AE544" s="9"/>
      <c r="AF544" s="16"/>
      <c r="AG544" s="16"/>
      <c r="AH544" s="16"/>
      <c r="AI544" s="16"/>
      <c r="AJ544" s="16"/>
      <c r="AK544" s="16"/>
      <c r="AL544" s="16"/>
      <c r="AM544" s="3"/>
      <c r="AN544" s="3"/>
      <c r="AO544" s="3"/>
      <c r="AP544" s="3"/>
      <c r="AQ544" s="3"/>
      <c r="AR544" s="3"/>
      <c r="AS544" s="3"/>
      <c r="AT544" s="3"/>
      <c r="AU544" s="3"/>
      <c r="AV544" s="3"/>
    </row>
    <row r="545" spans="1:48" hidden="1" x14ac:dyDescent="0.25">
      <c r="A545" s="31"/>
      <c r="B545" s="31"/>
      <c r="C545" s="3"/>
      <c r="D545" s="3"/>
      <c r="E545" s="2"/>
      <c r="F545" s="3"/>
      <c r="G545" s="3"/>
      <c r="H545" s="16"/>
      <c r="I545" s="16"/>
      <c r="J545" s="3"/>
      <c r="K545" s="17"/>
      <c r="L545" s="16"/>
      <c r="M545" s="3"/>
      <c r="N545" s="3"/>
      <c r="O545" s="2"/>
      <c r="P545" s="3" t="s">
        <v>54</v>
      </c>
      <c r="Q545" s="3"/>
      <c r="R545" s="3"/>
      <c r="S545" s="16"/>
      <c r="T545" s="3"/>
      <c r="U545" s="3"/>
      <c r="V545" s="3"/>
      <c r="W545" s="16"/>
      <c r="X545" s="16"/>
      <c r="Y545" s="3"/>
      <c r="Z545" s="18"/>
      <c r="AA545" s="3"/>
      <c r="AB545" s="16"/>
      <c r="AC545" s="16"/>
      <c r="AD545" s="16"/>
      <c r="AE545" s="9"/>
      <c r="AF545" s="16"/>
      <c r="AG545" s="16"/>
      <c r="AH545" s="16"/>
      <c r="AI545" s="16"/>
      <c r="AJ545" s="16"/>
      <c r="AK545" s="16"/>
      <c r="AL545" s="16"/>
      <c r="AM545" s="3"/>
      <c r="AN545" s="3"/>
      <c r="AO545" s="3"/>
      <c r="AP545" s="3"/>
      <c r="AQ545" s="3"/>
      <c r="AR545" s="3"/>
      <c r="AS545" s="3"/>
      <c r="AT545" s="3"/>
      <c r="AU545" s="3"/>
      <c r="AV545" s="3"/>
    </row>
    <row r="546" spans="1:48" hidden="1" x14ac:dyDescent="0.25">
      <c r="A546" s="31"/>
      <c r="B546" s="31"/>
      <c r="C546" s="3"/>
      <c r="D546" s="3"/>
      <c r="E546" s="2"/>
      <c r="F546" s="3"/>
      <c r="G546" s="3"/>
      <c r="H546" s="16"/>
      <c r="I546" s="16"/>
      <c r="J546" s="3"/>
      <c r="K546" s="17"/>
      <c r="L546" s="16"/>
      <c r="M546" s="3"/>
      <c r="N546" s="3"/>
      <c r="O546" s="2"/>
      <c r="P546" s="3" t="s">
        <v>54</v>
      </c>
      <c r="Q546" s="3"/>
      <c r="R546" s="3"/>
      <c r="S546" s="16"/>
      <c r="T546" s="3"/>
      <c r="U546" s="3"/>
      <c r="V546" s="3"/>
      <c r="W546" s="16"/>
      <c r="X546" s="16"/>
      <c r="Y546" s="3"/>
      <c r="Z546" s="18"/>
      <c r="AA546" s="3"/>
      <c r="AB546" s="16"/>
      <c r="AC546" s="16"/>
      <c r="AD546" s="16"/>
      <c r="AE546" s="9"/>
      <c r="AF546" s="16"/>
      <c r="AG546" s="16"/>
      <c r="AH546" s="16"/>
      <c r="AI546" s="16"/>
      <c r="AJ546" s="16"/>
      <c r="AK546" s="16"/>
      <c r="AL546" s="16"/>
      <c r="AM546" s="3"/>
      <c r="AN546" s="3"/>
      <c r="AO546" s="3"/>
      <c r="AP546" s="3"/>
      <c r="AQ546" s="3"/>
      <c r="AR546" s="3"/>
      <c r="AS546" s="3"/>
      <c r="AT546" s="3"/>
      <c r="AU546" s="3"/>
      <c r="AV546" s="3"/>
    </row>
    <row r="547" spans="1:48" x14ac:dyDescent="0.25">
      <c r="A547" s="15">
        <f t="shared" ref="A547" si="2214">1+A543</f>
        <v>137</v>
      </c>
      <c r="B547" s="15"/>
      <c r="C547" s="2"/>
      <c r="D547" s="2"/>
      <c r="E547" s="24" t="str">
        <f t="shared" ref="E547" si="2215">+AQ547</f>
        <v/>
      </c>
      <c r="F547" s="30"/>
      <c r="G547" s="24" t="str">
        <f t="shared" ref="G547" si="2216">+AV547</f>
        <v>300100</v>
      </c>
      <c r="H547" s="16">
        <f t="shared" ref="H547" si="2217">+AK547</f>
        <v>0</v>
      </c>
      <c r="I547" s="16">
        <f t="shared" ref="I547" si="2218">+ROUND(AD547,2)</f>
        <v>0</v>
      </c>
      <c r="J547" s="2"/>
      <c r="K547" s="17">
        <f t="shared" ref="K547" si="2219">+AE547</f>
        <v>0</v>
      </c>
      <c r="L547" s="16">
        <f t="shared" ref="L547" si="2220">+AJ547</f>
        <v>0</v>
      </c>
      <c r="M547" s="32" t="s">
        <v>5</v>
      </c>
      <c r="N547" s="30"/>
      <c r="O547" s="2"/>
      <c r="P547" s="30"/>
      <c r="Q547" s="32" t="s">
        <v>0</v>
      </c>
      <c r="R547" s="24"/>
      <c r="S547" s="24" t="str">
        <f t="shared" ref="S547" si="2221">+RIGHT(O547,7)</f>
        <v/>
      </c>
      <c r="T547" s="2"/>
      <c r="U547" s="3" t="s">
        <v>1</v>
      </c>
      <c r="V547" s="3" t="s">
        <v>3</v>
      </c>
      <c r="W547" s="16">
        <f t="shared" ref="W547" si="2222">+AI547</f>
        <v>0</v>
      </c>
      <c r="X547" s="16">
        <f t="shared" ref="X547" si="2223">+AJ547</f>
        <v>0</v>
      </c>
      <c r="Y547" s="3" t="s">
        <v>4</v>
      </c>
      <c r="Z547" s="18">
        <f t="shared" ref="Z547" si="2224">+F547</f>
        <v>0</v>
      </c>
      <c r="AA547" s="61"/>
      <c r="AB547" s="65"/>
      <c r="AC547" s="16">
        <f>+AB547*0.18</f>
        <v>0</v>
      </c>
      <c r="AD547" s="16">
        <f>+AB547+AC547</f>
        <v>0</v>
      </c>
      <c r="AE547" s="68"/>
      <c r="AF547" s="16">
        <f t="shared" ref="AF547" si="2225">+AB547*AE547</f>
        <v>0</v>
      </c>
      <c r="AG547" s="16">
        <f t="shared" ref="AG547" si="2226">+AC547*AE547</f>
        <v>0</v>
      </c>
      <c r="AH547" s="16">
        <f t="shared" ref="AH547" si="2227">+AD547*AE547</f>
        <v>0</v>
      </c>
      <c r="AI547" s="16">
        <f t="shared" ref="AI547" si="2228">+ROUND(AF547,2)</f>
        <v>0</v>
      </c>
      <c r="AJ547" s="16">
        <f t="shared" ref="AJ547" si="2229">+ROUND(AG547,2)</f>
        <v>0</v>
      </c>
      <c r="AK547" s="16">
        <f t="shared" ref="AK547" si="2230">+AI547+AJ547</f>
        <v>0</v>
      </c>
      <c r="AL547" s="16">
        <f t="shared" ref="AL547" si="2231">+AI547+AJ547-AK547</f>
        <v>0</v>
      </c>
      <c r="AM547" s="44"/>
      <c r="AN547" s="41" t="str">
        <f t="shared" ref="AN547" si="2232">+LEFT(AM547,2)</f>
        <v/>
      </c>
      <c r="AO547" s="41" t="str">
        <f t="shared" ref="AO547" si="2233">+MID(AM547,4,2)</f>
        <v/>
      </c>
      <c r="AP547" s="41" t="str">
        <f t="shared" ref="AP547" si="2234">+RIGHT(AM547,2)</f>
        <v/>
      </c>
      <c r="AQ547" s="41" t="str">
        <f t="shared" ref="AQ547" si="2235">+CONCATENATE(AN547,AO547,AP547)</f>
        <v/>
      </c>
      <c r="AR547" s="45">
        <f t="shared" ref="AR547" si="2236">+AM547+30</f>
        <v>30</v>
      </c>
      <c r="AS547" s="46">
        <f t="shared" ref="AS547" si="2237">+DAY(AR547)</f>
        <v>30</v>
      </c>
      <c r="AT547" s="41">
        <f t="shared" ref="AT547" si="2238">+MONTH(AR547)</f>
        <v>1</v>
      </c>
      <c r="AU547" s="41">
        <f t="shared" ref="AU547" si="2239">+YEAR(AR547)</f>
        <v>1900</v>
      </c>
      <c r="AV547" s="41" t="str">
        <f t="shared" ref="AV547" si="2240">+CONCATENATE(TEXT(AS547,"00"),TEXT(AT547,"00"),RIGHT(AU547,2))</f>
        <v>300100</v>
      </c>
    </row>
    <row r="548" spans="1:48" hidden="1" x14ac:dyDescent="0.25">
      <c r="A548" s="31"/>
      <c r="B548" s="31"/>
      <c r="C548" s="3"/>
      <c r="D548" s="3"/>
      <c r="E548" s="2"/>
      <c r="F548" s="3"/>
      <c r="G548" s="3"/>
      <c r="H548" s="16"/>
      <c r="I548" s="16"/>
      <c r="J548" s="3"/>
      <c r="K548" s="17"/>
      <c r="L548" s="16"/>
      <c r="M548" s="3"/>
      <c r="N548" s="3"/>
      <c r="O548" s="2"/>
      <c r="P548" s="3" t="s">
        <v>54</v>
      </c>
      <c r="Q548" s="3"/>
      <c r="R548" s="3"/>
      <c r="S548" s="16"/>
      <c r="T548" s="3"/>
      <c r="U548" s="3"/>
      <c r="V548" s="3"/>
      <c r="W548" s="16"/>
      <c r="X548" s="16"/>
      <c r="Y548" s="3"/>
      <c r="Z548" s="18"/>
      <c r="AA548" s="3"/>
      <c r="AB548" s="16"/>
      <c r="AC548" s="16"/>
      <c r="AD548" s="16"/>
      <c r="AE548" s="9"/>
      <c r="AF548" s="16"/>
      <c r="AG548" s="16"/>
      <c r="AH548" s="16"/>
      <c r="AI548" s="16"/>
      <c r="AJ548" s="16"/>
      <c r="AK548" s="16"/>
      <c r="AL548" s="16"/>
      <c r="AM548" s="3"/>
      <c r="AN548" s="3"/>
      <c r="AO548" s="3"/>
      <c r="AP548" s="3"/>
      <c r="AQ548" s="3"/>
      <c r="AR548" s="3"/>
      <c r="AS548" s="3"/>
      <c r="AT548" s="3"/>
      <c r="AU548" s="3"/>
      <c r="AV548" s="3"/>
    </row>
    <row r="549" spans="1:48" hidden="1" x14ac:dyDescent="0.25">
      <c r="A549" s="31"/>
      <c r="B549" s="31"/>
      <c r="C549" s="3"/>
      <c r="D549" s="3"/>
      <c r="E549" s="2"/>
      <c r="F549" s="3"/>
      <c r="G549" s="3"/>
      <c r="H549" s="16"/>
      <c r="I549" s="16"/>
      <c r="J549" s="3"/>
      <c r="K549" s="17"/>
      <c r="L549" s="16"/>
      <c r="M549" s="3"/>
      <c r="N549" s="3"/>
      <c r="O549" s="2"/>
      <c r="P549" s="3" t="s">
        <v>54</v>
      </c>
      <c r="Q549" s="3"/>
      <c r="R549" s="3"/>
      <c r="S549" s="16"/>
      <c r="T549" s="3"/>
      <c r="U549" s="3"/>
      <c r="V549" s="3"/>
      <c r="W549" s="16"/>
      <c r="X549" s="16"/>
      <c r="Y549" s="3"/>
      <c r="Z549" s="18"/>
      <c r="AA549" s="3"/>
      <c r="AB549" s="16"/>
      <c r="AC549" s="16"/>
      <c r="AD549" s="16"/>
      <c r="AE549" s="9"/>
      <c r="AF549" s="16"/>
      <c r="AG549" s="16"/>
      <c r="AH549" s="16"/>
      <c r="AI549" s="16"/>
      <c r="AJ549" s="16"/>
      <c r="AK549" s="16"/>
      <c r="AL549" s="16"/>
      <c r="AM549" s="3"/>
      <c r="AN549" s="3"/>
      <c r="AO549" s="3"/>
      <c r="AP549" s="3"/>
      <c r="AQ549" s="3"/>
      <c r="AR549" s="3"/>
      <c r="AS549" s="3"/>
      <c r="AT549" s="3"/>
      <c r="AU549" s="3"/>
      <c r="AV549" s="3"/>
    </row>
    <row r="550" spans="1:48" hidden="1" x14ac:dyDescent="0.25">
      <c r="A550" s="31"/>
      <c r="B550" s="31"/>
      <c r="C550" s="3"/>
      <c r="D550" s="3"/>
      <c r="E550" s="2"/>
      <c r="F550" s="3"/>
      <c r="G550" s="3"/>
      <c r="H550" s="16"/>
      <c r="I550" s="16"/>
      <c r="J550" s="3"/>
      <c r="K550" s="17"/>
      <c r="L550" s="16"/>
      <c r="M550" s="3"/>
      <c r="N550" s="3"/>
      <c r="O550" s="2"/>
      <c r="P550" s="3" t="s">
        <v>54</v>
      </c>
      <c r="Q550" s="3"/>
      <c r="R550" s="3"/>
      <c r="S550" s="16"/>
      <c r="T550" s="3"/>
      <c r="U550" s="3"/>
      <c r="V550" s="3"/>
      <c r="W550" s="16"/>
      <c r="X550" s="16"/>
      <c r="Y550" s="3"/>
      <c r="Z550" s="18"/>
      <c r="AA550" s="3"/>
      <c r="AB550" s="16"/>
      <c r="AC550" s="16"/>
      <c r="AD550" s="16"/>
      <c r="AE550" s="9"/>
      <c r="AF550" s="16"/>
      <c r="AG550" s="16"/>
      <c r="AH550" s="16"/>
      <c r="AI550" s="16"/>
      <c r="AJ550" s="16"/>
      <c r="AK550" s="16"/>
      <c r="AL550" s="16"/>
      <c r="AM550" s="3"/>
      <c r="AN550" s="3"/>
      <c r="AO550" s="3"/>
      <c r="AP550" s="3"/>
      <c r="AQ550" s="3"/>
      <c r="AR550" s="3"/>
      <c r="AS550" s="3"/>
      <c r="AT550" s="3"/>
      <c r="AU550" s="3"/>
      <c r="AV550" s="3"/>
    </row>
    <row r="551" spans="1:48" x14ac:dyDescent="0.25">
      <c r="A551" s="15">
        <f t="shared" ref="A551" si="2241">1+A547</f>
        <v>138</v>
      </c>
      <c r="B551" s="15"/>
      <c r="C551" s="2"/>
      <c r="D551" s="2"/>
      <c r="E551" s="24" t="str">
        <f t="shared" ref="E551" si="2242">+AQ551</f>
        <v/>
      </c>
      <c r="F551" s="30"/>
      <c r="G551" s="24" t="str">
        <f t="shared" ref="G551" si="2243">+AV551</f>
        <v>300100</v>
      </c>
      <c r="H551" s="16">
        <f t="shared" ref="H551" si="2244">+AK551</f>
        <v>0</v>
      </c>
      <c r="I551" s="16">
        <f t="shared" ref="I551" si="2245">+ROUND(AD551,2)</f>
        <v>0</v>
      </c>
      <c r="J551" s="2"/>
      <c r="K551" s="17">
        <f t="shared" ref="K551" si="2246">+AE551</f>
        <v>0</v>
      </c>
      <c r="L551" s="16">
        <f t="shared" ref="L551" si="2247">+AJ551</f>
        <v>0</v>
      </c>
      <c r="M551" s="32" t="s">
        <v>5</v>
      </c>
      <c r="N551" s="30"/>
      <c r="O551" s="2"/>
      <c r="P551" s="30"/>
      <c r="Q551" s="32" t="s">
        <v>0</v>
      </c>
      <c r="R551" s="24"/>
      <c r="S551" s="24" t="str">
        <f t="shared" ref="S551" si="2248">+RIGHT(O551,7)</f>
        <v/>
      </c>
      <c r="T551" s="2"/>
      <c r="U551" s="3" t="s">
        <v>1</v>
      </c>
      <c r="V551" s="3" t="s">
        <v>3</v>
      </c>
      <c r="W551" s="16">
        <f t="shared" ref="W551" si="2249">+AI551</f>
        <v>0</v>
      </c>
      <c r="X551" s="16">
        <f t="shared" ref="X551" si="2250">+AJ551</f>
        <v>0</v>
      </c>
      <c r="Y551" s="3" t="s">
        <v>4</v>
      </c>
      <c r="Z551" s="18">
        <f t="shared" ref="Z551" si="2251">+F551</f>
        <v>0</v>
      </c>
      <c r="AA551" s="61"/>
      <c r="AB551" s="65"/>
      <c r="AC551" s="16">
        <f>+AB551*0.18</f>
        <v>0</v>
      </c>
      <c r="AD551" s="16">
        <f>+AB551+AC551</f>
        <v>0</v>
      </c>
      <c r="AE551" s="68"/>
      <c r="AF551" s="16">
        <f t="shared" ref="AF551" si="2252">+AB551*AE551</f>
        <v>0</v>
      </c>
      <c r="AG551" s="16">
        <f t="shared" ref="AG551" si="2253">+AC551*AE551</f>
        <v>0</v>
      </c>
      <c r="AH551" s="16">
        <f t="shared" ref="AH551" si="2254">+AD551*AE551</f>
        <v>0</v>
      </c>
      <c r="AI551" s="16">
        <f t="shared" ref="AI551" si="2255">+ROUND(AF551,2)</f>
        <v>0</v>
      </c>
      <c r="AJ551" s="16">
        <f t="shared" ref="AJ551" si="2256">+ROUND(AG551,2)</f>
        <v>0</v>
      </c>
      <c r="AK551" s="16">
        <f t="shared" ref="AK551" si="2257">+AI551+AJ551</f>
        <v>0</v>
      </c>
      <c r="AL551" s="16">
        <f t="shared" ref="AL551" si="2258">+AI551+AJ551-AK551</f>
        <v>0</v>
      </c>
      <c r="AM551" s="44"/>
      <c r="AN551" s="41" t="str">
        <f t="shared" ref="AN551" si="2259">+LEFT(AM551,2)</f>
        <v/>
      </c>
      <c r="AO551" s="41" t="str">
        <f t="shared" ref="AO551" si="2260">+MID(AM551,4,2)</f>
        <v/>
      </c>
      <c r="AP551" s="41" t="str">
        <f t="shared" ref="AP551" si="2261">+RIGHT(AM551,2)</f>
        <v/>
      </c>
      <c r="AQ551" s="41" t="str">
        <f t="shared" ref="AQ551" si="2262">+CONCATENATE(AN551,AO551,AP551)</f>
        <v/>
      </c>
      <c r="AR551" s="45">
        <f t="shared" ref="AR551" si="2263">+AM551+30</f>
        <v>30</v>
      </c>
      <c r="AS551" s="46">
        <f t="shared" ref="AS551" si="2264">+DAY(AR551)</f>
        <v>30</v>
      </c>
      <c r="AT551" s="41">
        <f t="shared" ref="AT551" si="2265">+MONTH(AR551)</f>
        <v>1</v>
      </c>
      <c r="AU551" s="41">
        <f t="shared" ref="AU551" si="2266">+YEAR(AR551)</f>
        <v>1900</v>
      </c>
      <c r="AV551" s="41" t="str">
        <f t="shared" ref="AV551" si="2267">+CONCATENATE(TEXT(AS551,"00"),TEXT(AT551,"00"),RIGHT(AU551,2))</f>
        <v>300100</v>
      </c>
    </row>
    <row r="552" spans="1:48" hidden="1" x14ac:dyDescent="0.25">
      <c r="A552" s="31"/>
      <c r="B552" s="31"/>
      <c r="C552" s="3"/>
      <c r="D552" s="3"/>
      <c r="E552" s="2"/>
      <c r="F552" s="3"/>
      <c r="G552" s="3"/>
      <c r="H552" s="16"/>
      <c r="I552" s="16"/>
      <c r="J552" s="3"/>
      <c r="K552" s="17"/>
      <c r="L552" s="16"/>
      <c r="M552" s="3"/>
      <c r="N552" s="3"/>
      <c r="O552" s="2"/>
      <c r="P552" s="3" t="s">
        <v>54</v>
      </c>
      <c r="Q552" s="3"/>
      <c r="R552" s="3"/>
      <c r="S552" s="16"/>
      <c r="T552" s="3"/>
      <c r="U552" s="3"/>
      <c r="V552" s="3"/>
      <c r="W552" s="16"/>
      <c r="X552" s="16"/>
      <c r="Y552" s="3"/>
      <c r="Z552" s="18"/>
      <c r="AA552" s="3"/>
      <c r="AB552" s="16"/>
      <c r="AC552" s="16"/>
      <c r="AD552" s="16"/>
      <c r="AE552" s="9"/>
      <c r="AF552" s="16"/>
      <c r="AG552" s="16"/>
      <c r="AH552" s="16"/>
      <c r="AI552" s="16"/>
      <c r="AJ552" s="16"/>
      <c r="AK552" s="16"/>
      <c r="AL552" s="16"/>
      <c r="AM552" s="3"/>
      <c r="AN552" s="3"/>
      <c r="AO552" s="3"/>
      <c r="AP552" s="3"/>
      <c r="AQ552" s="3"/>
      <c r="AR552" s="3"/>
      <c r="AS552" s="3"/>
      <c r="AT552" s="3"/>
      <c r="AU552" s="3"/>
      <c r="AV552" s="3"/>
    </row>
    <row r="553" spans="1:48" hidden="1" x14ac:dyDescent="0.25">
      <c r="A553" s="31"/>
      <c r="B553" s="31"/>
      <c r="C553" s="3"/>
      <c r="D553" s="3"/>
      <c r="E553" s="2"/>
      <c r="F553" s="3"/>
      <c r="G553" s="3"/>
      <c r="H553" s="16"/>
      <c r="I553" s="16"/>
      <c r="J553" s="3"/>
      <c r="K553" s="17"/>
      <c r="L553" s="16"/>
      <c r="M553" s="3"/>
      <c r="N553" s="3"/>
      <c r="O553" s="2"/>
      <c r="P553" s="3" t="s">
        <v>54</v>
      </c>
      <c r="Q553" s="3"/>
      <c r="R553" s="3"/>
      <c r="S553" s="16"/>
      <c r="T553" s="3"/>
      <c r="U553" s="3"/>
      <c r="V553" s="3"/>
      <c r="W553" s="16"/>
      <c r="X553" s="16"/>
      <c r="Y553" s="3"/>
      <c r="Z553" s="18"/>
      <c r="AA553" s="3"/>
      <c r="AB553" s="16"/>
      <c r="AC553" s="16"/>
      <c r="AD553" s="16"/>
      <c r="AE553" s="9"/>
      <c r="AF553" s="16"/>
      <c r="AG553" s="16"/>
      <c r="AH553" s="16"/>
      <c r="AI553" s="16"/>
      <c r="AJ553" s="16"/>
      <c r="AK553" s="16"/>
      <c r="AL553" s="16"/>
      <c r="AM553" s="3"/>
      <c r="AN553" s="3"/>
      <c r="AO553" s="3"/>
      <c r="AP553" s="3"/>
      <c r="AQ553" s="3"/>
      <c r="AR553" s="3"/>
      <c r="AS553" s="3"/>
      <c r="AT553" s="3"/>
      <c r="AU553" s="3"/>
      <c r="AV553" s="3"/>
    </row>
    <row r="554" spans="1:48" hidden="1" x14ac:dyDescent="0.25">
      <c r="A554" s="31"/>
      <c r="B554" s="31"/>
      <c r="C554" s="3"/>
      <c r="D554" s="3"/>
      <c r="E554" s="2"/>
      <c r="F554" s="3"/>
      <c r="G554" s="3"/>
      <c r="H554" s="16"/>
      <c r="I554" s="16"/>
      <c r="J554" s="3"/>
      <c r="K554" s="17"/>
      <c r="L554" s="16"/>
      <c r="M554" s="3"/>
      <c r="N554" s="3"/>
      <c r="O554" s="2"/>
      <c r="P554" s="3" t="s">
        <v>54</v>
      </c>
      <c r="Q554" s="3"/>
      <c r="R554" s="3"/>
      <c r="S554" s="16"/>
      <c r="T554" s="3"/>
      <c r="U554" s="3"/>
      <c r="V554" s="3"/>
      <c r="W554" s="16"/>
      <c r="X554" s="16"/>
      <c r="Y554" s="3"/>
      <c r="Z554" s="18"/>
      <c r="AA554" s="3"/>
      <c r="AB554" s="16"/>
      <c r="AC554" s="16"/>
      <c r="AD554" s="16"/>
      <c r="AE554" s="9"/>
      <c r="AF554" s="16"/>
      <c r="AG554" s="16"/>
      <c r="AH554" s="16"/>
      <c r="AI554" s="16"/>
      <c r="AJ554" s="16"/>
      <c r="AK554" s="16"/>
      <c r="AL554" s="16"/>
      <c r="AM554" s="3"/>
      <c r="AN554" s="3"/>
      <c r="AO554" s="3"/>
      <c r="AP554" s="3"/>
      <c r="AQ554" s="3"/>
      <c r="AR554" s="3"/>
      <c r="AS554" s="3"/>
      <c r="AT554" s="3"/>
      <c r="AU554" s="3"/>
      <c r="AV554" s="3"/>
    </row>
    <row r="555" spans="1:48" x14ac:dyDescent="0.25">
      <c r="A555" s="15">
        <f t="shared" ref="A555" si="2268">1+A551</f>
        <v>139</v>
      </c>
      <c r="B555" s="15"/>
      <c r="C555" s="2"/>
      <c r="D555" s="2"/>
      <c r="E555" s="24" t="str">
        <f t="shared" ref="E555" si="2269">+AQ555</f>
        <v/>
      </c>
      <c r="F555" s="30"/>
      <c r="G555" s="24" t="str">
        <f t="shared" ref="G555" si="2270">+AV555</f>
        <v>300100</v>
      </c>
      <c r="H555" s="16">
        <f t="shared" ref="H555" si="2271">+AK555</f>
        <v>0</v>
      </c>
      <c r="I555" s="16">
        <f t="shared" ref="I555" si="2272">+ROUND(AD555,2)</f>
        <v>0</v>
      </c>
      <c r="J555" s="2"/>
      <c r="K555" s="17">
        <f t="shared" ref="K555" si="2273">+AE555</f>
        <v>0</v>
      </c>
      <c r="L555" s="16">
        <f t="shared" ref="L555" si="2274">+AJ555</f>
        <v>0</v>
      </c>
      <c r="M555" s="32" t="s">
        <v>5</v>
      </c>
      <c r="N555" s="30"/>
      <c r="O555" s="2"/>
      <c r="P555" s="30"/>
      <c r="Q555" s="32" t="s">
        <v>0</v>
      </c>
      <c r="R555" s="24"/>
      <c r="S555" s="24" t="str">
        <f t="shared" ref="S555" si="2275">+RIGHT(O555,7)</f>
        <v/>
      </c>
      <c r="T555" s="2"/>
      <c r="U555" s="3" t="s">
        <v>1</v>
      </c>
      <c r="V555" s="3" t="s">
        <v>3</v>
      </c>
      <c r="W555" s="16">
        <f t="shared" ref="W555" si="2276">+AI555</f>
        <v>0</v>
      </c>
      <c r="X555" s="16">
        <f t="shared" ref="X555" si="2277">+AJ555</f>
        <v>0</v>
      </c>
      <c r="Y555" s="3" t="s">
        <v>4</v>
      </c>
      <c r="Z555" s="18">
        <f t="shared" ref="Z555" si="2278">+F555</f>
        <v>0</v>
      </c>
      <c r="AA555" s="61"/>
      <c r="AB555" s="65"/>
      <c r="AC555" s="16">
        <f>+AB555*0.18</f>
        <v>0</v>
      </c>
      <c r="AD555" s="16">
        <f>+AB555+AC555</f>
        <v>0</v>
      </c>
      <c r="AE555" s="68"/>
      <c r="AF555" s="16">
        <f t="shared" ref="AF555" si="2279">+AB555*AE555</f>
        <v>0</v>
      </c>
      <c r="AG555" s="16">
        <f t="shared" ref="AG555" si="2280">+AC555*AE555</f>
        <v>0</v>
      </c>
      <c r="AH555" s="16">
        <f t="shared" ref="AH555" si="2281">+AD555*AE555</f>
        <v>0</v>
      </c>
      <c r="AI555" s="16">
        <f t="shared" ref="AI555" si="2282">+ROUND(AF555,2)</f>
        <v>0</v>
      </c>
      <c r="AJ555" s="16">
        <f t="shared" ref="AJ555" si="2283">+ROUND(AG555,2)</f>
        <v>0</v>
      </c>
      <c r="AK555" s="16">
        <f t="shared" ref="AK555" si="2284">+AI555+AJ555</f>
        <v>0</v>
      </c>
      <c r="AL555" s="16">
        <f t="shared" ref="AL555" si="2285">+AI555+AJ555-AK555</f>
        <v>0</v>
      </c>
      <c r="AM555" s="44"/>
      <c r="AN555" s="41" t="str">
        <f t="shared" ref="AN555" si="2286">+LEFT(AM555,2)</f>
        <v/>
      </c>
      <c r="AO555" s="41" t="str">
        <f t="shared" ref="AO555" si="2287">+MID(AM555,4,2)</f>
        <v/>
      </c>
      <c r="AP555" s="41" t="str">
        <f t="shared" ref="AP555" si="2288">+RIGHT(AM555,2)</f>
        <v/>
      </c>
      <c r="AQ555" s="41" t="str">
        <f t="shared" ref="AQ555" si="2289">+CONCATENATE(AN555,AO555,AP555)</f>
        <v/>
      </c>
      <c r="AR555" s="45">
        <f t="shared" ref="AR555" si="2290">+AM555+30</f>
        <v>30</v>
      </c>
      <c r="AS555" s="46">
        <f t="shared" ref="AS555" si="2291">+DAY(AR555)</f>
        <v>30</v>
      </c>
      <c r="AT555" s="41">
        <f t="shared" ref="AT555" si="2292">+MONTH(AR555)</f>
        <v>1</v>
      </c>
      <c r="AU555" s="41">
        <f t="shared" ref="AU555" si="2293">+YEAR(AR555)</f>
        <v>1900</v>
      </c>
      <c r="AV555" s="41" t="str">
        <f t="shared" ref="AV555" si="2294">+CONCATENATE(TEXT(AS555,"00"),TEXT(AT555,"00"),RIGHT(AU555,2))</f>
        <v>300100</v>
      </c>
    </row>
    <row r="556" spans="1:48" hidden="1" x14ac:dyDescent="0.25">
      <c r="A556" s="31"/>
      <c r="B556" s="31"/>
      <c r="C556" s="3"/>
      <c r="D556" s="3"/>
      <c r="E556" s="2"/>
      <c r="F556" s="3"/>
      <c r="G556" s="3"/>
      <c r="H556" s="16"/>
      <c r="I556" s="16"/>
      <c r="J556" s="3"/>
      <c r="K556" s="17"/>
      <c r="L556" s="16"/>
      <c r="M556" s="3"/>
      <c r="N556" s="3"/>
      <c r="O556" s="2"/>
      <c r="P556" s="3" t="s">
        <v>54</v>
      </c>
      <c r="Q556" s="3"/>
      <c r="R556" s="3"/>
      <c r="S556" s="16"/>
      <c r="T556" s="3"/>
      <c r="U556" s="3"/>
      <c r="V556" s="3"/>
      <c r="W556" s="16"/>
      <c r="X556" s="16"/>
      <c r="Y556" s="3"/>
      <c r="Z556" s="18"/>
      <c r="AA556" s="3"/>
      <c r="AB556" s="16"/>
      <c r="AC556" s="16"/>
      <c r="AD556" s="16"/>
      <c r="AE556" s="9"/>
      <c r="AF556" s="16"/>
      <c r="AG556" s="16"/>
      <c r="AH556" s="16"/>
      <c r="AI556" s="16"/>
      <c r="AJ556" s="16"/>
      <c r="AK556" s="16"/>
      <c r="AL556" s="16"/>
      <c r="AM556" s="3"/>
      <c r="AN556" s="3"/>
      <c r="AO556" s="3"/>
      <c r="AP556" s="3"/>
      <c r="AQ556" s="3"/>
      <c r="AR556" s="3"/>
      <c r="AS556" s="3"/>
      <c r="AT556" s="3"/>
      <c r="AU556" s="3"/>
      <c r="AV556" s="3"/>
    </row>
    <row r="557" spans="1:48" hidden="1" x14ac:dyDescent="0.25">
      <c r="A557" s="31"/>
      <c r="B557" s="31"/>
      <c r="C557" s="3"/>
      <c r="D557" s="3"/>
      <c r="E557" s="2"/>
      <c r="F557" s="3"/>
      <c r="G557" s="3"/>
      <c r="H557" s="16"/>
      <c r="I557" s="16"/>
      <c r="J557" s="3"/>
      <c r="K557" s="17"/>
      <c r="L557" s="16"/>
      <c r="M557" s="3"/>
      <c r="N557" s="3"/>
      <c r="O557" s="2"/>
      <c r="P557" s="3" t="s">
        <v>54</v>
      </c>
      <c r="Q557" s="3"/>
      <c r="R557" s="3"/>
      <c r="S557" s="16"/>
      <c r="T557" s="3"/>
      <c r="U557" s="3"/>
      <c r="V557" s="3"/>
      <c r="W557" s="16"/>
      <c r="X557" s="16"/>
      <c r="Y557" s="3"/>
      <c r="Z557" s="18"/>
      <c r="AA557" s="3"/>
      <c r="AB557" s="16"/>
      <c r="AC557" s="16"/>
      <c r="AD557" s="16"/>
      <c r="AE557" s="9"/>
      <c r="AF557" s="16"/>
      <c r="AG557" s="16"/>
      <c r="AH557" s="16"/>
      <c r="AI557" s="16"/>
      <c r="AJ557" s="16"/>
      <c r="AK557" s="16"/>
      <c r="AL557" s="16"/>
      <c r="AM557" s="3"/>
      <c r="AN557" s="3"/>
      <c r="AO557" s="3"/>
      <c r="AP557" s="3"/>
      <c r="AQ557" s="3"/>
      <c r="AR557" s="3"/>
      <c r="AS557" s="3"/>
      <c r="AT557" s="3"/>
      <c r="AU557" s="3"/>
      <c r="AV557" s="3"/>
    </row>
    <row r="558" spans="1:48" hidden="1" x14ac:dyDescent="0.25">
      <c r="A558" s="31"/>
      <c r="B558" s="31"/>
      <c r="C558" s="3"/>
      <c r="D558" s="3"/>
      <c r="E558" s="2"/>
      <c r="F558" s="3"/>
      <c r="G558" s="3"/>
      <c r="H558" s="16"/>
      <c r="I558" s="16"/>
      <c r="J558" s="3"/>
      <c r="K558" s="17"/>
      <c r="L558" s="16"/>
      <c r="M558" s="3"/>
      <c r="N558" s="3"/>
      <c r="O558" s="2"/>
      <c r="P558" s="3" t="s">
        <v>54</v>
      </c>
      <c r="Q558" s="3"/>
      <c r="R558" s="3"/>
      <c r="S558" s="16"/>
      <c r="T558" s="3"/>
      <c r="U558" s="3"/>
      <c r="V558" s="3"/>
      <c r="W558" s="16"/>
      <c r="X558" s="16"/>
      <c r="Y558" s="3"/>
      <c r="Z558" s="18"/>
      <c r="AA558" s="3"/>
      <c r="AB558" s="16"/>
      <c r="AC558" s="16"/>
      <c r="AD558" s="16"/>
      <c r="AE558" s="9"/>
      <c r="AF558" s="16"/>
      <c r="AG558" s="16"/>
      <c r="AH558" s="16"/>
      <c r="AI558" s="16"/>
      <c r="AJ558" s="16"/>
      <c r="AK558" s="16"/>
      <c r="AL558" s="16"/>
      <c r="AM558" s="3"/>
      <c r="AN558" s="3"/>
      <c r="AO558" s="3"/>
      <c r="AP558" s="3"/>
      <c r="AQ558" s="3"/>
      <c r="AR558" s="3"/>
      <c r="AS558" s="3"/>
      <c r="AT558" s="3"/>
      <c r="AU558" s="3"/>
      <c r="AV558" s="3"/>
    </row>
    <row r="559" spans="1:48" x14ac:dyDescent="0.25">
      <c r="A559" s="15">
        <f t="shared" ref="A559" si="2295">1+A555</f>
        <v>140</v>
      </c>
      <c r="B559" s="15"/>
      <c r="C559" s="2"/>
      <c r="D559" s="2"/>
      <c r="E559" s="24" t="str">
        <f t="shared" ref="E559" si="2296">+AQ559</f>
        <v/>
      </c>
      <c r="F559" s="30"/>
      <c r="G559" s="24" t="str">
        <f t="shared" ref="G559" si="2297">+AV559</f>
        <v>300100</v>
      </c>
      <c r="H559" s="16">
        <f t="shared" ref="H559" si="2298">+AK559</f>
        <v>0</v>
      </c>
      <c r="I559" s="16">
        <f t="shared" ref="I559" si="2299">+ROUND(AD559,2)</f>
        <v>0</v>
      </c>
      <c r="J559" s="2"/>
      <c r="K559" s="17">
        <f t="shared" ref="K559" si="2300">+AE559</f>
        <v>0</v>
      </c>
      <c r="L559" s="16">
        <f t="shared" ref="L559" si="2301">+AJ559</f>
        <v>0</v>
      </c>
      <c r="M559" s="32" t="s">
        <v>5</v>
      </c>
      <c r="N559" s="30"/>
      <c r="O559" s="2"/>
      <c r="P559" s="30"/>
      <c r="Q559" s="32" t="s">
        <v>0</v>
      </c>
      <c r="R559" s="24"/>
      <c r="S559" s="24" t="str">
        <f t="shared" ref="S559" si="2302">+RIGHT(O559,7)</f>
        <v/>
      </c>
      <c r="T559" s="2"/>
      <c r="U559" s="3" t="s">
        <v>1</v>
      </c>
      <c r="V559" s="3" t="s">
        <v>3</v>
      </c>
      <c r="W559" s="16">
        <f t="shared" ref="W559" si="2303">+AI559</f>
        <v>0</v>
      </c>
      <c r="X559" s="16">
        <f t="shared" ref="X559" si="2304">+AJ559</f>
        <v>0</v>
      </c>
      <c r="Y559" s="3" t="s">
        <v>4</v>
      </c>
      <c r="Z559" s="18">
        <f t="shared" ref="Z559" si="2305">+F559</f>
        <v>0</v>
      </c>
      <c r="AA559" s="61"/>
      <c r="AB559" s="65"/>
      <c r="AC559" s="16">
        <f>+AB559*0.18</f>
        <v>0</v>
      </c>
      <c r="AD559" s="16">
        <f>+AB559+AC559</f>
        <v>0</v>
      </c>
      <c r="AE559" s="68"/>
      <c r="AF559" s="16">
        <f t="shared" ref="AF559" si="2306">+AB559*AE559</f>
        <v>0</v>
      </c>
      <c r="AG559" s="16">
        <f t="shared" ref="AG559" si="2307">+AC559*AE559</f>
        <v>0</v>
      </c>
      <c r="AH559" s="16">
        <f t="shared" ref="AH559" si="2308">+AD559*AE559</f>
        <v>0</v>
      </c>
      <c r="AI559" s="16">
        <f t="shared" ref="AI559" si="2309">+ROUND(AF559,2)</f>
        <v>0</v>
      </c>
      <c r="AJ559" s="16">
        <f t="shared" ref="AJ559" si="2310">+ROUND(AG559,2)</f>
        <v>0</v>
      </c>
      <c r="AK559" s="16">
        <f t="shared" ref="AK559" si="2311">+AI559+AJ559</f>
        <v>0</v>
      </c>
      <c r="AL559" s="16">
        <f t="shared" ref="AL559" si="2312">+AI559+AJ559-AK559</f>
        <v>0</v>
      </c>
      <c r="AM559" s="44"/>
      <c r="AN559" s="41" t="str">
        <f t="shared" ref="AN559" si="2313">+LEFT(AM559,2)</f>
        <v/>
      </c>
      <c r="AO559" s="41" t="str">
        <f t="shared" ref="AO559" si="2314">+MID(AM559,4,2)</f>
        <v/>
      </c>
      <c r="AP559" s="41" t="str">
        <f t="shared" ref="AP559" si="2315">+RIGHT(AM559,2)</f>
        <v/>
      </c>
      <c r="AQ559" s="41" t="str">
        <f t="shared" ref="AQ559" si="2316">+CONCATENATE(AN559,AO559,AP559)</f>
        <v/>
      </c>
      <c r="AR559" s="45">
        <f t="shared" ref="AR559" si="2317">+AM559+30</f>
        <v>30</v>
      </c>
      <c r="AS559" s="46">
        <f t="shared" ref="AS559" si="2318">+DAY(AR559)</f>
        <v>30</v>
      </c>
      <c r="AT559" s="41">
        <f t="shared" ref="AT559" si="2319">+MONTH(AR559)</f>
        <v>1</v>
      </c>
      <c r="AU559" s="41">
        <f t="shared" ref="AU559" si="2320">+YEAR(AR559)</f>
        <v>1900</v>
      </c>
      <c r="AV559" s="41" t="str">
        <f t="shared" ref="AV559" si="2321">+CONCATENATE(TEXT(AS559,"00"),TEXT(AT559,"00"),RIGHT(AU559,2))</f>
        <v>300100</v>
      </c>
    </row>
    <row r="560" spans="1:48" hidden="1" x14ac:dyDescent="0.25">
      <c r="A560" s="31"/>
      <c r="B560" s="31"/>
      <c r="C560" s="3"/>
      <c r="D560" s="3"/>
      <c r="E560" s="2"/>
      <c r="F560" s="3"/>
      <c r="G560" s="3"/>
      <c r="H560" s="16"/>
      <c r="I560" s="16"/>
      <c r="J560" s="3"/>
      <c r="K560" s="17"/>
      <c r="L560" s="16"/>
      <c r="M560" s="3"/>
      <c r="N560" s="3"/>
      <c r="O560" s="2"/>
      <c r="P560" s="3" t="s">
        <v>54</v>
      </c>
      <c r="Q560" s="3"/>
      <c r="R560" s="3"/>
      <c r="S560" s="16"/>
      <c r="T560" s="3"/>
      <c r="U560" s="3"/>
      <c r="V560" s="3"/>
      <c r="W560" s="16"/>
      <c r="X560" s="16"/>
      <c r="Y560" s="3"/>
      <c r="Z560" s="18"/>
      <c r="AA560" s="3"/>
      <c r="AB560" s="16"/>
      <c r="AC560" s="16"/>
      <c r="AD560" s="16"/>
      <c r="AE560" s="9"/>
      <c r="AF560" s="16"/>
      <c r="AG560" s="16"/>
      <c r="AH560" s="16"/>
      <c r="AI560" s="16"/>
      <c r="AJ560" s="16"/>
      <c r="AK560" s="16"/>
      <c r="AL560" s="16"/>
      <c r="AM560" s="3"/>
      <c r="AN560" s="3"/>
      <c r="AO560" s="3"/>
      <c r="AP560" s="3"/>
      <c r="AQ560" s="3"/>
      <c r="AR560" s="3"/>
      <c r="AS560" s="3"/>
      <c r="AT560" s="3"/>
      <c r="AU560" s="3"/>
      <c r="AV560" s="3"/>
    </row>
    <row r="561" spans="1:48" hidden="1" x14ac:dyDescent="0.25">
      <c r="A561" s="31"/>
      <c r="B561" s="31"/>
      <c r="C561" s="3"/>
      <c r="D561" s="3"/>
      <c r="E561" s="2"/>
      <c r="F561" s="3"/>
      <c r="G561" s="3"/>
      <c r="H561" s="16"/>
      <c r="I561" s="16"/>
      <c r="J561" s="3"/>
      <c r="K561" s="17"/>
      <c r="L561" s="16"/>
      <c r="M561" s="3"/>
      <c r="N561" s="3"/>
      <c r="O561" s="2"/>
      <c r="P561" s="3" t="s">
        <v>54</v>
      </c>
      <c r="Q561" s="3"/>
      <c r="R561" s="3"/>
      <c r="S561" s="16"/>
      <c r="T561" s="3"/>
      <c r="U561" s="3"/>
      <c r="V561" s="3"/>
      <c r="W561" s="16"/>
      <c r="X561" s="16"/>
      <c r="Y561" s="3"/>
      <c r="Z561" s="18"/>
      <c r="AA561" s="3"/>
      <c r="AB561" s="16"/>
      <c r="AC561" s="16"/>
      <c r="AD561" s="16"/>
      <c r="AE561" s="9"/>
      <c r="AF561" s="16"/>
      <c r="AG561" s="16"/>
      <c r="AH561" s="16"/>
      <c r="AI561" s="16"/>
      <c r="AJ561" s="16"/>
      <c r="AK561" s="16"/>
      <c r="AL561" s="16"/>
      <c r="AM561" s="3"/>
      <c r="AN561" s="3"/>
      <c r="AO561" s="3"/>
      <c r="AP561" s="3"/>
      <c r="AQ561" s="3"/>
      <c r="AR561" s="3"/>
      <c r="AS561" s="3"/>
      <c r="AT561" s="3"/>
      <c r="AU561" s="3"/>
      <c r="AV561" s="3"/>
    </row>
    <row r="562" spans="1:48" hidden="1" x14ac:dyDescent="0.25">
      <c r="A562" s="31"/>
      <c r="B562" s="31"/>
      <c r="C562" s="3"/>
      <c r="D562" s="3"/>
      <c r="E562" s="2"/>
      <c r="F562" s="3"/>
      <c r="G562" s="3"/>
      <c r="H562" s="16"/>
      <c r="I562" s="16"/>
      <c r="J562" s="3"/>
      <c r="K562" s="17"/>
      <c r="L562" s="16"/>
      <c r="M562" s="3"/>
      <c r="N562" s="3"/>
      <c r="O562" s="2"/>
      <c r="P562" s="3" t="s">
        <v>54</v>
      </c>
      <c r="Q562" s="3"/>
      <c r="R562" s="3"/>
      <c r="S562" s="16"/>
      <c r="T562" s="3"/>
      <c r="U562" s="3"/>
      <c r="V562" s="3"/>
      <c r="W562" s="16"/>
      <c r="X562" s="16"/>
      <c r="Y562" s="3"/>
      <c r="Z562" s="18"/>
      <c r="AA562" s="3"/>
      <c r="AB562" s="16"/>
      <c r="AC562" s="16"/>
      <c r="AD562" s="16"/>
      <c r="AE562" s="9"/>
      <c r="AF562" s="16"/>
      <c r="AG562" s="16"/>
      <c r="AH562" s="16"/>
      <c r="AI562" s="16"/>
      <c r="AJ562" s="16"/>
      <c r="AK562" s="16"/>
      <c r="AL562" s="16"/>
      <c r="AM562" s="3"/>
      <c r="AN562" s="3"/>
      <c r="AO562" s="3"/>
      <c r="AP562" s="3"/>
      <c r="AQ562" s="3"/>
      <c r="AR562" s="3"/>
      <c r="AS562" s="3"/>
      <c r="AT562" s="3"/>
      <c r="AU562" s="3"/>
      <c r="AV562" s="3"/>
    </row>
    <row r="563" spans="1:48" x14ac:dyDescent="0.25">
      <c r="A563" s="15">
        <f t="shared" ref="A563" si="2322">1+A559</f>
        <v>141</v>
      </c>
      <c r="B563" s="15"/>
      <c r="C563" s="2"/>
      <c r="D563" s="2"/>
      <c r="E563" s="24" t="str">
        <f t="shared" ref="E563" si="2323">+AQ563</f>
        <v/>
      </c>
      <c r="F563" s="30"/>
      <c r="G563" s="24" t="str">
        <f t="shared" ref="G563" si="2324">+AV563</f>
        <v>300100</v>
      </c>
      <c r="H563" s="16">
        <f t="shared" ref="H563" si="2325">+AK563</f>
        <v>0</v>
      </c>
      <c r="I563" s="16">
        <f t="shared" ref="I563" si="2326">+ROUND(AD563,2)</f>
        <v>0</v>
      </c>
      <c r="J563" s="2"/>
      <c r="K563" s="17">
        <f t="shared" ref="K563" si="2327">+AE563</f>
        <v>0</v>
      </c>
      <c r="L563" s="16">
        <f t="shared" ref="L563" si="2328">+AJ563</f>
        <v>0</v>
      </c>
      <c r="M563" s="32" t="s">
        <v>5</v>
      </c>
      <c r="N563" s="30"/>
      <c r="O563" s="2"/>
      <c r="P563" s="30"/>
      <c r="Q563" s="32" t="s">
        <v>0</v>
      </c>
      <c r="R563" s="24"/>
      <c r="S563" s="24" t="str">
        <f t="shared" ref="S563" si="2329">+RIGHT(O563,7)</f>
        <v/>
      </c>
      <c r="T563" s="2"/>
      <c r="U563" s="3" t="s">
        <v>1</v>
      </c>
      <c r="V563" s="3" t="s">
        <v>3</v>
      </c>
      <c r="W563" s="16">
        <f t="shared" ref="W563" si="2330">+AI563</f>
        <v>0</v>
      </c>
      <c r="X563" s="16">
        <f t="shared" ref="X563" si="2331">+AJ563</f>
        <v>0</v>
      </c>
      <c r="Y563" s="3" t="s">
        <v>4</v>
      </c>
      <c r="Z563" s="18">
        <f t="shared" ref="Z563" si="2332">+F563</f>
        <v>0</v>
      </c>
      <c r="AA563" s="61"/>
      <c r="AB563" s="65"/>
      <c r="AC563" s="16">
        <f>+AB563*0.18</f>
        <v>0</v>
      </c>
      <c r="AD563" s="16">
        <f>+AB563+AC563</f>
        <v>0</v>
      </c>
      <c r="AE563" s="68"/>
      <c r="AF563" s="16">
        <f t="shared" ref="AF563" si="2333">+AB563*AE563</f>
        <v>0</v>
      </c>
      <c r="AG563" s="16">
        <f t="shared" ref="AG563" si="2334">+AC563*AE563</f>
        <v>0</v>
      </c>
      <c r="AH563" s="16">
        <f t="shared" ref="AH563" si="2335">+AD563*AE563</f>
        <v>0</v>
      </c>
      <c r="AI563" s="16">
        <f t="shared" ref="AI563" si="2336">+ROUND(AF563,2)</f>
        <v>0</v>
      </c>
      <c r="AJ563" s="16">
        <f t="shared" ref="AJ563" si="2337">+ROUND(AG563,2)</f>
        <v>0</v>
      </c>
      <c r="AK563" s="16">
        <f t="shared" ref="AK563" si="2338">+AI563+AJ563</f>
        <v>0</v>
      </c>
      <c r="AL563" s="16">
        <f t="shared" ref="AL563" si="2339">+AI563+AJ563-AK563</f>
        <v>0</v>
      </c>
      <c r="AM563" s="44"/>
      <c r="AN563" s="41" t="str">
        <f t="shared" ref="AN563" si="2340">+LEFT(AM563,2)</f>
        <v/>
      </c>
      <c r="AO563" s="41" t="str">
        <f t="shared" ref="AO563" si="2341">+MID(AM563,4,2)</f>
        <v/>
      </c>
      <c r="AP563" s="41" t="str">
        <f t="shared" ref="AP563" si="2342">+RIGHT(AM563,2)</f>
        <v/>
      </c>
      <c r="AQ563" s="41" t="str">
        <f t="shared" ref="AQ563" si="2343">+CONCATENATE(AN563,AO563,AP563)</f>
        <v/>
      </c>
      <c r="AR563" s="45">
        <f t="shared" ref="AR563" si="2344">+AM563+30</f>
        <v>30</v>
      </c>
      <c r="AS563" s="46">
        <f t="shared" ref="AS563" si="2345">+DAY(AR563)</f>
        <v>30</v>
      </c>
      <c r="AT563" s="41">
        <f t="shared" ref="AT563" si="2346">+MONTH(AR563)</f>
        <v>1</v>
      </c>
      <c r="AU563" s="41">
        <f t="shared" ref="AU563" si="2347">+YEAR(AR563)</f>
        <v>1900</v>
      </c>
      <c r="AV563" s="41" t="str">
        <f t="shared" ref="AV563" si="2348">+CONCATENATE(TEXT(AS563,"00"),TEXT(AT563,"00"),RIGHT(AU563,2))</f>
        <v>300100</v>
      </c>
    </row>
    <row r="564" spans="1:48" hidden="1" x14ac:dyDescent="0.25">
      <c r="A564" s="31"/>
      <c r="B564" s="31"/>
      <c r="C564" s="3"/>
      <c r="D564" s="3"/>
      <c r="E564" s="2"/>
      <c r="F564" s="3"/>
      <c r="G564" s="3"/>
      <c r="H564" s="16"/>
      <c r="I564" s="16"/>
      <c r="J564" s="3"/>
      <c r="K564" s="17"/>
      <c r="L564" s="16"/>
      <c r="M564" s="3"/>
      <c r="N564" s="3"/>
      <c r="O564" s="2"/>
      <c r="P564" s="3" t="s">
        <v>54</v>
      </c>
      <c r="Q564" s="3"/>
      <c r="R564" s="3"/>
      <c r="S564" s="16"/>
      <c r="T564" s="3"/>
      <c r="U564" s="3"/>
      <c r="V564" s="3"/>
      <c r="W564" s="16"/>
      <c r="X564" s="16"/>
      <c r="Y564" s="3"/>
      <c r="Z564" s="18"/>
      <c r="AA564" s="3"/>
      <c r="AB564" s="16"/>
      <c r="AC564" s="16"/>
      <c r="AD564" s="16"/>
      <c r="AE564" s="9"/>
      <c r="AF564" s="16"/>
      <c r="AG564" s="16"/>
      <c r="AH564" s="16"/>
      <c r="AI564" s="16"/>
      <c r="AJ564" s="16"/>
      <c r="AK564" s="16"/>
      <c r="AL564" s="16"/>
      <c r="AM564" s="3"/>
      <c r="AN564" s="3"/>
      <c r="AO564" s="3"/>
      <c r="AP564" s="3"/>
      <c r="AQ564" s="3"/>
      <c r="AR564" s="3"/>
      <c r="AS564" s="3"/>
      <c r="AT564" s="3"/>
      <c r="AU564" s="3"/>
      <c r="AV564" s="3"/>
    </row>
    <row r="565" spans="1:48" hidden="1" x14ac:dyDescent="0.25">
      <c r="A565" s="31"/>
      <c r="B565" s="31"/>
      <c r="C565" s="3"/>
      <c r="D565" s="3"/>
      <c r="E565" s="2"/>
      <c r="F565" s="3"/>
      <c r="G565" s="3"/>
      <c r="H565" s="16"/>
      <c r="I565" s="16"/>
      <c r="J565" s="3"/>
      <c r="K565" s="17"/>
      <c r="L565" s="16"/>
      <c r="M565" s="3"/>
      <c r="N565" s="3"/>
      <c r="O565" s="2"/>
      <c r="P565" s="3" t="s">
        <v>54</v>
      </c>
      <c r="Q565" s="3"/>
      <c r="R565" s="3"/>
      <c r="S565" s="16"/>
      <c r="T565" s="3"/>
      <c r="U565" s="3"/>
      <c r="V565" s="3"/>
      <c r="W565" s="16"/>
      <c r="X565" s="16"/>
      <c r="Y565" s="3"/>
      <c r="Z565" s="18"/>
      <c r="AA565" s="3"/>
      <c r="AB565" s="16"/>
      <c r="AC565" s="16"/>
      <c r="AD565" s="16"/>
      <c r="AE565" s="9"/>
      <c r="AF565" s="16"/>
      <c r="AG565" s="16"/>
      <c r="AH565" s="16"/>
      <c r="AI565" s="16"/>
      <c r="AJ565" s="16"/>
      <c r="AK565" s="16"/>
      <c r="AL565" s="16"/>
      <c r="AM565" s="3"/>
      <c r="AN565" s="3"/>
      <c r="AO565" s="3"/>
      <c r="AP565" s="3"/>
      <c r="AQ565" s="3"/>
      <c r="AR565" s="3"/>
      <c r="AS565" s="3"/>
      <c r="AT565" s="3"/>
      <c r="AU565" s="3"/>
      <c r="AV565" s="3"/>
    </row>
    <row r="566" spans="1:48" hidden="1" x14ac:dyDescent="0.25">
      <c r="A566" s="31"/>
      <c r="B566" s="31"/>
      <c r="C566" s="3"/>
      <c r="D566" s="3"/>
      <c r="E566" s="2"/>
      <c r="F566" s="3"/>
      <c r="G566" s="3"/>
      <c r="H566" s="16"/>
      <c r="I566" s="16"/>
      <c r="J566" s="3"/>
      <c r="K566" s="17"/>
      <c r="L566" s="16"/>
      <c r="M566" s="3"/>
      <c r="N566" s="3"/>
      <c r="O566" s="2"/>
      <c r="P566" s="3" t="s">
        <v>54</v>
      </c>
      <c r="Q566" s="3"/>
      <c r="R566" s="3"/>
      <c r="S566" s="16"/>
      <c r="T566" s="3"/>
      <c r="U566" s="3"/>
      <c r="V566" s="3"/>
      <c r="W566" s="16"/>
      <c r="X566" s="16"/>
      <c r="Y566" s="3"/>
      <c r="Z566" s="18"/>
      <c r="AA566" s="3"/>
      <c r="AB566" s="16"/>
      <c r="AC566" s="16"/>
      <c r="AD566" s="16"/>
      <c r="AE566" s="9"/>
      <c r="AF566" s="16"/>
      <c r="AG566" s="16"/>
      <c r="AH566" s="16"/>
      <c r="AI566" s="16"/>
      <c r="AJ566" s="16"/>
      <c r="AK566" s="16"/>
      <c r="AL566" s="16"/>
      <c r="AM566" s="3"/>
      <c r="AN566" s="3"/>
      <c r="AO566" s="3"/>
      <c r="AP566" s="3"/>
      <c r="AQ566" s="3"/>
      <c r="AR566" s="3"/>
      <c r="AS566" s="3"/>
      <c r="AT566" s="3"/>
      <c r="AU566" s="3"/>
      <c r="AV566" s="3"/>
    </row>
    <row r="567" spans="1:48" x14ac:dyDescent="0.25">
      <c r="A567" s="15">
        <f t="shared" ref="A567" si="2349">1+A563</f>
        <v>142</v>
      </c>
      <c r="B567" s="15"/>
      <c r="C567" s="2"/>
      <c r="D567" s="2"/>
      <c r="E567" s="24" t="str">
        <f t="shared" ref="E567" si="2350">+AQ567</f>
        <v/>
      </c>
      <c r="F567" s="30"/>
      <c r="G567" s="24" t="str">
        <f t="shared" ref="G567" si="2351">+AV567</f>
        <v>300100</v>
      </c>
      <c r="H567" s="16">
        <f t="shared" ref="H567" si="2352">+AK567</f>
        <v>0</v>
      </c>
      <c r="I567" s="16">
        <f t="shared" ref="I567" si="2353">+ROUND(AD567,2)</f>
        <v>0</v>
      </c>
      <c r="J567" s="2"/>
      <c r="K567" s="17">
        <f t="shared" ref="K567" si="2354">+AE567</f>
        <v>0</v>
      </c>
      <c r="L567" s="16">
        <f t="shared" ref="L567" si="2355">+AJ567</f>
        <v>0</v>
      </c>
      <c r="M567" s="32" t="s">
        <v>5</v>
      </c>
      <c r="N567" s="30"/>
      <c r="O567" s="2"/>
      <c r="P567" s="30"/>
      <c r="Q567" s="32" t="s">
        <v>0</v>
      </c>
      <c r="R567" s="24"/>
      <c r="S567" s="24" t="str">
        <f t="shared" ref="S567" si="2356">+RIGHT(O567,7)</f>
        <v/>
      </c>
      <c r="T567" s="2"/>
      <c r="U567" s="3" t="s">
        <v>1</v>
      </c>
      <c r="V567" s="3" t="s">
        <v>3</v>
      </c>
      <c r="W567" s="16">
        <f t="shared" ref="W567" si="2357">+AI567</f>
        <v>0</v>
      </c>
      <c r="X567" s="16">
        <f t="shared" ref="X567" si="2358">+AJ567</f>
        <v>0</v>
      </c>
      <c r="Y567" s="3" t="s">
        <v>4</v>
      </c>
      <c r="Z567" s="18">
        <f t="shared" ref="Z567" si="2359">+F567</f>
        <v>0</v>
      </c>
      <c r="AA567" s="61"/>
      <c r="AB567" s="65"/>
      <c r="AC567" s="16">
        <f>+AB567*0.18</f>
        <v>0</v>
      </c>
      <c r="AD567" s="16">
        <f>+AB567+AC567</f>
        <v>0</v>
      </c>
      <c r="AE567" s="68"/>
      <c r="AF567" s="16">
        <f t="shared" ref="AF567" si="2360">+AB567*AE567</f>
        <v>0</v>
      </c>
      <c r="AG567" s="16">
        <f t="shared" ref="AG567" si="2361">+AC567*AE567</f>
        <v>0</v>
      </c>
      <c r="AH567" s="16">
        <f t="shared" ref="AH567" si="2362">+AD567*AE567</f>
        <v>0</v>
      </c>
      <c r="AI567" s="16">
        <f t="shared" ref="AI567" si="2363">+ROUND(AF567,2)</f>
        <v>0</v>
      </c>
      <c r="AJ567" s="16">
        <f t="shared" ref="AJ567" si="2364">+ROUND(AG567,2)</f>
        <v>0</v>
      </c>
      <c r="AK567" s="16">
        <f t="shared" ref="AK567" si="2365">+AI567+AJ567</f>
        <v>0</v>
      </c>
      <c r="AL567" s="16">
        <f t="shared" ref="AL567" si="2366">+AI567+AJ567-AK567</f>
        <v>0</v>
      </c>
      <c r="AM567" s="44"/>
      <c r="AN567" s="41" t="str">
        <f t="shared" ref="AN567" si="2367">+LEFT(AM567,2)</f>
        <v/>
      </c>
      <c r="AO567" s="41" t="str">
        <f t="shared" ref="AO567" si="2368">+MID(AM567,4,2)</f>
        <v/>
      </c>
      <c r="AP567" s="41" t="str">
        <f t="shared" ref="AP567" si="2369">+RIGHT(AM567,2)</f>
        <v/>
      </c>
      <c r="AQ567" s="41" t="str">
        <f t="shared" ref="AQ567" si="2370">+CONCATENATE(AN567,AO567,AP567)</f>
        <v/>
      </c>
      <c r="AR567" s="45">
        <f t="shared" ref="AR567" si="2371">+AM567+30</f>
        <v>30</v>
      </c>
      <c r="AS567" s="46">
        <f t="shared" ref="AS567" si="2372">+DAY(AR567)</f>
        <v>30</v>
      </c>
      <c r="AT567" s="41">
        <f t="shared" ref="AT567" si="2373">+MONTH(AR567)</f>
        <v>1</v>
      </c>
      <c r="AU567" s="41">
        <f t="shared" ref="AU567" si="2374">+YEAR(AR567)</f>
        <v>1900</v>
      </c>
      <c r="AV567" s="41" t="str">
        <f t="shared" ref="AV567" si="2375">+CONCATENATE(TEXT(AS567,"00"),TEXT(AT567,"00"),RIGHT(AU567,2))</f>
        <v>300100</v>
      </c>
    </row>
    <row r="568" spans="1:48" hidden="1" x14ac:dyDescent="0.25">
      <c r="A568" s="31"/>
      <c r="B568" s="31"/>
      <c r="C568" s="3"/>
      <c r="D568" s="3"/>
      <c r="E568" s="2"/>
      <c r="F568" s="3"/>
      <c r="G568" s="3"/>
      <c r="H568" s="16"/>
      <c r="I568" s="16"/>
      <c r="J568" s="3"/>
      <c r="K568" s="17"/>
      <c r="L568" s="16"/>
      <c r="M568" s="3"/>
      <c r="N568" s="3"/>
      <c r="O568" s="2"/>
      <c r="P568" s="3" t="s">
        <v>54</v>
      </c>
      <c r="Q568" s="3"/>
      <c r="R568" s="3"/>
      <c r="S568" s="16"/>
      <c r="T568" s="3"/>
      <c r="U568" s="3"/>
      <c r="V568" s="3"/>
      <c r="W568" s="16"/>
      <c r="X568" s="16"/>
      <c r="Y568" s="3"/>
      <c r="Z568" s="18"/>
      <c r="AA568" s="3"/>
      <c r="AB568" s="16"/>
      <c r="AC568" s="16"/>
      <c r="AD568" s="16"/>
      <c r="AE568" s="9"/>
      <c r="AF568" s="16"/>
      <c r="AG568" s="16"/>
      <c r="AH568" s="16"/>
      <c r="AI568" s="16"/>
      <c r="AJ568" s="16"/>
      <c r="AK568" s="16"/>
      <c r="AL568" s="16"/>
      <c r="AM568" s="3"/>
      <c r="AN568" s="3"/>
      <c r="AO568" s="3"/>
      <c r="AP568" s="3"/>
      <c r="AQ568" s="3"/>
      <c r="AR568" s="3"/>
      <c r="AS568" s="3"/>
      <c r="AT568" s="3"/>
      <c r="AU568" s="3"/>
      <c r="AV568" s="3"/>
    </row>
    <row r="569" spans="1:48" hidden="1" x14ac:dyDescent="0.25">
      <c r="A569" s="31"/>
      <c r="B569" s="31"/>
      <c r="C569" s="3"/>
      <c r="D569" s="3"/>
      <c r="E569" s="2"/>
      <c r="F569" s="3"/>
      <c r="G569" s="3"/>
      <c r="H569" s="16"/>
      <c r="I569" s="16"/>
      <c r="J569" s="3"/>
      <c r="K569" s="17"/>
      <c r="L569" s="16"/>
      <c r="M569" s="3"/>
      <c r="N569" s="3"/>
      <c r="O569" s="2"/>
      <c r="P569" s="3" t="s">
        <v>54</v>
      </c>
      <c r="Q569" s="3"/>
      <c r="R569" s="3"/>
      <c r="S569" s="16"/>
      <c r="T569" s="3"/>
      <c r="U569" s="3"/>
      <c r="V569" s="3"/>
      <c r="W569" s="16"/>
      <c r="X569" s="16"/>
      <c r="Y569" s="3"/>
      <c r="Z569" s="18"/>
      <c r="AA569" s="3"/>
      <c r="AB569" s="16"/>
      <c r="AC569" s="16"/>
      <c r="AD569" s="16"/>
      <c r="AE569" s="9"/>
      <c r="AF569" s="16"/>
      <c r="AG569" s="16"/>
      <c r="AH569" s="16"/>
      <c r="AI569" s="16"/>
      <c r="AJ569" s="16"/>
      <c r="AK569" s="16"/>
      <c r="AL569" s="16"/>
      <c r="AM569" s="3"/>
      <c r="AN569" s="3"/>
      <c r="AO569" s="3"/>
      <c r="AP569" s="3"/>
      <c r="AQ569" s="3"/>
      <c r="AR569" s="3"/>
      <c r="AS569" s="3"/>
      <c r="AT569" s="3"/>
      <c r="AU569" s="3"/>
      <c r="AV569" s="3"/>
    </row>
    <row r="570" spans="1:48" hidden="1" x14ac:dyDescent="0.25">
      <c r="A570" s="31"/>
      <c r="B570" s="31"/>
      <c r="C570" s="3"/>
      <c r="D570" s="3"/>
      <c r="E570" s="2"/>
      <c r="F570" s="3"/>
      <c r="G570" s="3"/>
      <c r="H570" s="16"/>
      <c r="I570" s="16"/>
      <c r="J570" s="3"/>
      <c r="K570" s="17"/>
      <c r="L570" s="16"/>
      <c r="M570" s="3"/>
      <c r="N570" s="3"/>
      <c r="O570" s="2"/>
      <c r="P570" s="3" t="s">
        <v>54</v>
      </c>
      <c r="Q570" s="3"/>
      <c r="R570" s="3"/>
      <c r="S570" s="16"/>
      <c r="T570" s="3"/>
      <c r="U570" s="3"/>
      <c r="V570" s="3"/>
      <c r="W570" s="16"/>
      <c r="X570" s="16"/>
      <c r="Y570" s="3"/>
      <c r="Z570" s="18"/>
      <c r="AA570" s="3"/>
      <c r="AB570" s="16"/>
      <c r="AC570" s="16"/>
      <c r="AD570" s="16"/>
      <c r="AE570" s="9"/>
      <c r="AF570" s="16"/>
      <c r="AG570" s="16"/>
      <c r="AH570" s="16"/>
      <c r="AI570" s="16"/>
      <c r="AJ570" s="16"/>
      <c r="AK570" s="16"/>
      <c r="AL570" s="16"/>
      <c r="AM570" s="3"/>
      <c r="AN570" s="3"/>
      <c r="AO570" s="3"/>
      <c r="AP570" s="3"/>
      <c r="AQ570" s="3"/>
      <c r="AR570" s="3"/>
      <c r="AS570" s="3"/>
      <c r="AT570" s="3"/>
      <c r="AU570" s="3"/>
      <c r="AV570" s="3"/>
    </row>
    <row r="571" spans="1:48" x14ac:dyDescent="0.25">
      <c r="A571" s="15">
        <f t="shared" ref="A571" si="2376">1+A567</f>
        <v>143</v>
      </c>
      <c r="B571" s="15"/>
      <c r="C571" s="2"/>
      <c r="D571" s="2"/>
      <c r="E571" s="24" t="str">
        <f t="shared" ref="E571" si="2377">+AQ571</f>
        <v/>
      </c>
      <c r="F571" s="30"/>
      <c r="G571" s="24" t="str">
        <f t="shared" ref="G571" si="2378">+AV571</f>
        <v>300100</v>
      </c>
      <c r="H571" s="16">
        <f t="shared" ref="H571" si="2379">+AK571</f>
        <v>0</v>
      </c>
      <c r="I571" s="16">
        <f t="shared" ref="I571" si="2380">+ROUND(AD571,2)</f>
        <v>0</v>
      </c>
      <c r="J571" s="2"/>
      <c r="K571" s="17">
        <f t="shared" ref="K571" si="2381">+AE571</f>
        <v>0</v>
      </c>
      <c r="L571" s="16">
        <f t="shared" ref="L571" si="2382">+AJ571</f>
        <v>0</v>
      </c>
      <c r="M571" s="32" t="s">
        <v>5</v>
      </c>
      <c r="N571" s="30"/>
      <c r="O571" s="2"/>
      <c r="P571" s="30"/>
      <c r="Q571" s="32" t="s">
        <v>0</v>
      </c>
      <c r="R571" s="24"/>
      <c r="S571" s="24" t="str">
        <f t="shared" ref="S571" si="2383">+RIGHT(O571,7)</f>
        <v/>
      </c>
      <c r="T571" s="2"/>
      <c r="U571" s="3" t="s">
        <v>1</v>
      </c>
      <c r="V571" s="3" t="s">
        <v>3</v>
      </c>
      <c r="W571" s="16">
        <f t="shared" ref="W571" si="2384">+AI571</f>
        <v>0</v>
      </c>
      <c r="X571" s="16">
        <f t="shared" ref="X571" si="2385">+AJ571</f>
        <v>0</v>
      </c>
      <c r="Y571" s="3" t="s">
        <v>4</v>
      </c>
      <c r="Z571" s="18">
        <f t="shared" ref="Z571" si="2386">+F571</f>
        <v>0</v>
      </c>
      <c r="AA571" s="61"/>
      <c r="AB571" s="65"/>
      <c r="AC571" s="16">
        <f>+AB571*0.18</f>
        <v>0</v>
      </c>
      <c r="AD571" s="16">
        <f>+AB571+AC571</f>
        <v>0</v>
      </c>
      <c r="AE571" s="68"/>
      <c r="AF571" s="16">
        <f t="shared" ref="AF571" si="2387">+AB571*AE571</f>
        <v>0</v>
      </c>
      <c r="AG571" s="16">
        <f t="shared" ref="AG571" si="2388">+AC571*AE571</f>
        <v>0</v>
      </c>
      <c r="AH571" s="16">
        <f t="shared" ref="AH571" si="2389">+AD571*AE571</f>
        <v>0</v>
      </c>
      <c r="AI571" s="16">
        <f t="shared" ref="AI571" si="2390">+ROUND(AF571,2)</f>
        <v>0</v>
      </c>
      <c r="AJ571" s="16">
        <f t="shared" ref="AJ571" si="2391">+ROUND(AG571,2)</f>
        <v>0</v>
      </c>
      <c r="AK571" s="16">
        <f t="shared" ref="AK571" si="2392">+AI571+AJ571</f>
        <v>0</v>
      </c>
      <c r="AL571" s="16">
        <f t="shared" ref="AL571" si="2393">+AI571+AJ571-AK571</f>
        <v>0</v>
      </c>
      <c r="AM571" s="44"/>
      <c r="AN571" s="41" t="str">
        <f t="shared" ref="AN571" si="2394">+LEFT(AM571,2)</f>
        <v/>
      </c>
      <c r="AO571" s="41" t="str">
        <f t="shared" ref="AO571" si="2395">+MID(AM571,4,2)</f>
        <v/>
      </c>
      <c r="AP571" s="41" t="str">
        <f t="shared" ref="AP571" si="2396">+RIGHT(AM571,2)</f>
        <v/>
      </c>
      <c r="AQ571" s="41" t="str">
        <f t="shared" ref="AQ571" si="2397">+CONCATENATE(AN571,AO571,AP571)</f>
        <v/>
      </c>
      <c r="AR571" s="45">
        <f t="shared" ref="AR571" si="2398">+AM571+30</f>
        <v>30</v>
      </c>
      <c r="AS571" s="46">
        <f t="shared" ref="AS571" si="2399">+DAY(AR571)</f>
        <v>30</v>
      </c>
      <c r="AT571" s="41">
        <f t="shared" ref="AT571" si="2400">+MONTH(AR571)</f>
        <v>1</v>
      </c>
      <c r="AU571" s="41">
        <f t="shared" ref="AU571" si="2401">+YEAR(AR571)</f>
        <v>1900</v>
      </c>
      <c r="AV571" s="41" t="str">
        <f t="shared" ref="AV571" si="2402">+CONCATENATE(TEXT(AS571,"00"),TEXT(AT571,"00"),RIGHT(AU571,2))</f>
        <v>300100</v>
      </c>
    </row>
    <row r="572" spans="1:48" hidden="1" x14ac:dyDescent="0.25">
      <c r="A572" s="31"/>
      <c r="B572" s="31"/>
      <c r="C572" s="3"/>
      <c r="D572" s="3"/>
      <c r="E572" s="2"/>
      <c r="F572" s="3"/>
      <c r="G572" s="3"/>
      <c r="H572" s="16"/>
      <c r="I572" s="16"/>
      <c r="J572" s="3"/>
      <c r="K572" s="17"/>
      <c r="L572" s="16"/>
      <c r="M572" s="3"/>
      <c r="N572" s="3"/>
      <c r="O572" s="2"/>
      <c r="P572" s="3" t="s">
        <v>54</v>
      </c>
      <c r="Q572" s="3"/>
      <c r="R572" s="3"/>
      <c r="S572" s="16"/>
      <c r="T572" s="3"/>
      <c r="U572" s="3"/>
      <c r="V572" s="3"/>
      <c r="W572" s="16"/>
      <c r="X572" s="16"/>
      <c r="Y572" s="3"/>
      <c r="Z572" s="18"/>
      <c r="AA572" s="3"/>
      <c r="AB572" s="16"/>
      <c r="AC572" s="16"/>
      <c r="AD572" s="16"/>
      <c r="AE572" s="9"/>
      <c r="AF572" s="16"/>
      <c r="AG572" s="16"/>
      <c r="AH572" s="16"/>
      <c r="AI572" s="16"/>
      <c r="AJ572" s="16"/>
      <c r="AK572" s="16"/>
      <c r="AL572" s="16"/>
      <c r="AM572" s="3"/>
      <c r="AN572" s="3"/>
      <c r="AO572" s="3"/>
      <c r="AP572" s="3"/>
      <c r="AQ572" s="3"/>
      <c r="AR572" s="3"/>
      <c r="AS572" s="3"/>
      <c r="AT572" s="3"/>
      <c r="AU572" s="3"/>
      <c r="AV572" s="3"/>
    </row>
    <row r="573" spans="1:48" hidden="1" x14ac:dyDescent="0.25">
      <c r="A573" s="31"/>
      <c r="B573" s="31"/>
      <c r="C573" s="3"/>
      <c r="D573" s="3"/>
      <c r="E573" s="2"/>
      <c r="F573" s="3"/>
      <c r="G573" s="3"/>
      <c r="H573" s="16"/>
      <c r="I573" s="16"/>
      <c r="J573" s="3"/>
      <c r="K573" s="17"/>
      <c r="L573" s="16"/>
      <c r="M573" s="3"/>
      <c r="N573" s="3"/>
      <c r="O573" s="2"/>
      <c r="P573" s="3" t="s">
        <v>54</v>
      </c>
      <c r="Q573" s="3"/>
      <c r="R573" s="3"/>
      <c r="S573" s="16"/>
      <c r="T573" s="3"/>
      <c r="U573" s="3"/>
      <c r="V573" s="3"/>
      <c r="W573" s="16"/>
      <c r="X573" s="16"/>
      <c r="Y573" s="3"/>
      <c r="Z573" s="18"/>
      <c r="AA573" s="3"/>
      <c r="AB573" s="16"/>
      <c r="AC573" s="16"/>
      <c r="AD573" s="16"/>
      <c r="AE573" s="9"/>
      <c r="AF573" s="16"/>
      <c r="AG573" s="16"/>
      <c r="AH573" s="16"/>
      <c r="AI573" s="16"/>
      <c r="AJ573" s="16"/>
      <c r="AK573" s="16"/>
      <c r="AL573" s="16"/>
      <c r="AM573" s="3"/>
      <c r="AN573" s="3"/>
      <c r="AO573" s="3"/>
      <c r="AP573" s="3"/>
      <c r="AQ573" s="3"/>
      <c r="AR573" s="3"/>
      <c r="AS573" s="3"/>
      <c r="AT573" s="3"/>
      <c r="AU573" s="3"/>
      <c r="AV573" s="3"/>
    </row>
    <row r="574" spans="1:48" hidden="1" x14ac:dyDescent="0.25">
      <c r="A574" s="31"/>
      <c r="B574" s="31"/>
      <c r="C574" s="3"/>
      <c r="D574" s="3"/>
      <c r="E574" s="2"/>
      <c r="F574" s="3"/>
      <c r="G574" s="3"/>
      <c r="H574" s="16"/>
      <c r="I574" s="16"/>
      <c r="J574" s="3"/>
      <c r="K574" s="17"/>
      <c r="L574" s="16"/>
      <c r="M574" s="3"/>
      <c r="N574" s="3"/>
      <c r="O574" s="2"/>
      <c r="P574" s="3" t="s">
        <v>54</v>
      </c>
      <c r="Q574" s="3"/>
      <c r="R574" s="3"/>
      <c r="S574" s="16"/>
      <c r="T574" s="3"/>
      <c r="U574" s="3"/>
      <c r="V574" s="3"/>
      <c r="W574" s="16"/>
      <c r="X574" s="16"/>
      <c r="Y574" s="3"/>
      <c r="Z574" s="18"/>
      <c r="AA574" s="3"/>
      <c r="AB574" s="16"/>
      <c r="AC574" s="16"/>
      <c r="AD574" s="16"/>
      <c r="AE574" s="9"/>
      <c r="AF574" s="16"/>
      <c r="AG574" s="16"/>
      <c r="AH574" s="16"/>
      <c r="AI574" s="16"/>
      <c r="AJ574" s="16"/>
      <c r="AK574" s="16"/>
      <c r="AL574" s="16"/>
      <c r="AM574" s="3"/>
      <c r="AN574" s="3"/>
      <c r="AO574" s="3"/>
      <c r="AP574" s="3"/>
      <c r="AQ574" s="3"/>
      <c r="AR574" s="3"/>
      <c r="AS574" s="3"/>
      <c r="AT574" s="3"/>
      <c r="AU574" s="3"/>
      <c r="AV574" s="3"/>
    </row>
    <row r="575" spans="1:48" x14ac:dyDescent="0.25">
      <c r="A575" s="15">
        <f t="shared" ref="A575" si="2403">1+A571</f>
        <v>144</v>
      </c>
      <c r="B575" s="15"/>
      <c r="C575" s="2"/>
      <c r="D575" s="2"/>
      <c r="E575" s="24" t="str">
        <f t="shared" ref="E575" si="2404">+AQ575</f>
        <v/>
      </c>
      <c r="F575" s="30"/>
      <c r="G575" s="24" t="str">
        <f t="shared" ref="G575" si="2405">+AV575</f>
        <v>300100</v>
      </c>
      <c r="H575" s="16">
        <f t="shared" ref="H575" si="2406">+AK575</f>
        <v>0</v>
      </c>
      <c r="I575" s="16">
        <f t="shared" ref="I575" si="2407">+ROUND(AD575,2)</f>
        <v>0</v>
      </c>
      <c r="J575" s="2"/>
      <c r="K575" s="17">
        <f t="shared" ref="K575" si="2408">+AE575</f>
        <v>0</v>
      </c>
      <c r="L575" s="16">
        <f t="shared" ref="L575" si="2409">+AJ575</f>
        <v>0</v>
      </c>
      <c r="M575" s="32" t="s">
        <v>5</v>
      </c>
      <c r="N575" s="30"/>
      <c r="O575" s="2"/>
      <c r="P575" s="30"/>
      <c r="Q575" s="32" t="s">
        <v>0</v>
      </c>
      <c r="R575" s="24"/>
      <c r="S575" s="24" t="str">
        <f t="shared" ref="S575" si="2410">+RIGHT(O575,7)</f>
        <v/>
      </c>
      <c r="T575" s="2"/>
      <c r="U575" s="3" t="s">
        <v>1</v>
      </c>
      <c r="V575" s="3" t="s">
        <v>3</v>
      </c>
      <c r="W575" s="16">
        <f t="shared" ref="W575" si="2411">+AI575</f>
        <v>0</v>
      </c>
      <c r="X575" s="16">
        <f t="shared" ref="X575" si="2412">+AJ575</f>
        <v>0</v>
      </c>
      <c r="Y575" s="3" t="s">
        <v>4</v>
      </c>
      <c r="Z575" s="18">
        <f t="shared" ref="Z575" si="2413">+F575</f>
        <v>0</v>
      </c>
      <c r="AA575" s="61"/>
      <c r="AB575" s="65"/>
      <c r="AC575" s="16">
        <f>+AB575*0.18</f>
        <v>0</v>
      </c>
      <c r="AD575" s="16">
        <f>+AB575+AC575</f>
        <v>0</v>
      </c>
      <c r="AE575" s="68"/>
      <c r="AF575" s="16">
        <f t="shared" ref="AF575" si="2414">+AB575*AE575</f>
        <v>0</v>
      </c>
      <c r="AG575" s="16">
        <f t="shared" ref="AG575" si="2415">+AC575*AE575</f>
        <v>0</v>
      </c>
      <c r="AH575" s="16">
        <f t="shared" ref="AH575" si="2416">+AD575*AE575</f>
        <v>0</v>
      </c>
      <c r="AI575" s="16">
        <f t="shared" ref="AI575" si="2417">+ROUND(AF575,2)</f>
        <v>0</v>
      </c>
      <c r="AJ575" s="16">
        <f t="shared" ref="AJ575" si="2418">+ROUND(AG575,2)</f>
        <v>0</v>
      </c>
      <c r="AK575" s="16">
        <f t="shared" ref="AK575" si="2419">+AI575+AJ575</f>
        <v>0</v>
      </c>
      <c r="AL575" s="16">
        <f t="shared" ref="AL575" si="2420">+AI575+AJ575-AK575</f>
        <v>0</v>
      </c>
      <c r="AM575" s="44"/>
      <c r="AN575" s="41" t="str">
        <f t="shared" ref="AN575" si="2421">+LEFT(AM575,2)</f>
        <v/>
      </c>
      <c r="AO575" s="41" t="str">
        <f t="shared" ref="AO575" si="2422">+MID(AM575,4,2)</f>
        <v/>
      </c>
      <c r="AP575" s="41" t="str">
        <f t="shared" ref="AP575" si="2423">+RIGHT(AM575,2)</f>
        <v/>
      </c>
      <c r="AQ575" s="41" t="str">
        <f t="shared" ref="AQ575" si="2424">+CONCATENATE(AN575,AO575,AP575)</f>
        <v/>
      </c>
      <c r="AR575" s="45">
        <f t="shared" ref="AR575" si="2425">+AM575+30</f>
        <v>30</v>
      </c>
      <c r="AS575" s="46">
        <f t="shared" ref="AS575" si="2426">+DAY(AR575)</f>
        <v>30</v>
      </c>
      <c r="AT575" s="41">
        <f t="shared" ref="AT575" si="2427">+MONTH(AR575)</f>
        <v>1</v>
      </c>
      <c r="AU575" s="41">
        <f t="shared" ref="AU575" si="2428">+YEAR(AR575)</f>
        <v>1900</v>
      </c>
      <c r="AV575" s="41" t="str">
        <f t="shared" ref="AV575" si="2429">+CONCATENATE(TEXT(AS575,"00"),TEXT(AT575,"00"),RIGHT(AU575,2))</f>
        <v>300100</v>
      </c>
    </row>
    <row r="576" spans="1:48" hidden="1" x14ac:dyDescent="0.25">
      <c r="A576" s="31"/>
      <c r="B576" s="31"/>
      <c r="C576" s="3"/>
      <c r="D576" s="3"/>
      <c r="E576" s="2"/>
      <c r="F576" s="3"/>
      <c r="G576" s="3"/>
      <c r="H576" s="16"/>
      <c r="I576" s="16"/>
      <c r="J576" s="3"/>
      <c r="K576" s="17"/>
      <c r="L576" s="16"/>
      <c r="M576" s="3"/>
      <c r="N576" s="3"/>
      <c r="O576" s="2"/>
      <c r="P576" s="3" t="s">
        <v>54</v>
      </c>
      <c r="Q576" s="3"/>
      <c r="R576" s="3"/>
      <c r="S576" s="16"/>
      <c r="T576" s="3"/>
      <c r="U576" s="3"/>
      <c r="V576" s="3"/>
      <c r="W576" s="16"/>
      <c r="X576" s="16"/>
      <c r="Y576" s="3"/>
      <c r="Z576" s="18"/>
      <c r="AA576" s="3"/>
      <c r="AB576" s="16"/>
      <c r="AC576" s="16"/>
      <c r="AD576" s="16"/>
      <c r="AE576" s="9"/>
      <c r="AF576" s="16"/>
      <c r="AG576" s="16"/>
      <c r="AH576" s="16"/>
      <c r="AI576" s="16"/>
      <c r="AJ576" s="16"/>
      <c r="AK576" s="16"/>
      <c r="AL576" s="16"/>
      <c r="AM576" s="3"/>
      <c r="AN576" s="3"/>
      <c r="AO576" s="3"/>
      <c r="AP576" s="3"/>
      <c r="AQ576" s="3"/>
      <c r="AR576" s="3"/>
      <c r="AS576" s="3"/>
      <c r="AT576" s="3"/>
      <c r="AU576" s="3"/>
      <c r="AV576" s="3"/>
    </row>
    <row r="577" spans="1:48" hidden="1" x14ac:dyDescent="0.25">
      <c r="A577" s="31"/>
      <c r="B577" s="31"/>
      <c r="C577" s="3"/>
      <c r="D577" s="3"/>
      <c r="E577" s="2"/>
      <c r="F577" s="3"/>
      <c r="G577" s="3"/>
      <c r="H577" s="16"/>
      <c r="I577" s="16"/>
      <c r="J577" s="3"/>
      <c r="K577" s="17"/>
      <c r="L577" s="16"/>
      <c r="M577" s="3"/>
      <c r="N577" s="3"/>
      <c r="O577" s="2"/>
      <c r="P577" s="3" t="s">
        <v>54</v>
      </c>
      <c r="Q577" s="3"/>
      <c r="R577" s="3"/>
      <c r="S577" s="16"/>
      <c r="T577" s="3"/>
      <c r="U577" s="3"/>
      <c r="V577" s="3"/>
      <c r="W577" s="16"/>
      <c r="X577" s="16"/>
      <c r="Y577" s="3"/>
      <c r="Z577" s="18"/>
      <c r="AA577" s="3"/>
      <c r="AB577" s="16"/>
      <c r="AC577" s="16"/>
      <c r="AD577" s="16"/>
      <c r="AE577" s="9"/>
      <c r="AF577" s="16"/>
      <c r="AG577" s="16"/>
      <c r="AH577" s="16"/>
      <c r="AI577" s="16"/>
      <c r="AJ577" s="16"/>
      <c r="AK577" s="16"/>
      <c r="AL577" s="16"/>
      <c r="AM577" s="3"/>
      <c r="AN577" s="3"/>
      <c r="AO577" s="3"/>
      <c r="AP577" s="3"/>
      <c r="AQ577" s="3"/>
      <c r="AR577" s="3"/>
      <c r="AS577" s="3"/>
      <c r="AT577" s="3"/>
      <c r="AU577" s="3"/>
      <c r="AV577" s="3"/>
    </row>
    <row r="578" spans="1:48" hidden="1" x14ac:dyDescent="0.25">
      <c r="A578" s="31"/>
      <c r="B578" s="31"/>
      <c r="C578" s="3"/>
      <c r="D578" s="3"/>
      <c r="E578" s="2"/>
      <c r="F578" s="3"/>
      <c r="G578" s="3"/>
      <c r="H578" s="16"/>
      <c r="I578" s="16"/>
      <c r="J578" s="3"/>
      <c r="K578" s="17"/>
      <c r="L578" s="16"/>
      <c r="M578" s="3"/>
      <c r="N578" s="3"/>
      <c r="O578" s="2"/>
      <c r="P578" s="3" t="s">
        <v>54</v>
      </c>
      <c r="Q578" s="3"/>
      <c r="R578" s="3"/>
      <c r="S578" s="16"/>
      <c r="T578" s="3"/>
      <c r="U578" s="3"/>
      <c r="V578" s="3"/>
      <c r="W578" s="16"/>
      <c r="X578" s="16"/>
      <c r="Y578" s="3"/>
      <c r="Z578" s="18"/>
      <c r="AA578" s="3"/>
      <c r="AB578" s="16"/>
      <c r="AC578" s="16"/>
      <c r="AD578" s="16"/>
      <c r="AE578" s="9"/>
      <c r="AF578" s="16"/>
      <c r="AG578" s="16"/>
      <c r="AH578" s="16"/>
      <c r="AI578" s="16"/>
      <c r="AJ578" s="16"/>
      <c r="AK578" s="16"/>
      <c r="AL578" s="16"/>
      <c r="AM578" s="3"/>
      <c r="AN578" s="3"/>
      <c r="AO578" s="3"/>
      <c r="AP578" s="3"/>
      <c r="AQ578" s="3"/>
      <c r="AR578" s="3"/>
      <c r="AS578" s="3"/>
      <c r="AT578" s="3"/>
      <c r="AU578" s="3"/>
      <c r="AV578" s="3"/>
    </row>
    <row r="579" spans="1:48" x14ac:dyDescent="0.25">
      <c r="A579" s="15">
        <f t="shared" ref="A579" si="2430">1+A575</f>
        <v>145</v>
      </c>
      <c r="B579" s="15"/>
      <c r="C579" s="2"/>
      <c r="D579" s="2"/>
      <c r="E579" s="24" t="str">
        <f t="shared" ref="E579" si="2431">+AQ579</f>
        <v/>
      </c>
      <c r="F579" s="30"/>
      <c r="G579" s="24" t="str">
        <f t="shared" ref="G579" si="2432">+AV579</f>
        <v>300100</v>
      </c>
      <c r="H579" s="16">
        <f t="shared" ref="H579" si="2433">+AK579</f>
        <v>0</v>
      </c>
      <c r="I579" s="16">
        <f t="shared" ref="I579" si="2434">+ROUND(AD579,2)</f>
        <v>0</v>
      </c>
      <c r="J579" s="2"/>
      <c r="K579" s="17">
        <f t="shared" ref="K579" si="2435">+AE579</f>
        <v>0</v>
      </c>
      <c r="L579" s="16">
        <f t="shared" ref="L579" si="2436">+AJ579</f>
        <v>0</v>
      </c>
      <c r="M579" s="32" t="s">
        <v>5</v>
      </c>
      <c r="N579" s="30"/>
      <c r="O579" s="2"/>
      <c r="P579" s="30"/>
      <c r="Q579" s="32" t="s">
        <v>0</v>
      </c>
      <c r="R579" s="24"/>
      <c r="S579" s="24" t="str">
        <f t="shared" ref="S579" si="2437">+RIGHT(O579,7)</f>
        <v/>
      </c>
      <c r="T579" s="2"/>
      <c r="U579" s="3" t="s">
        <v>1</v>
      </c>
      <c r="V579" s="3" t="s">
        <v>3</v>
      </c>
      <c r="W579" s="16">
        <f t="shared" ref="W579" si="2438">+AI579</f>
        <v>0</v>
      </c>
      <c r="X579" s="16">
        <f t="shared" ref="X579" si="2439">+AJ579</f>
        <v>0</v>
      </c>
      <c r="Y579" s="3" t="s">
        <v>4</v>
      </c>
      <c r="Z579" s="18">
        <f t="shared" ref="Z579" si="2440">+F579</f>
        <v>0</v>
      </c>
      <c r="AA579" s="61"/>
      <c r="AB579" s="65"/>
      <c r="AC579" s="16">
        <f>+AB579*0.18</f>
        <v>0</v>
      </c>
      <c r="AD579" s="16">
        <f>+AB579+AC579</f>
        <v>0</v>
      </c>
      <c r="AE579" s="68"/>
      <c r="AF579" s="16">
        <f t="shared" ref="AF579" si="2441">+AB579*AE579</f>
        <v>0</v>
      </c>
      <c r="AG579" s="16">
        <f t="shared" ref="AG579" si="2442">+AC579*AE579</f>
        <v>0</v>
      </c>
      <c r="AH579" s="16">
        <f t="shared" ref="AH579" si="2443">+AD579*AE579</f>
        <v>0</v>
      </c>
      <c r="AI579" s="16">
        <f t="shared" ref="AI579" si="2444">+ROUND(AF579,2)</f>
        <v>0</v>
      </c>
      <c r="AJ579" s="16">
        <f t="shared" ref="AJ579" si="2445">+ROUND(AG579,2)</f>
        <v>0</v>
      </c>
      <c r="AK579" s="16">
        <f t="shared" ref="AK579" si="2446">+AI579+AJ579</f>
        <v>0</v>
      </c>
      <c r="AL579" s="16">
        <f t="shared" ref="AL579" si="2447">+AI579+AJ579-AK579</f>
        <v>0</v>
      </c>
      <c r="AM579" s="44"/>
      <c r="AN579" s="41" t="str">
        <f t="shared" ref="AN579" si="2448">+LEFT(AM579,2)</f>
        <v/>
      </c>
      <c r="AO579" s="41" t="str">
        <f t="shared" ref="AO579" si="2449">+MID(AM579,4,2)</f>
        <v/>
      </c>
      <c r="AP579" s="41" t="str">
        <f t="shared" ref="AP579" si="2450">+RIGHT(AM579,2)</f>
        <v/>
      </c>
      <c r="AQ579" s="41" t="str">
        <f t="shared" ref="AQ579" si="2451">+CONCATENATE(AN579,AO579,AP579)</f>
        <v/>
      </c>
      <c r="AR579" s="45">
        <f t="shared" ref="AR579" si="2452">+AM579+30</f>
        <v>30</v>
      </c>
      <c r="AS579" s="46">
        <f t="shared" ref="AS579" si="2453">+DAY(AR579)</f>
        <v>30</v>
      </c>
      <c r="AT579" s="41">
        <f t="shared" ref="AT579" si="2454">+MONTH(AR579)</f>
        <v>1</v>
      </c>
      <c r="AU579" s="41">
        <f t="shared" ref="AU579" si="2455">+YEAR(AR579)</f>
        <v>1900</v>
      </c>
      <c r="AV579" s="41" t="str">
        <f t="shared" ref="AV579" si="2456">+CONCATENATE(TEXT(AS579,"00"),TEXT(AT579,"00"),RIGHT(AU579,2))</f>
        <v>300100</v>
      </c>
    </row>
    <row r="580" spans="1:48" hidden="1" x14ac:dyDescent="0.25">
      <c r="A580" s="31"/>
      <c r="B580" s="31"/>
      <c r="C580" s="3"/>
      <c r="D580" s="3"/>
      <c r="E580" s="2"/>
      <c r="F580" s="3"/>
      <c r="G580" s="3"/>
      <c r="H580" s="16"/>
      <c r="I580" s="16"/>
      <c r="J580" s="3"/>
      <c r="K580" s="17"/>
      <c r="L580" s="16"/>
      <c r="M580" s="3"/>
      <c r="N580" s="3"/>
      <c r="O580" s="2"/>
      <c r="P580" s="3" t="s">
        <v>54</v>
      </c>
      <c r="Q580" s="3"/>
      <c r="R580" s="3"/>
      <c r="S580" s="16"/>
      <c r="T580" s="3"/>
      <c r="U580" s="3"/>
      <c r="V580" s="3"/>
      <c r="W580" s="16"/>
      <c r="X580" s="16"/>
      <c r="Y580" s="3"/>
      <c r="Z580" s="18"/>
      <c r="AA580" s="3"/>
      <c r="AB580" s="16"/>
      <c r="AC580" s="16"/>
      <c r="AD580" s="16"/>
      <c r="AE580" s="9"/>
      <c r="AF580" s="16"/>
      <c r="AG580" s="16"/>
      <c r="AH580" s="16"/>
      <c r="AI580" s="16"/>
      <c r="AJ580" s="16"/>
      <c r="AK580" s="16"/>
      <c r="AL580" s="16"/>
      <c r="AM580" s="3"/>
      <c r="AN580" s="3"/>
      <c r="AO580" s="3"/>
      <c r="AP580" s="3"/>
      <c r="AQ580" s="3"/>
      <c r="AR580" s="3"/>
      <c r="AS580" s="3"/>
      <c r="AT580" s="3"/>
      <c r="AU580" s="3"/>
      <c r="AV580" s="3"/>
    </row>
    <row r="581" spans="1:48" hidden="1" x14ac:dyDescent="0.25">
      <c r="A581" s="31"/>
      <c r="B581" s="31"/>
      <c r="C581" s="3"/>
      <c r="D581" s="3"/>
      <c r="E581" s="2"/>
      <c r="F581" s="3"/>
      <c r="G581" s="3"/>
      <c r="H581" s="16"/>
      <c r="I581" s="16"/>
      <c r="J581" s="3"/>
      <c r="K581" s="17"/>
      <c r="L581" s="16"/>
      <c r="M581" s="3"/>
      <c r="N581" s="3"/>
      <c r="O581" s="2"/>
      <c r="P581" s="3" t="s">
        <v>54</v>
      </c>
      <c r="Q581" s="3"/>
      <c r="R581" s="3"/>
      <c r="S581" s="16"/>
      <c r="T581" s="3"/>
      <c r="U581" s="3"/>
      <c r="V581" s="3"/>
      <c r="W581" s="16"/>
      <c r="X581" s="16"/>
      <c r="Y581" s="3"/>
      <c r="Z581" s="18"/>
      <c r="AA581" s="3"/>
      <c r="AB581" s="16"/>
      <c r="AC581" s="16"/>
      <c r="AD581" s="16"/>
      <c r="AE581" s="9"/>
      <c r="AF581" s="16"/>
      <c r="AG581" s="16"/>
      <c r="AH581" s="16"/>
      <c r="AI581" s="16"/>
      <c r="AJ581" s="16"/>
      <c r="AK581" s="16"/>
      <c r="AL581" s="16"/>
      <c r="AM581" s="3"/>
      <c r="AN581" s="3"/>
      <c r="AO581" s="3"/>
      <c r="AP581" s="3"/>
      <c r="AQ581" s="3"/>
      <c r="AR581" s="3"/>
      <c r="AS581" s="3"/>
      <c r="AT581" s="3"/>
      <c r="AU581" s="3"/>
      <c r="AV581" s="3"/>
    </row>
    <row r="582" spans="1:48" hidden="1" x14ac:dyDescent="0.25">
      <c r="A582" s="31"/>
      <c r="B582" s="31"/>
      <c r="C582" s="3"/>
      <c r="D582" s="3"/>
      <c r="E582" s="2"/>
      <c r="F582" s="3"/>
      <c r="G582" s="3"/>
      <c r="H582" s="16"/>
      <c r="I582" s="16"/>
      <c r="J582" s="3"/>
      <c r="K582" s="17"/>
      <c r="L582" s="16"/>
      <c r="M582" s="3"/>
      <c r="N582" s="3"/>
      <c r="O582" s="2"/>
      <c r="P582" s="3" t="s">
        <v>54</v>
      </c>
      <c r="Q582" s="3"/>
      <c r="R582" s="3"/>
      <c r="S582" s="16"/>
      <c r="T582" s="3"/>
      <c r="U582" s="3"/>
      <c r="V582" s="3"/>
      <c r="W582" s="16"/>
      <c r="X582" s="16"/>
      <c r="Y582" s="3"/>
      <c r="Z582" s="18"/>
      <c r="AA582" s="3"/>
      <c r="AB582" s="16"/>
      <c r="AC582" s="16"/>
      <c r="AD582" s="16"/>
      <c r="AE582" s="9"/>
      <c r="AF582" s="16"/>
      <c r="AG582" s="16"/>
      <c r="AH582" s="16"/>
      <c r="AI582" s="16"/>
      <c r="AJ582" s="16"/>
      <c r="AK582" s="16"/>
      <c r="AL582" s="16"/>
      <c r="AM582" s="3"/>
      <c r="AN582" s="3"/>
      <c r="AO582" s="3"/>
      <c r="AP582" s="3"/>
      <c r="AQ582" s="3"/>
      <c r="AR582" s="3"/>
      <c r="AS582" s="3"/>
      <c r="AT582" s="3"/>
      <c r="AU582" s="3"/>
      <c r="AV582" s="3"/>
    </row>
    <row r="583" spans="1:48" x14ac:dyDescent="0.25">
      <c r="A583" s="15">
        <f t="shared" ref="A583" si="2457">1+A579</f>
        <v>146</v>
      </c>
      <c r="B583" s="15"/>
      <c r="C583" s="2"/>
      <c r="D583" s="2"/>
      <c r="E583" s="24" t="str">
        <f t="shared" ref="E583" si="2458">+AQ583</f>
        <v/>
      </c>
      <c r="F583" s="30"/>
      <c r="G583" s="24" t="str">
        <f t="shared" ref="G583" si="2459">+AV583</f>
        <v>300100</v>
      </c>
      <c r="H583" s="16">
        <f t="shared" ref="H583" si="2460">+AK583</f>
        <v>0</v>
      </c>
      <c r="I583" s="16">
        <f t="shared" ref="I583" si="2461">+ROUND(AD583,2)</f>
        <v>0</v>
      </c>
      <c r="J583" s="2"/>
      <c r="K583" s="17">
        <f t="shared" ref="K583" si="2462">+AE583</f>
        <v>0</v>
      </c>
      <c r="L583" s="16">
        <f t="shared" ref="L583" si="2463">+AJ583</f>
        <v>0</v>
      </c>
      <c r="M583" s="32" t="s">
        <v>5</v>
      </c>
      <c r="N583" s="30"/>
      <c r="O583" s="2"/>
      <c r="P583" s="30"/>
      <c r="Q583" s="32" t="s">
        <v>0</v>
      </c>
      <c r="R583" s="24"/>
      <c r="S583" s="24" t="str">
        <f t="shared" ref="S583" si="2464">+RIGHT(O583,7)</f>
        <v/>
      </c>
      <c r="T583" s="2"/>
      <c r="U583" s="3" t="s">
        <v>1</v>
      </c>
      <c r="V583" s="3" t="s">
        <v>3</v>
      </c>
      <c r="W583" s="16">
        <f t="shared" ref="W583" si="2465">+AI583</f>
        <v>0</v>
      </c>
      <c r="X583" s="16">
        <f t="shared" ref="X583" si="2466">+AJ583</f>
        <v>0</v>
      </c>
      <c r="Y583" s="3" t="s">
        <v>4</v>
      </c>
      <c r="Z583" s="18">
        <f t="shared" ref="Z583" si="2467">+F583</f>
        <v>0</v>
      </c>
      <c r="AA583" s="61"/>
      <c r="AB583" s="65"/>
      <c r="AC583" s="16">
        <f>+AB583*0.18</f>
        <v>0</v>
      </c>
      <c r="AD583" s="16">
        <f>+AB583+AC583</f>
        <v>0</v>
      </c>
      <c r="AE583" s="68"/>
      <c r="AF583" s="16">
        <f t="shared" ref="AF583" si="2468">+AB583*AE583</f>
        <v>0</v>
      </c>
      <c r="AG583" s="16">
        <f t="shared" ref="AG583" si="2469">+AC583*AE583</f>
        <v>0</v>
      </c>
      <c r="AH583" s="16">
        <f t="shared" ref="AH583" si="2470">+AD583*AE583</f>
        <v>0</v>
      </c>
      <c r="AI583" s="16">
        <f t="shared" ref="AI583" si="2471">+ROUND(AF583,2)</f>
        <v>0</v>
      </c>
      <c r="AJ583" s="16">
        <f t="shared" ref="AJ583" si="2472">+ROUND(AG583,2)</f>
        <v>0</v>
      </c>
      <c r="AK583" s="16">
        <f t="shared" ref="AK583" si="2473">+AI583+AJ583</f>
        <v>0</v>
      </c>
      <c r="AL583" s="16">
        <f t="shared" ref="AL583" si="2474">+AI583+AJ583-AK583</f>
        <v>0</v>
      </c>
      <c r="AM583" s="44"/>
      <c r="AN583" s="41" t="str">
        <f t="shared" ref="AN583" si="2475">+LEFT(AM583,2)</f>
        <v/>
      </c>
      <c r="AO583" s="41" t="str">
        <f t="shared" ref="AO583" si="2476">+MID(AM583,4,2)</f>
        <v/>
      </c>
      <c r="AP583" s="41" t="str">
        <f t="shared" ref="AP583" si="2477">+RIGHT(AM583,2)</f>
        <v/>
      </c>
      <c r="AQ583" s="41" t="str">
        <f t="shared" ref="AQ583" si="2478">+CONCATENATE(AN583,AO583,AP583)</f>
        <v/>
      </c>
      <c r="AR583" s="45">
        <f t="shared" ref="AR583" si="2479">+AM583+30</f>
        <v>30</v>
      </c>
      <c r="AS583" s="46">
        <f t="shared" ref="AS583" si="2480">+DAY(AR583)</f>
        <v>30</v>
      </c>
      <c r="AT583" s="41">
        <f t="shared" ref="AT583" si="2481">+MONTH(AR583)</f>
        <v>1</v>
      </c>
      <c r="AU583" s="41">
        <f t="shared" ref="AU583" si="2482">+YEAR(AR583)</f>
        <v>1900</v>
      </c>
      <c r="AV583" s="41" t="str">
        <f t="shared" ref="AV583" si="2483">+CONCATENATE(TEXT(AS583,"00"),TEXT(AT583,"00"),RIGHT(AU583,2))</f>
        <v>300100</v>
      </c>
    </row>
    <row r="584" spans="1:48" hidden="1" x14ac:dyDescent="0.25">
      <c r="A584" s="31"/>
      <c r="B584" s="31"/>
      <c r="C584" s="3"/>
      <c r="D584" s="3"/>
      <c r="E584" s="2"/>
      <c r="F584" s="3"/>
      <c r="G584" s="3"/>
      <c r="H584" s="16"/>
      <c r="I584" s="16"/>
      <c r="J584" s="3"/>
      <c r="K584" s="17"/>
      <c r="L584" s="16"/>
      <c r="M584" s="3"/>
      <c r="N584" s="3"/>
      <c r="O584" s="2"/>
      <c r="P584" s="3" t="s">
        <v>54</v>
      </c>
      <c r="Q584" s="3"/>
      <c r="R584" s="3"/>
      <c r="S584" s="16"/>
      <c r="T584" s="3"/>
      <c r="U584" s="3"/>
      <c r="V584" s="3"/>
      <c r="W584" s="16"/>
      <c r="X584" s="16"/>
      <c r="Y584" s="3"/>
      <c r="Z584" s="18"/>
      <c r="AA584" s="3"/>
      <c r="AB584" s="16"/>
      <c r="AC584" s="16"/>
      <c r="AD584" s="16"/>
      <c r="AE584" s="9"/>
      <c r="AF584" s="16"/>
      <c r="AG584" s="16"/>
      <c r="AH584" s="16"/>
      <c r="AI584" s="16"/>
      <c r="AJ584" s="16"/>
      <c r="AK584" s="16"/>
      <c r="AL584" s="16"/>
      <c r="AM584" s="3"/>
      <c r="AN584" s="3"/>
      <c r="AO584" s="3"/>
      <c r="AP584" s="3"/>
      <c r="AQ584" s="3"/>
      <c r="AR584" s="3"/>
      <c r="AS584" s="3"/>
      <c r="AT584" s="3"/>
      <c r="AU584" s="3"/>
      <c r="AV584" s="3"/>
    </row>
    <row r="585" spans="1:48" hidden="1" x14ac:dyDescent="0.25">
      <c r="A585" s="31"/>
      <c r="B585" s="31"/>
      <c r="C585" s="3"/>
      <c r="D585" s="3"/>
      <c r="E585" s="2"/>
      <c r="F585" s="3"/>
      <c r="G585" s="3"/>
      <c r="H585" s="16"/>
      <c r="I585" s="16"/>
      <c r="J585" s="3"/>
      <c r="K585" s="17"/>
      <c r="L585" s="16"/>
      <c r="M585" s="3"/>
      <c r="N585" s="3"/>
      <c r="O585" s="2"/>
      <c r="P585" s="3" t="s">
        <v>54</v>
      </c>
      <c r="Q585" s="3"/>
      <c r="R585" s="3"/>
      <c r="S585" s="16"/>
      <c r="T585" s="3"/>
      <c r="U585" s="3"/>
      <c r="V585" s="3"/>
      <c r="W585" s="16"/>
      <c r="X585" s="16"/>
      <c r="Y585" s="3"/>
      <c r="Z585" s="18"/>
      <c r="AA585" s="3"/>
      <c r="AB585" s="16"/>
      <c r="AC585" s="16"/>
      <c r="AD585" s="16"/>
      <c r="AE585" s="9"/>
      <c r="AF585" s="16"/>
      <c r="AG585" s="16"/>
      <c r="AH585" s="16"/>
      <c r="AI585" s="16"/>
      <c r="AJ585" s="16"/>
      <c r="AK585" s="16"/>
      <c r="AL585" s="16"/>
      <c r="AM585" s="3"/>
      <c r="AN585" s="3"/>
      <c r="AO585" s="3"/>
      <c r="AP585" s="3"/>
      <c r="AQ585" s="3"/>
      <c r="AR585" s="3"/>
      <c r="AS585" s="3"/>
      <c r="AT585" s="3"/>
      <c r="AU585" s="3"/>
      <c r="AV585" s="3"/>
    </row>
    <row r="586" spans="1:48" hidden="1" x14ac:dyDescent="0.25">
      <c r="A586" s="31"/>
      <c r="B586" s="31"/>
      <c r="C586" s="3"/>
      <c r="D586" s="3"/>
      <c r="E586" s="2"/>
      <c r="F586" s="3"/>
      <c r="G586" s="3"/>
      <c r="H586" s="16"/>
      <c r="I586" s="16"/>
      <c r="J586" s="3"/>
      <c r="K586" s="17"/>
      <c r="L586" s="16"/>
      <c r="M586" s="3"/>
      <c r="N586" s="3"/>
      <c r="O586" s="2"/>
      <c r="P586" s="3" t="s">
        <v>54</v>
      </c>
      <c r="Q586" s="3"/>
      <c r="R586" s="3"/>
      <c r="S586" s="16"/>
      <c r="T586" s="3"/>
      <c r="U586" s="3"/>
      <c r="V586" s="3"/>
      <c r="W586" s="16"/>
      <c r="X586" s="16"/>
      <c r="Y586" s="3"/>
      <c r="Z586" s="18"/>
      <c r="AA586" s="3"/>
      <c r="AB586" s="16"/>
      <c r="AC586" s="16"/>
      <c r="AD586" s="16"/>
      <c r="AE586" s="9"/>
      <c r="AF586" s="16"/>
      <c r="AG586" s="16"/>
      <c r="AH586" s="16"/>
      <c r="AI586" s="16"/>
      <c r="AJ586" s="16"/>
      <c r="AK586" s="16"/>
      <c r="AL586" s="16"/>
      <c r="AM586" s="3"/>
      <c r="AN586" s="3"/>
      <c r="AO586" s="3"/>
      <c r="AP586" s="3"/>
      <c r="AQ586" s="3"/>
      <c r="AR586" s="3"/>
      <c r="AS586" s="3"/>
      <c r="AT586" s="3"/>
      <c r="AU586" s="3"/>
      <c r="AV586" s="3"/>
    </row>
    <row r="587" spans="1:48" x14ac:dyDescent="0.25">
      <c r="A587" s="15">
        <f t="shared" ref="A587" si="2484">1+A583</f>
        <v>147</v>
      </c>
      <c r="B587" s="15"/>
      <c r="C587" s="2"/>
      <c r="D587" s="2"/>
      <c r="E587" s="24" t="str">
        <f t="shared" ref="E587" si="2485">+AQ587</f>
        <v/>
      </c>
      <c r="F587" s="30"/>
      <c r="G587" s="24" t="str">
        <f t="shared" ref="G587" si="2486">+AV587</f>
        <v>300100</v>
      </c>
      <c r="H587" s="16">
        <f t="shared" ref="H587" si="2487">+AK587</f>
        <v>0</v>
      </c>
      <c r="I587" s="16">
        <f t="shared" ref="I587" si="2488">+ROUND(AD587,2)</f>
        <v>0</v>
      </c>
      <c r="J587" s="2"/>
      <c r="K587" s="17">
        <f t="shared" ref="K587" si="2489">+AE587</f>
        <v>0</v>
      </c>
      <c r="L587" s="16">
        <f t="shared" ref="L587" si="2490">+AJ587</f>
        <v>0</v>
      </c>
      <c r="M587" s="32" t="s">
        <v>5</v>
      </c>
      <c r="N587" s="30"/>
      <c r="O587" s="2"/>
      <c r="P587" s="30"/>
      <c r="Q587" s="32" t="s">
        <v>0</v>
      </c>
      <c r="R587" s="24"/>
      <c r="S587" s="24" t="str">
        <f t="shared" ref="S587" si="2491">+RIGHT(O587,7)</f>
        <v/>
      </c>
      <c r="T587" s="2"/>
      <c r="U587" s="3" t="s">
        <v>1</v>
      </c>
      <c r="V587" s="3" t="s">
        <v>3</v>
      </c>
      <c r="W587" s="16">
        <f t="shared" ref="W587" si="2492">+AI587</f>
        <v>0</v>
      </c>
      <c r="X587" s="16">
        <f t="shared" ref="X587" si="2493">+AJ587</f>
        <v>0</v>
      </c>
      <c r="Y587" s="3" t="s">
        <v>4</v>
      </c>
      <c r="Z587" s="18">
        <f t="shared" ref="Z587" si="2494">+F587</f>
        <v>0</v>
      </c>
      <c r="AA587" s="61"/>
      <c r="AB587" s="65"/>
      <c r="AC587" s="16">
        <f>+AB587*0.18</f>
        <v>0</v>
      </c>
      <c r="AD587" s="16">
        <f>+AB587+AC587</f>
        <v>0</v>
      </c>
      <c r="AE587" s="68"/>
      <c r="AF587" s="16">
        <f t="shared" ref="AF587" si="2495">+AB587*AE587</f>
        <v>0</v>
      </c>
      <c r="AG587" s="16">
        <f t="shared" ref="AG587" si="2496">+AC587*AE587</f>
        <v>0</v>
      </c>
      <c r="AH587" s="16">
        <f t="shared" ref="AH587" si="2497">+AD587*AE587</f>
        <v>0</v>
      </c>
      <c r="AI587" s="16">
        <f t="shared" ref="AI587" si="2498">+ROUND(AF587,2)</f>
        <v>0</v>
      </c>
      <c r="AJ587" s="16">
        <f t="shared" ref="AJ587" si="2499">+ROUND(AG587,2)</f>
        <v>0</v>
      </c>
      <c r="AK587" s="16">
        <f t="shared" ref="AK587" si="2500">+AI587+AJ587</f>
        <v>0</v>
      </c>
      <c r="AL587" s="16">
        <f t="shared" ref="AL587" si="2501">+AI587+AJ587-AK587</f>
        <v>0</v>
      </c>
      <c r="AM587" s="44"/>
      <c r="AN587" s="41" t="str">
        <f t="shared" ref="AN587" si="2502">+LEFT(AM587,2)</f>
        <v/>
      </c>
      <c r="AO587" s="41" t="str">
        <f t="shared" ref="AO587" si="2503">+MID(AM587,4,2)</f>
        <v/>
      </c>
      <c r="AP587" s="41" t="str">
        <f t="shared" ref="AP587" si="2504">+RIGHT(AM587,2)</f>
        <v/>
      </c>
      <c r="AQ587" s="41" t="str">
        <f t="shared" ref="AQ587" si="2505">+CONCATENATE(AN587,AO587,AP587)</f>
        <v/>
      </c>
      <c r="AR587" s="45">
        <f t="shared" ref="AR587" si="2506">+AM587+30</f>
        <v>30</v>
      </c>
      <c r="AS587" s="46">
        <f t="shared" ref="AS587" si="2507">+DAY(AR587)</f>
        <v>30</v>
      </c>
      <c r="AT587" s="41">
        <f t="shared" ref="AT587" si="2508">+MONTH(AR587)</f>
        <v>1</v>
      </c>
      <c r="AU587" s="41">
        <f t="shared" ref="AU587" si="2509">+YEAR(AR587)</f>
        <v>1900</v>
      </c>
      <c r="AV587" s="41" t="str">
        <f t="shared" ref="AV587" si="2510">+CONCATENATE(TEXT(AS587,"00"),TEXT(AT587,"00"),RIGHT(AU587,2))</f>
        <v>300100</v>
      </c>
    </row>
    <row r="588" spans="1:48" hidden="1" x14ac:dyDescent="0.25">
      <c r="A588" s="31"/>
      <c r="B588" s="31"/>
      <c r="C588" s="3"/>
      <c r="D588" s="3"/>
      <c r="E588" s="2"/>
      <c r="F588" s="3"/>
      <c r="G588" s="3"/>
      <c r="H588" s="16"/>
      <c r="I588" s="16"/>
      <c r="J588" s="3"/>
      <c r="K588" s="17"/>
      <c r="L588" s="16"/>
      <c r="M588" s="3"/>
      <c r="N588" s="3"/>
      <c r="O588" s="2"/>
      <c r="P588" s="3" t="s">
        <v>54</v>
      </c>
      <c r="Q588" s="3"/>
      <c r="R588" s="3"/>
      <c r="S588" s="16"/>
      <c r="T588" s="3"/>
      <c r="U588" s="3"/>
      <c r="V588" s="3"/>
      <c r="W588" s="16"/>
      <c r="X588" s="16"/>
      <c r="Y588" s="3"/>
      <c r="Z588" s="18"/>
      <c r="AA588" s="3"/>
      <c r="AB588" s="16"/>
      <c r="AC588" s="16"/>
      <c r="AD588" s="16"/>
      <c r="AE588" s="9"/>
      <c r="AF588" s="16"/>
      <c r="AG588" s="16"/>
      <c r="AH588" s="16"/>
      <c r="AI588" s="16"/>
      <c r="AJ588" s="16"/>
      <c r="AK588" s="16"/>
      <c r="AL588" s="16"/>
      <c r="AM588" s="3"/>
      <c r="AN588" s="3"/>
      <c r="AO588" s="3"/>
      <c r="AP588" s="3"/>
      <c r="AQ588" s="3"/>
      <c r="AR588" s="3"/>
      <c r="AS588" s="3"/>
      <c r="AT588" s="3"/>
      <c r="AU588" s="3"/>
      <c r="AV588" s="3"/>
    </row>
    <row r="589" spans="1:48" hidden="1" x14ac:dyDescent="0.25">
      <c r="A589" s="31"/>
      <c r="B589" s="31"/>
      <c r="C589" s="3"/>
      <c r="D589" s="3"/>
      <c r="E589" s="2"/>
      <c r="F589" s="3"/>
      <c r="G589" s="3"/>
      <c r="H589" s="16"/>
      <c r="I589" s="16"/>
      <c r="J589" s="3"/>
      <c r="K589" s="17"/>
      <c r="L589" s="16"/>
      <c r="M589" s="3"/>
      <c r="N589" s="3"/>
      <c r="O589" s="2"/>
      <c r="P589" s="3" t="s">
        <v>54</v>
      </c>
      <c r="Q589" s="3"/>
      <c r="R589" s="3"/>
      <c r="S589" s="16"/>
      <c r="T589" s="3"/>
      <c r="U589" s="3"/>
      <c r="V589" s="3"/>
      <c r="W589" s="16"/>
      <c r="X589" s="16"/>
      <c r="Y589" s="3"/>
      <c r="Z589" s="18"/>
      <c r="AA589" s="3"/>
      <c r="AB589" s="16"/>
      <c r="AC589" s="16"/>
      <c r="AD589" s="16"/>
      <c r="AE589" s="9"/>
      <c r="AF589" s="16"/>
      <c r="AG589" s="16"/>
      <c r="AH589" s="16"/>
      <c r="AI589" s="16"/>
      <c r="AJ589" s="16"/>
      <c r="AK589" s="16"/>
      <c r="AL589" s="16"/>
      <c r="AM589" s="3"/>
      <c r="AN589" s="3"/>
      <c r="AO589" s="3"/>
      <c r="AP589" s="3"/>
      <c r="AQ589" s="3"/>
      <c r="AR589" s="3"/>
      <c r="AS589" s="3"/>
      <c r="AT589" s="3"/>
      <c r="AU589" s="3"/>
      <c r="AV589" s="3"/>
    </row>
    <row r="590" spans="1:48" hidden="1" x14ac:dyDescent="0.25">
      <c r="A590" s="31"/>
      <c r="B590" s="31"/>
      <c r="C590" s="3"/>
      <c r="D590" s="3"/>
      <c r="E590" s="2"/>
      <c r="F590" s="3"/>
      <c r="G590" s="3"/>
      <c r="H590" s="16"/>
      <c r="I590" s="16"/>
      <c r="J590" s="3"/>
      <c r="K590" s="17"/>
      <c r="L590" s="16"/>
      <c r="M590" s="3"/>
      <c r="N590" s="3"/>
      <c r="O590" s="2"/>
      <c r="P590" s="3" t="s">
        <v>54</v>
      </c>
      <c r="Q590" s="3"/>
      <c r="R590" s="3"/>
      <c r="S590" s="16"/>
      <c r="T590" s="3"/>
      <c r="U590" s="3"/>
      <c r="V590" s="3"/>
      <c r="W590" s="16"/>
      <c r="X590" s="16"/>
      <c r="Y590" s="3"/>
      <c r="Z590" s="18"/>
      <c r="AA590" s="3"/>
      <c r="AB590" s="16"/>
      <c r="AC590" s="16"/>
      <c r="AD590" s="16"/>
      <c r="AE590" s="9"/>
      <c r="AF590" s="16"/>
      <c r="AG590" s="16"/>
      <c r="AH590" s="16"/>
      <c r="AI590" s="16"/>
      <c r="AJ590" s="16"/>
      <c r="AK590" s="16"/>
      <c r="AL590" s="16"/>
      <c r="AM590" s="3"/>
      <c r="AN590" s="3"/>
      <c r="AO590" s="3"/>
      <c r="AP590" s="3"/>
      <c r="AQ590" s="3"/>
      <c r="AR590" s="3"/>
      <c r="AS590" s="3"/>
      <c r="AT590" s="3"/>
      <c r="AU590" s="3"/>
      <c r="AV590" s="3"/>
    </row>
    <row r="591" spans="1:48" x14ac:dyDescent="0.25">
      <c r="A591" s="15">
        <f t="shared" ref="A591" si="2511">1+A587</f>
        <v>148</v>
      </c>
      <c r="B591" s="15"/>
      <c r="C591" s="2"/>
      <c r="D591" s="2"/>
      <c r="E591" s="24" t="str">
        <f t="shared" ref="E591" si="2512">+AQ591</f>
        <v/>
      </c>
      <c r="F591" s="30"/>
      <c r="G591" s="24" t="str">
        <f t="shared" ref="G591" si="2513">+AV591</f>
        <v>300100</v>
      </c>
      <c r="H591" s="16">
        <f t="shared" ref="H591" si="2514">+AK591</f>
        <v>0</v>
      </c>
      <c r="I591" s="16">
        <f t="shared" ref="I591" si="2515">+ROUND(AD591,2)</f>
        <v>0</v>
      </c>
      <c r="J591" s="2"/>
      <c r="K591" s="17">
        <f t="shared" ref="K591" si="2516">+AE591</f>
        <v>0</v>
      </c>
      <c r="L591" s="16">
        <f t="shared" ref="L591" si="2517">+AJ591</f>
        <v>0</v>
      </c>
      <c r="M591" s="32" t="s">
        <v>5</v>
      </c>
      <c r="N591" s="30"/>
      <c r="O591" s="2"/>
      <c r="P591" s="30"/>
      <c r="Q591" s="32" t="s">
        <v>0</v>
      </c>
      <c r="R591" s="24"/>
      <c r="S591" s="24" t="str">
        <f t="shared" ref="S591" si="2518">+RIGHT(O591,7)</f>
        <v/>
      </c>
      <c r="T591" s="2"/>
      <c r="U591" s="3" t="s">
        <v>1</v>
      </c>
      <c r="V591" s="3" t="s">
        <v>3</v>
      </c>
      <c r="W591" s="16">
        <f t="shared" ref="W591" si="2519">+AI591</f>
        <v>0</v>
      </c>
      <c r="X591" s="16">
        <f t="shared" ref="X591" si="2520">+AJ591</f>
        <v>0</v>
      </c>
      <c r="Y591" s="3" t="s">
        <v>4</v>
      </c>
      <c r="Z591" s="18">
        <f t="shared" ref="Z591" si="2521">+F591</f>
        <v>0</v>
      </c>
      <c r="AA591" s="61"/>
      <c r="AB591" s="65"/>
      <c r="AC591" s="16">
        <f>+AB591*0.18</f>
        <v>0</v>
      </c>
      <c r="AD591" s="16">
        <f>+AB591+AC591</f>
        <v>0</v>
      </c>
      <c r="AE591" s="68"/>
      <c r="AF591" s="16">
        <f t="shared" ref="AF591" si="2522">+AB591*AE591</f>
        <v>0</v>
      </c>
      <c r="AG591" s="16">
        <f t="shared" ref="AG591" si="2523">+AC591*AE591</f>
        <v>0</v>
      </c>
      <c r="AH591" s="16">
        <f t="shared" ref="AH591" si="2524">+AD591*AE591</f>
        <v>0</v>
      </c>
      <c r="AI591" s="16">
        <f t="shared" ref="AI591" si="2525">+ROUND(AF591,2)</f>
        <v>0</v>
      </c>
      <c r="AJ591" s="16">
        <f t="shared" ref="AJ591" si="2526">+ROUND(AG591,2)</f>
        <v>0</v>
      </c>
      <c r="AK591" s="16">
        <f t="shared" ref="AK591" si="2527">+AI591+AJ591</f>
        <v>0</v>
      </c>
      <c r="AL591" s="16">
        <f t="shared" ref="AL591" si="2528">+AI591+AJ591-AK591</f>
        <v>0</v>
      </c>
      <c r="AM591" s="44"/>
      <c r="AN591" s="41" t="str">
        <f t="shared" ref="AN591" si="2529">+LEFT(AM591,2)</f>
        <v/>
      </c>
      <c r="AO591" s="41" t="str">
        <f t="shared" ref="AO591" si="2530">+MID(AM591,4,2)</f>
        <v/>
      </c>
      <c r="AP591" s="41" t="str">
        <f t="shared" ref="AP591" si="2531">+RIGHT(AM591,2)</f>
        <v/>
      </c>
      <c r="AQ591" s="41" t="str">
        <f t="shared" ref="AQ591" si="2532">+CONCATENATE(AN591,AO591,AP591)</f>
        <v/>
      </c>
      <c r="AR591" s="45">
        <f t="shared" ref="AR591" si="2533">+AM591+30</f>
        <v>30</v>
      </c>
      <c r="AS591" s="46">
        <f t="shared" ref="AS591" si="2534">+DAY(AR591)</f>
        <v>30</v>
      </c>
      <c r="AT591" s="41">
        <f t="shared" ref="AT591" si="2535">+MONTH(AR591)</f>
        <v>1</v>
      </c>
      <c r="AU591" s="41">
        <f t="shared" ref="AU591" si="2536">+YEAR(AR591)</f>
        <v>1900</v>
      </c>
      <c r="AV591" s="41" t="str">
        <f t="shared" ref="AV591" si="2537">+CONCATENATE(TEXT(AS591,"00"),TEXT(AT591,"00"),RIGHT(AU591,2))</f>
        <v>300100</v>
      </c>
    </row>
    <row r="592" spans="1:48" hidden="1" x14ac:dyDescent="0.25">
      <c r="A592" s="31"/>
      <c r="B592" s="31"/>
      <c r="C592" s="3"/>
      <c r="D592" s="3"/>
      <c r="E592" s="2"/>
      <c r="F592" s="3"/>
      <c r="G592" s="3"/>
      <c r="H592" s="16"/>
      <c r="I592" s="16"/>
      <c r="J592" s="3"/>
      <c r="K592" s="17"/>
      <c r="L592" s="16"/>
      <c r="M592" s="3"/>
      <c r="N592" s="3"/>
      <c r="O592" s="2"/>
      <c r="P592" s="3" t="s">
        <v>54</v>
      </c>
      <c r="Q592" s="3"/>
      <c r="R592" s="3"/>
      <c r="S592" s="16"/>
      <c r="T592" s="3"/>
      <c r="U592" s="3"/>
      <c r="V592" s="3"/>
      <c r="W592" s="16"/>
      <c r="X592" s="16"/>
      <c r="Y592" s="3"/>
      <c r="Z592" s="18"/>
      <c r="AA592" s="3"/>
      <c r="AB592" s="16"/>
      <c r="AC592" s="16"/>
      <c r="AD592" s="16"/>
      <c r="AE592" s="9"/>
      <c r="AF592" s="16"/>
      <c r="AG592" s="16"/>
      <c r="AH592" s="16"/>
      <c r="AI592" s="16"/>
      <c r="AJ592" s="16"/>
      <c r="AK592" s="16"/>
      <c r="AL592" s="16"/>
      <c r="AM592" s="3"/>
      <c r="AN592" s="3"/>
      <c r="AO592" s="3"/>
      <c r="AP592" s="3"/>
      <c r="AQ592" s="3"/>
      <c r="AR592" s="3"/>
      <c r="AS592" s="3"/>
      <c r="AT592" s="3"/>
      <c r="AU592" s="3"/>
      <c r="AV592" s="3"/>
    </row>
    <row r="593" spans="1:48" hidden="1" x14ac:dyDescent="0.25">
      <c r="A593" s="31"/>
      <c r="B593" s="31"/>
      <c r="C593" s="3"/>
      <c r="D593" s="3"/>
      <c r="E593" s="2"/>
      <c r="F593" s="3"/>
      <c r="G593" s="3"/>
      <c r="H593" s="16"/>
      <c r="I593" s="16"/>
      <c r="J593" s="3"/>
      <c r="K593" s="17"/>
      <c r="L593" s="16"/>
      <c r="M593" s="3"/>
      <c r="N593" s="3"/>
      <c r="O593" s="2"/>
      <c r="P593" s="3" t="s">
        <v>54</v>
      </c>
      <c r="Q593" s="3"/>
      <c r="R593" s="3"/>
      <c r="S593" s="16"/>
      <c r="T593" s="3"/>
      <c r="U593" s="3"/>
      <c r="V593" s="3"/>
      <c r="W593" s="16"/>
      <c r="X593" s="16"/>
      <c r="Y593" s="3"/>
      <c r="Z593" s="18"/>
      <c r="AA593" s="3"/>
      <c r="AB593" s="16"/>
      <c r="AC593" s="16"/>
      <c r="AD593" s="16"/>
      <c r="AE593" s="9"/>
      <c r="AF593" s="16"/>
      <c r="AG593" s="16"/>
      <c r="AH593" s="16"/>
      <c r="AI593" s="16"/>
      <c r="AJ593" s="16"/>
      <c r="AK593" s="16"/>
      <c r="AL593" s="16"/>
      <c r="AM593" s="3"/>
      <c r="AN593" s="3"/>
      <c r="AO593" s="3"/>
      <c r="AP593" s="3"/>
      <c r="AQ593" s="3"/>
      <c r="AR593" s="3"/>
      <c r="AS593" s="3"/>
      <c r="AT593" s="3"/>
      <c r="AU593" s="3"/>
      <c r="AV593" s="3"/>
    </row>
    <row r="594" spans="1:48" hidden="1" x14ac:dyDescent="0.25">
      <c r="A594" s="31"/>
      <c r="B594" s="31"/>
      <c r="C594" s="3"/>
      <c r="D594" s="3"/>
      <c r="E594" s="2"/>
      <c r="F594" s="3"/>
      <c r="G594" s="3"/>
      <c r="H594" s="16"/>
      <c r="I594" s="16"/>
      <c r="J594" s="3"/>
      <c r="K594" s="17"/>
      <c r="L594" s="16"/>
      <c r="M594" s="3"/>
      <c r="N594" s="3"/>
      <c r="O594" s="2"/>
      <c r="P594" s="3" t="s">
        <v>54</v>
      </c>
      <c r="Q594" s="3"/>
      <c r="R594" s="3"/>
      <c r="S594" s="16"/>
      <c r="T594" s="3"/>
      <c r="U594" s="3"/>
      <c r="V594" s="3"/>
      <c r="W594" s="16"/>
      <c r="X594" s="16"/>
      <c r="Y594" s="3"/>
      <c r="Z594" s="18"/>
      <c r="AA594" s="3"/>
      <c r="AB594" s="16"/>
      <c r="AC594" s="16"/>
      <c r="AD594" s="16"/>
      <c r="AE594" s="9"/>
      <c r="AF594" s="16"/>
      <c r="AG594" s="16"/>
      <c r="AH594" s="16"/>
      <c r="AI594" s="16"/>
      <c r="AJ594" s="16"/>
      <c r="AK594" s="16"/>
      <c r="AL594" s="16"/>
      <c r="AM594" s="3"/>
      <c r="AN594" s="3"/>
      <c r="AO594" s="3"/>
      <c r="AP594" s="3"/>
      <c r="AQ594" s="3"/>
      <c r="AR594" s="3"/>
      <c r="AS594" s="3"/>
      <c r="AT594" s="3"/>
      <c r="AU594" s="3"/>
      <c r="AV594" s="3"/>
    </row>
    <row r="595" spans="1:48" x14ac:dyDescent="0.25">
      <c r="A595" s="15">
        <f t="shared" ref="A595" si="2538">1+A591</f>
        <v>149</v>
      </c>
      <c r="B595" s="15"/>
      <c r="C595" s="2"/>
      <c r="D595" s="2"/>
      <c r="E595" s="24" t="str">
        <f t="shared" ref="E595" si="2539">+AQ595</f>
        <v/>
      </c>
      <c r="F595" s="30"/>
      <c r="G595" s="24" t="str">
        <f t="shared" ref="G595" si="2540">+AV595</f>
        <v>300100</v>
      </c>
      <c r="H595" s="16">
        <f t="shared" ref="H595" si="2541">+AK595</f>
        <v>0</v>
      </c>
      <c r="I595" s="16">
        <f t="shared" ref="I595" si="2542">+ROUND(AD595,2)</f>
        <v>0</v>
      </c>
      <c r="J595" s="2"/>
      <c r="K595" s="17">
        <f t="shared" ref="K595" si="2543">+AE595</f>
        <v>0</v>
      </c>
      <c r="L595" s="16">
        <f t="shared" ref="L595" si="2544">+AJ595</f>
        <v>0</v>
      </c>
      <c r="M595" s="32" t="s">
        <v>5</v>
      </c>
      <c r="N595" s="30"/>
      <c r="O595" s="2"/>
      <c r="P595" s="30"/>
      <c r="Q595" s="32" t="s">
        <v>0</v>
      </c>
      <c r="R595" s="24"/>
      <c r="S595" s="24" t="str">
        <f t="shared" ref="S595" si="2545">+RIGHT(O595,7)</f>
        <v/>
      </c>
      <c r="T595" s="2"/>
      <c r="U595" s="3" t="s">
        <v>1</v>
      </c>
      <c r="V595" s="3" t="s">
        <v>3</v>
      </c>
      <c r="W595" s="16">
        <f t="shared" ref="W595" si="2546">+AI595</f>
        <v>0</v>
      </c>
      <c r="X595" s="16">
        <f t="shared" ref="X595" si="2547">+AJ595</f>
        <v>0</v>
      </c>
      <c r="Y595" s="3" t="s">
        <v>4</v>
      </c>
      <c r="Z595" s="18">
        <f t="shared" ref="Z595" si="2548">+F595</f>
        <v>0</v>
      </c>
      <c r="AA595" s="61"/>
      <c r="AB595" s="65"/>
      <c r="AC595" s="16">
        <f>+AB595*0.18</f>
        <v>0</v>
      </c>
      <c r="AD595" s="16">
        <f>+AB595+AC595</f>
        <v>0</v>
      </c>
      <c r="AE595" s="68"/>
      <c r="AF595" s="16">
        <f t="shared" ref="AF595" si="2549">+AB595*AE595</f>
        <v>0</v>
      </c>
      <c r="AG595" s="16">
        <f t="shared" ref="AG595" si="2550">+AC595*AE595</f>
        <v>0</v>
      </c>
      <c r="AH595" s="16">
        <f t="shared" ref="AH595" si="2551">+AD595*AE595</f>
        <v>0</v>
      </c>
      <c r="AI595" s="16">
        <f t="shared" ref="AI595" si="2552">+ROUND(AF595,2)</f>
        <v>0</v>
      </c>
      <c r="AJ595" s="16">
        <f t="shared" ref="AJ595" si="2553">+ROUND(AG595,2)</f>
        <v>0</v>
      </c>
      <c r="AK595" s="16">
        <f t="shared" ref="AK595" si="2554">+AI595+AJ595</f>
        <v>0</v>
      </c>
      <c r="AL595" s="16">
        <f t="shared" ref="AL595" si="2555">+AI595+AJ595-AK595</f>
        <v>0</v>
      </c>
      <c r="AM595" s="44"/>
      <c r="AN595" s="41" t="str">
        <f t="shared" ref="AN595" si="2556">+LEFT(AM595,2)</f>
        <v/>
      </c>
      <c r="AO595" s="41" t="str">
        <f t="shared" ref="AO595" si="2557">+MID(AM595,4,2)</f>
        <v/>
      </c>
      <c r="AP595" s="41" t="str">
        <f t="shared" ref="AP595" si="2558">+RIGHT(AM595,2)</f>
        <v/>
      </c>
      <c r="AQ595" s="41" t="str">
        <f t="shared" ref="AQ595" si="2559">+CONCATENATE(AN595,AO595,AP595)</f>
        <v/>
      </c>
      <c r="AR595" s="45">
        <f t="shared" ref="AR595" si="2560">+AM595+30</f>
        <v>30</v>
      </c>
      <c r="AS595" s="46">
        <f t="shared" ref="AS595" si="2561">+DAY(AR595)</f>
        <v>30</v>
      </c>
      <c r="AT595" s="41">
        <f t="shared" ref="AT595" si="2562">+MONTH(AR595)</f>
        <v>1</v>
      </c>
      <c r="AU595" s="41">
        <f t="shared" ref="AU595" si="2563">+YEAR(AR595)</f>
        <v>1900</v>
      </c>
      <c r="AV595" s="41" t="str">
        <f t="shared" ref="AV595" si="2564">+CONCATENATE(TEXT(AS595,"00"),TEXT(AT595,"00"),RIGHT(AU595,2))</f>
        <v>300100</v>
      </c>
    </row>
    <row r="596" spans="1:48" hidden="1" x14ac:dyDescent="0.25">
      <c r="A596" s="31"/>
      <c r="B596" s="31"/>
      <c r="C596" s="3"/>
      <c r="D596" s="3"/>
      <c r="E596" s="2"/>
      <c r="F596" s="3"/>
      <c r="G596" s="3"/>
      <c r="H596" s="16"/>
      <c r="I596" s="16"/>
      <c r="J596" s="3"/>
      <c r="K596" s="17"/>
      <c r="L596" s="16"/>
      <c r="M596" s="3"/>
      <c r="N596" s="3"/>
      <c r="O596" s="2"/>
      <c r="P596" s="3" t="s">
        <v>54</v>
      </c>
      <c r="Q596" s="3"/>
      <c r="R596" s="3"/>
      <c r="S596" s="16"/>
      <c r="T596" s="3"/>
      <c r="U596" s="3"/>
      <c r="V596" s="3"/>
      <c r="W596" s="16"/>
      <c r="X596" s="16"/>
      <c r="Y596" s="3"/>
      <c r="Z596" s="18"/>
      <c r="AA596" s="3"/>
      <c r="AB596" s="16"/>
      <c r="AC596" s="16"/>
      <c r="AD596" s="16"/>
      <c r="AE596" s="9"/>
      <c r="AF596" s="16"/>
      <c r="AG596" s="16"/>
      <c r="AH596" s="16"/>
      <c r="AI596" s="16"/>
      <c r="AJ596" s="16"/>
      <c r="AK596" s="16"/>
      <c r="AL596" s="16"/>
      <c r="AM596" s="3"/>
      <c r="AN596" s="3"/>
      <c r="AO596" s="3"/>
      <c r="AP596" s="3"/>
      <c r="AQ596" s="3"/>
      <c r="AR596" s="3"/>
      <c r="AS596" s="3"/>
      <c r="AT596" s="3"/>
      <c r="AU596" s="3"/>
      <c r="AV596" s="3"/>
    </row>
    <row r="597" spans="1:48" hidden="1" x14ac:dyDescent="0.25">
      <c r="A597" s="31"/>
      <c r="B597" s="31"/>
      <c r="C597" s="3"/>
      <c r="D597" s="3"/>
      <c r="E597" s="2"/>
      <c r="F597" s="3"/>
      <c r="G597" s="3"/>
      <c r="H597" s="16"/>
      <c r="I597" s="16"/>
      <c r="J597" s="3"/>
      <c r="K597" s="17"/>
      <c r="L597" s="16"/>
      <c r="M597" s="3"/>
      <c r="N597" s="3"/>
      <c r="O597" s="2"/>
      <c r="P597" s="3" t="s">
        <v>54</v>
      </c>
      <c r="Q597" s="3"/>
      <c r="R597" s="3"/>
      <c r="S597" s="16"/>
      <c r="T597" s="3"/>
      <c r="U597" s="3"/>
      <c r="V597" s="3"/>
      <c r="W597" s="16"/>
      <c r="X597" s="16"/>
      <c r="Y597" s="3"/>
      <c r="Z597" s="18"/>
      <c r="AA597" s="3"/>
      <c r="AB597" s="16"/>
      <c r="AC597" s="16"/>
      <c r="AD597" s="16"/>
      <c r="AE597" s="9"/>
      <c r="AF597" s="16"/>
      <c r="AG597" s="16"/>
      <c r="AH597" s="16"/>
      <c r="AI597" s="16"/>
      <c r="AJ597" s="16"/>
      <c r="AK597" s="16"/>
      <c r="AL597" s="16"/>
      <c r="AM597" s="3"/>
      <c r="AN597" s="3"/>
      <c r="AO597" s="3"/>
      <c r="AP597" s="3"/>
      <c r="AQ597" s="3"/>
      <c r="AR597" s="3"/>
      <c r="AS597" s="3"/>
      <c r="AT597" s="3"/>
      <c r="AU597" s="3"/>
      <c r="AV597" s="3"/>
    </row>
    <row r="598" spans="1:48" hidden="1" x14ac:dyDescent="0.25">
      <c r="A598" s="31"/>
      <c r="B598" s="31"/>
      <c r="C598" s="3"/>
      <c r="D598" s="3"/>
      <c r="E598" s="2"/>
      <c r="F598" s="3"/>
      <c r="G598" s="3"/>
      <c r="H598" s="16"/>
      <c r="I598" s="16"/>
      <c r="J598" s="3"/>
      <c r="K598" s="17"/>
      <c r="L598" s="16"/>
      <c r="M598" s="3"/>
      <c r="N598" s="3"/>
      <c r="O598" s="2"/>
      <c r="P598" s="3" t="s">
        <v>54</v>
      </c>
      <c r="Q598" s="3"/>
      <c r="R598" s="3"/>
      <c r="S598" s="16"/>
      <c r="T598" s="3"/>
      <c r="U598" s="3"/>
      <c r="V598" s="3"/>
      <c r="W598" s="16"/>
      <c r="X598" s="16"/>
      <c r="Y598" s="3"/>
      <c r="Z598" s="18"/>
      <c r="AA598" s="3"/>
      <c r="AB598" s="16"/>
      <c r="AC598" s="16"/>
      <c r="AD598" s="16"/>
      <c r="AE598" s="9"/>
      <c r="AF598" s="16"/>
      <c r="AG598" s="16"/>
      <c r="AH598" s="16"/>
      <c r="AI598" s="16"/>
      <c r="AJ598" s="16"/>
      <c r="AK598" s="16"/>
      <c r="AL598" s="16"/>
      <c r="AM598" s="3"/>
      <c r="AN598" s="3"/>
      <c r="AO598" s="3"/>
      <c r="AP598" s="3"/>
      <c r="AQ598" s="3"/>
      <c r="AR598" s="3"/>
      <c r="AS598" s="3"/>
      <c r="AT598" s="3"/>
      <c r="AU598" s="3"/>
      <c r="AV598" s="3"/>
    </row>
    <row r="599" spans="1:48" x14ac:dyDescent="0.25">
      <c r="A599" s="15">
        <f t="shared" ref="A599" si="2565">1+A595</f>
        <v>150</v>
      </c>
      <c r="B599" s="15"/>
      <c r="C599" s="2"/>
      <c r="D599" s="2"/>
      <c r="E599" s="24" t="str">
        <f t="shared" ref="E599" si="2566">+AQ599</f>
        <v/>
      </c>
      <c r="F599" s="30"/>
      <c r="G599" s="24" t="str">
        <f t="shared" ref="G599" si="2567">+AV599</f>
        <v>300100</v>
      </c>
      <c r="H599" s="16">
        <f t="shared" ref="H599" si="2568">+AK599</f>
        <v>0</v>
      </c>
      <c r="I599" s="16">
        <f t="shared" ref="I599" si="2569">+ROUND(AD599,2)</f>
        <v>0</v>
      </c>
      <c r="J599" s="2"/>
      <c r="K599" s="17">
        <f t="shared" ref="K599" si="2570">+AE599</f>
        <v>0</v>
      </c>
      <c r="L599" s="16">
        <f t="shared" ref="L599" si="2571">+AJ599</f>
        <v>0</v>
      </c>
      <c r="M599" s="32" t="s">
        <v>5</v>
      </c>
      <c r="N599" s="30"/>
      <c r="O599" s="2"/>
      <c r="P599" s="30"/>
      <c r="Q599" s="32" t="s">
        <v>0</v>
      </c>
      <c r="R599" s="24"/>
      <c r="S599" s="24" t="str">
        <f t="shared" ref="S599" si="2572">+RIGHT(O599,7)</f>
        <v/>
      </c>
      <c r="T599" s="2"/>
      <c r="U599" s="3" t="s">
        <v>1</v>
      </c>
      <c r="V599" s="3" t="s">
        <v>3</v>
      </c>
      <c r="W599" s="16">
        <f t="shared" ref="W599" si="2573">+AI599</f>
        <v>0</v>
      </c>
      <c r="X599" s="16">
        <f t="shared" ref="X599" si="2574">+AJ599</f>
        <v>0</v>
      </c>
      <c r="Y599" s="3" t="s">
        <v>4</v>
      </c>
      <c r="Z599" s="18">
        <f t="shared" ref="Z599" si="2575">+F599</f>
        <v>0</v>
      </c>
      <c r="AA599" s="61"/>
      <c r="AB599" s="65"/>
      <c r="AC599" s="16">
        <f>+AB599*0.18</f>
        <v>0</v>
      </c>
      <c r="AD599" s="16">
        <f>+AB599+AC599</f>
        <v>0</v>
      </c>
      <c r="AE599" s="68"/>
      <c r="AF599" s="16">
        <f t="shared" ref="AF599" si="2576">+AB599*AE599</f>
        <v>0</v>
      </c>
      <c r="AG599" s="16">
        <f t="shared" ref="AG599" si="2577">+AC599*AE599</f>
        <v>0</v>
      </c>
      <c r="AH599" s="16">
        <f t="shared" ref="AH599" si="2578">+AD599*AE599</f>
        <v>0</v>
      </c>
      <c r="AI599" s="16">
        <f t="shared" ref="AI599" si="2579">+ROUND(AF599,2)</f>
        <v>0</v>
      </c>
      <c r="AJ599" s="16">
        <f t="shared" ref="AJ599" si="2580">+ROUND(AG599,2)</f>
        <v>0</v>
      </c>
      <c r="AK599" s="16">
        <f t="shared" ref="AK599" si="2581">+AI599+AJ599</f>
        <v>0</v>
      </c>
      <c r="AL599" s="16">
        <f t="shared" ref="AL599" si="2582">+AI599+AJ599-AK599</f>
        <v>0</v>
      </c>
      <c r="AM599" s="44"/>
      <c r="AN599" s="41" t="str">
        <f t="shared" ref="AN599" si="2583">+LEFT(AM599,2)</f>
        <v/>
      </c>
      <c r="AO599" s="41" t="str">
        <f t="shared" ref="AO599" si="2584">+MID(AM599,4,2)</f>
        <v/>
      </c>
      <c r="AP599" s="41" t="str">
        <f t="shared" ref="AP599" si="2585">+RIGHT(AM599,2)</f>
        <v/>
      </c>
      <c r="AQ599" s="41" t="str">
        <f t="shared" ref="AQ599" si="2586">+CONCATENATE(AN599,AO599,AP599)</f>
        <v/>
      </c>
      <c r="AR599" s="45">
        <f t="shared" ref="AR599" si="2587">+AM599+30</f>
        <v>30</v>
      </c>
      <c r="AS599" s="46">
        <f t="shared" ref="AS599" si="2588">+DAY(AR599)</f>
        <v>30</v>
      </c>
      <c r="AT599" s="41">
        <f t="shared" ref="AT599" si="2589">+MONTH(AR599)</f>
        <v>1</v>
      </c>
      <c r="AU599" s="41">
        <f t="shared" ref="AU599" si="2590">+YEAR(AR599)</f>
        <v>1900</v>
      </c>
      <c r="AV599" s="41" t="str">
        <f t="shared" ref="AV599" si="2591">+CONCATENATE(TEXT(AS599,"00"),TEXT(AT599,"00"),RIGHT(AU599,2))</f>
        <v>300100</v>
      </c>
    </row>
    <row r="600" spans="1:48" hidden="1" x14ac:dyDescent="0.25">
      <c r="A600" s="31"/>
      <c r="B600" s="31"/>
      <c r="C600" s="3"/>
      <c r="D600" s="3"/>
      <c r="E600" s="2"/>
      <c r="F600" s="3"/>
      <c r="G600" s="3"/>
      <c r="H600" s="16"/>
      <c r="I600" s="16"/>
      <c r="J600" s="3"/>
      <c r="K600" s="17"/>
      <c r="L600" s="16"/>
      <c r="M600" s="3"/>
      <c r="N600" s="3"/>
      <c r="O600" s="2"/>
      <c r="P600" s="3" t="s">
        <v>54</v>
      </c>
      <c r="Q600" s="3"/>
      <c r="R600" s="3"/>
      <c r="S600" s="16"/>
      <c r="T600" s="3"/>
      <c r="U600" s="3"/>
      <c r="V600" s="3"/>
      <c r="W600" s="16"/>
      <c r="X600" s="16"/>
      <c r="Y600" s="3"/>
      <c r="Z600" s="18"/>
      <c r="AA600" s="3"/>
      <c r="AB600" s="16"/>
      <c r="AC600" s="16"/>
      <c r="AD600" s="16"/>
      <c r="AE600" s="9"/>
      <c r="AF600" s="16"/>
      <c r="AG600" s="16"/>
      <c r="AH600" s="16"/>
      <c r="AI600" s="16"/>
      <c r="AJ600" s="16"/>
      <c r="AK600" s="16"/>
      <c r="AL600" s="16"/>
      <c r="AM600" s="3"/>
      <c r="AN600" s="3"/>
      <c r="AO600" s="3"/>
      <c r="AP600" s="3"/>
      <c r="AQ600" s="3"/>
      <c r="AR600" s="3"/>
      <c r="AS600" s="3"/>
      <c r="AT600" s="3"/>
      <c r="AU600" s="3"/>
      <c r="AV600" s="3"/>
    </row>
    <row r="601" spans="1:48" hidden="1" x14ac:dyDescent="0.25">
      <c r="A601" s="31"/>
      <c r="B601" s="31"/>
      <c r="C601" s="3"/>
      <c r="D601" s="3"/>
      <c r="E601" s="2"/>
      <c r="F601" s="3"/>
      <c r="G601" s="3"/>
      <c r="H601" s="16"/>
      <c r="I601" s="16"/>
      <c r="J601" s="3"/>
      <c r="K601" s="17"/>
      <c r="L601" s="16"/>
      <c r="M601" s="3"/>
      <c r="N601" s="3"/>
      <c r="O601" s="2"/>
      <c r="P601" s="3" t="s">
        <v>54</v>
      </c>
      <c r="Q601" s="3"/>
      <c r="R601" s="3"/>
      <c r="S601" s="16"/>
      <c r="T601" s="3"/>
      <c r="U601" s="3"/>
      <c r="V601" s="3"/>
      <c r="W601" s="16"/>
      <c r="X601" s="16"/>
      <c r="Y601" s="3"/>
      <c r="Z601" s="18"/>
      <c r="AA601" s="3"/>
      <c r="AB601" s="16"/>
      <c r="AC601" s="16"/>
      <c r="AD601" s="16"/>
      <c r="AE601" s="9"/>
      <c r="AF601" s="16"/>
      <c r="AG601" s="16"/>
      <c r="AH601" s="16"/>
      <c r="AI601" s="16"/>
      <c r="AJ601" s="16"/>
      <c r="AK601" s="16"/>
      <c r="AL601" s="16"/>
      <c r="AM601" s="3"/>
      <c r="AN601" s="3"/>
      <c r="AO601" s="3"/>
      <c r="AP601" s="3"/>
      <c r="AQ601" s="3"/>
      <c r="AR601" s="3"/>
      <c r="AS601" s="3"/>
      <c r="AT601" s="3"/>
      <c r="AU601" s="3"/>
      <c r="AV601" s="3"/>
    </row>
    <row r="602" spans="1:48" hidden="1" x14ac:dyDescent="0.25">
      <c r="A602" s="31"/>
      <c r="B602" s="31"/>
      <c r="C602" s="3"/>
      <c r="D602" s="3"/>
      <c r="E602" s="2"/>
      <c r="F602" s="3"/>
      <c r="G602" s="3"/>
      <c r="H602" s="16"/>
      <c r="I602" s="16"/>
      <c r="J602" s="3"/>
      <c r="K602" s="17"/>
      <c r="L602" s="16"/>
      <c r="M602" s="3"/>
      <c r="N602" s="3"/>
      <c r="O602" s="2"/>
      <c r="P602" s="3" t="s">
        <v>54</v>
      </c>
      <c r="Q602" s="3"/>
      <c r="R602" s="3"/>
      <c r="S602" s="16"/>
      <c r="T602" s="3"/>
      <c r="U602" s="3"/>
      <c r="V602" s="3"/>
      <c r="W602" s="16"/>
      <c r="X602" s="16"/>
      <c r="Y602" s="3"/>
      <c r="Z602" s="18"/>
      <c r="AA602" s="3"/>
      <c r="AB602" s="16"/>
      <c r="AC602" s="16"/>
      <c r="AD602" s="16"/>
      <c r="AE602" s="9"/>
      <c r="AF602" s="16"/>
      <c r="AG602" s="16"/>
      <c r="AH602" s="16"/>
      <c r="AI602" s="16"/>
      <c r="AJ602" s="16"/>
      <c r="AK602" s="16"/>
      <c r="AL602" s="16"/>
      <c r="AM602" s="3"/>
      <c r="AN602" s="3"/>
      <c r="AO602" s="3"/>
      <c r="AP602" s="3"/>
      <c r="AQ602" s="3"/>
      <c r="AR602" s="3"/>
      <c r="AS602" s="3"/>
      <c r="AT602" s="3"/>
      <c r="AU602" s="3"/>
      <c r="AV602" s="3"/>
    </row>
    <row r="603" spans="1:48" x14ac:dyDescent="0.25">
      <c r="A603" s="15">
        <f t="shared" ref="A603" si="2592">1+A599</f>
        <v>151</v>
      </c>
      <c r="B603" s="15"/>
      <c r="C603" s="2"/>
      <c r="D603" s="2"/>
      <c r="E603" s="24" t="str">
        <f t="shared" ref="E603" si="2593">+AQ603</f>
        <v/>
      </c>
      <c r="F603" s="30"/>
      <c r="G603" s="24" t="str">
        <f t="shared" ref="G603" si="2594">+AV603</f>
        <v>300100</v>
      </c>
      <c r="H603" s="16">
        <f t="shared" ref="H603" si="2595">+AK603</f>
        <v>0</v>
      </c>
      <c r="I603" s="16">
        <f t="shared" ref="I603" si="2596">+ROUND(AD603,2)</f>
        <v>0</v>
      </c>
      <c r="J603" s="2"/>
      <c r="K603" s="17">
        <f t="shared" ref="K603" si="2597">+AE603</f>
        <v>0</v>
      </c>
      <c r="L603" s="16">
        <f t="shared" ref="L603" si="2598">+AJ603</f>
        <v>0</v>
      </c>
      <c r="M603" s="32" t="s">
        <v>5</v>
      </c>
      <c r="N603" s="30"/>
      <c r="O603" s="2"/>
      <c r="P603" s="30"/>
      <c r="Q603" s="32" t="s">
        <v>0</v>
      </c>
      <c r="R603" s="24"/>
      <c r="S603" s="24" t="str">
        <f t="shared" ref="S603" si="2599">+RIGHT(O603,7)</f>
        <v/>
      </c>
      <c r="T603" s="2"/>
      <c r="U603" s="3" t="s">
        <v>1</v>
      </c>
      <c r="V603" s="3" t="s">
        <v>3</v>
      </c>
      <c r="W603" s="16">
        <f t="shared" ref="W603" si="2600">+AI603</f>
        <v>0</v>
      </c>
      <c r="X603" s="16">
        <f t="shared" ref="X603" si="2601">+AJ603</f>
        <v>0</v>
      </c>
      <c r="Y603" s="3" t="s">
        <v>4</v>
      </c>
      <c r="Z603" s="18">
        <f t="shared" ref="Z603" si="2602">+F603</f>
        <v>0</v>
      </c>
      <c r="AA603" s="61"/>
      <c r="AB603" s="65"/>
      <c r="AC603" s="16">
        <f>+AB603*0.18</f>
        <v>0</v>
      </c>
      <c r="AD603" s="16">
        <f>+AB603+AC603</f>
        <v>0</v>
      </c>
      <c r="AE603" s="68"/>
      <c r="AF603" s="16">
        <f t="shared" ref="AF603" si="2603">+AB603*AE603</f>
        <v>0</v>
      </c>
      <c r="AG603" s="16">
        <f t="shared" ref="AG603" si="2604">+AC603*AE603</f>
        <v>0</v>
      </c>
      <c r="AH603" s="16">
        <f t="shared" ref="AH603" si="2605">+AD603*AE603</f>
        <v>0</v>
      </c>
      <c r="AI603" s="16">
        <f t="shared" ref="AI603" si="2606">+ROUND(AF603,2)</f>
        <v>0</v>
      </c>
      <c r="AJ603" s="16">
        <f t="shared" ref="AJ603" si="2607">+ROUND(AG603,2)</f>
        <v>0</v>
      </c>
      <c r="AK603" s="16">
        <f t="shared" ref="AK603" si="2608">+AI603+AJ603</f>
        <v>0</v>
      </c>
      <c r="AL603" s="16">
        <f t="shared" ref="AL603" si="2609">+AI603+AJ603-AK603</f>
        <v>0</v>
      </c>
      <c r="AM603" s="44"/>
      <c r="AN603" s="41" t="str">
        <f t="shared" ref="AN603" si="2610">+LEFT(AM603,2)</f>
        <v/>
      </c>
      <c r="AO603" s="41" t="str">
        <f t="shared" ref="AO603" si="2611">+MID(AM603,4,2)</f>
        <v/>
      </c>
      <c r="AP603" s="41" t="str">
        <f t="shared" ref="AP603" si="2612">+RIGHT(AM603,2)</f>
        <v/>
      </c>
      <c r="AQ603" s="41" t="str">
        <f t="shared" ref="AQ603" si="2613">+CONCATENATE(AN603,AO603,AP603)</f>
        <v/>
      </c>
      <c r="AR603" s="45">
        <f t="shared" ref="AR603" si="2614">+AM603+30</f>
        <v>30</v>
      </c>
      <c r="AS603" s="46">
        <f t="shared" ref="AS603" si="2615">+DAY(AR603)</f>
        <v>30</v>
      </c>
      <c r="AT603" s="41">
        <f t="shared" ref="AT603" si="2616">+MONTH(AR603)</f>
        <v>1</v>
      </c>
      <c r="AU603" s="41">
        <f t="shared" ref="AU603" si="2617">+YEAR(AR603)</f>
        <v>1900</v>
      </c>
      <c r="AV603" s="41" t="str">
        <f t="shared" ref="AV603" si="2618">+CONCATENATE(TEXT(AS603,"00"),TEXT(AT603,"00"),RIGHT(AU603,2))</f>
        <v>300100</v>
      </c>
    </row>
    <row r="604" spans="1:48" hidden="1" x14ac:dyDescent="0.25">
      <c r="A604" s="31"/>
      <c r="B604" s="31"/>
      <c r="C604" s="3"/>
      <c r="D604" s="3"/>
      <c r="E604" s="2"/>
      <c r="F604" s="3"/>
      <c r="G604" s="3"/>
      <c r="H604" s="16"/>
      <c r="I604" s="16"/>
      <c r="J604" s="3"/>
      <c r="K604" s="17"/>
      <c r="L604" s="16"/>
      <c r="M604" s="3"/>
      <c r="N604" s="3"/>
      <c r="O604" s="2"/>
      <c r="P604" s="3" t="s">
        <v>54</v>
      </c>
      <c r="Q604" s="3"/>
      <c r="R604" s="3"/>
      <c r="S604" s="16"/>
      <c r="T604" s="3"/>
      <c r="U604" s="3"/>
      <c r="V604" s="3"/>
      <c r="W604" s="16"/>
      <c r="X604" s="16"/>
      <c r="Y604" s="3"/>
      <c r="Z604" s="18"/>
      <c r="AA604" s="3"/>
      <c r="AB604" s="16"/>
      <c r="AC604" s="16"/>
      <c r="AD604" s="16"/>
      <c r="AE604" s="9"/>
      <c r="AF604" s="16"/>
      <c r="AG604" s="16"/>
      <c r="AH604" s="16"/>
      <c r="AI604" s="16"/>
      <c r="AJ604" s="16"/>
      <c r="AK604" s="16"/>
      <c r="AL604" s="16"/>
      <c r="AM604" s="3"/>
      <c r="AN604" s="3"/>
      <c r="AO604" s="3"/>
      <c r="AP604" s="3"/>
      <c r="AQ604" s="3"/>
      <c r="AR604" s="3"/>
      <c r="AS604" s="3"/>
      <c r="AT604" s="3"/>
      <c r="AU604" s="3"/>
      <c r="AV604" s="3"/>
    </row>
    <row r="605" spans="1:48" hidden="1" x14ac:dyDescent="0.25">
      <c r="A605" s="31"/>
      <c r="B605" s="31"/>
      <c r="C605" s="3"/>
      <c r="D605" s="3"/>
      <c r="E605" s="2"/>
      <c r="F605" s="3"/>
      <c r="G605" s="3"/>
      <c r="H605" s="16"/>
      <c r="I605" s="16"/>
      <c r="J605" s="3"/>
      <c r="K605" s="17"/>
      <c r="L605" s="16"/>
      <c r="M605" s="3"/>
      <c r="N605" s="3"/>
      <c r="O605" s="2"/>
      <c r="P605" s="3" t="s">
        <v>54</v>
      </c>
      <c r="Q605" s="3"/>
      <c r="R605" s="3"/>
      <c r="S605" s="16"/>
      <c r="T605" s="3"/>
      <c r="U605" s="3"/>
      <c r="V605" s="3"/>
      <c r="W605" s="16"/>
      <c r="X605" s="16"/>
      <c r="Y605" s="3"/>
      <c r="Z605" s="18"/>
      <c r="AA605" s="3"/>
      <c r="AB605" s="16"/>
      <c r="AC605" s="16"/>
      <c r="AD605" s="16"/>
      <c r="AE605" s="9"/>
      <c r="AF605" s="16"/>
      <c r="AG605" s="16"/>
      <c r="AH605" s="16"/>
      <c r="AI605" s="16"/>
      <c r="AJ605" s="16"/>
      <c r="AK605" s="16"/>
      <c r="AL605" s="16"/>
      <c r="AM605" s="3"/>
      <c r="AN605" s="3"/>
      <c r="AO605" s="3"/>
      <c r="AP605" s="3"/>
      <c r="AQ605" s="3"/>
      <c r="AR605" s="3"/>
      <c r="AS605" s="3"/>
      <c r="AT605" s="3"/>
      <c r="AU605" s="3"/>
      <c r="AV605" s="3"/>
    </row>
    <row r="606" spans="1:48" hidden="1" x14ac:dyDescent="0.25">
      <c r="A606" s="31"/>
      <c r="B606" s="31"/>
      <c r="C606" s="3"/>
      <c r="D606" s="3"/>
      <c r="E606" s="2"/>
      <c r="F606" s="3"/>
      <c r="G606" s="3"/>
      <c r="H606" s="16"/>
      <c r="I606" s="16"/>
      <c r="J606" s="3"/>
      <c r="K606" s="17"/>
      <c r="L606" s="16"/>
      <c r="M606" s="3"/>
      <c r="N606" s="3"/>
      <c r="O606" s="2"/>
      <c r="P606" s="3" t="s">
        <v>54</v>
      </c>
      <c r="Q606" s="3"/>
      <c r="R606" s="3"/>
      <c r="S606" s="16"/>
      <c r="T606" s="3"/>
      <c r="U606" s="3"/>
      <c r="V606" s="3"/>
      <c r="W606" s="16"/>
      <c r="X606" s="16"/>
      <c r="Y606" s="3"/>
      <c r="Z606" s="18"/>
      <c r="AA606" s="3"/>
      <c r="AB606" s="16"/>
      <c r="AC606" s="16"/>
      <c r="AD606" s="16"/>
      <c r="AE606" s="9"/>
      <c r="AF606" s="16"/>
      <c r="AG606" s="16"/>
      <c r="AH606" s="16"/>
      <c r="AI606" s="16"/>
      <c r="AJ606" s="16"/>
      <c r="AK606" s="16"/>
      <c r="AL606" s="16"/>
      <c r="AM606" s="3"/>
      <c r="AN606" s="3"/>
      <c r="AO606" s="3"/>
      <c r="AP606" s="3"/>
      <c r="AQ606" s="3"/>
      <c r="AR606" s="3"/>
      <c r="AS606" s="3"/>
      <c r="AT606" s="3"/>
      <c r="AU606" s="3"/>
      <c r="AV606" s="3"/>
    </row>
    <row r="607" spans="1:48" x14ac:dyDescent="0.25">
      <c r="A607" s="15">
        <f t="shared" ref="A607" si="2619">1+A603</f>
        <v>152</v>
      </c>
      <c r="B607" s="15"/>
      <c r="C607" s="2"/>
      <c r="D607" s="2"/>
      <c r="E607" s="24" t="str">
        <f t="shared" ref="E607" si="2620">+AQ607</f>
        <v/>
      </c>
      <c r="F607" s="30"/>
      <c r="G607" s="24" t="str">
        <f t="shared" ref="G607" si="2621">+AV607</f>
        <v>300100</v>
      </c>
      <c r="H607" s="16">
        <f t="shared" ref="H607" si="2622">+AK607</f>
        <v>0</v>
      </c>
      <c r="I607" s="16">
        <f t="shared" ref="I607" si="2623">+ROUND(AD607,2)</f>
        <v>0</v>
      </c>
      <c r="J607" s="2"/>
      <c r="K607" s="17">
        <f t="shared" ref="K607" si="2624">+AE607</f>
        <v>0</v>
      </c>
      <c r="L607" s="16">
        <f t="shared" ref="L607" si="2625">+AJ607</f>
        <v>0</v>
      </c>
      <c r="M607" s="32" t="s">
        <v>5</v>
      </c>
      <c r="N607" s="30"/>
      <c r="O607" s="2"/>
      <c r="P607" s="30"/>
      <c r="Q607" s="32" t="s">
        <v>0</v>
      </c>
      <c r="R607" s="24"/>
      <c r="S607" s="24" t="str">
        <f t="shared" ref="S607" si="2626">+RIGHT(O607,7)</f>
        <v/>
      </c>
      <c r="T607" s="2"/>
      <c r="U607" s="3" t="s">
        <v>1</v>
      </c>
      <c r="V607" s="3" t="s">
        <v>3</v>
      </c>
      <c r="W607" s="16">
        <f t="shared" ref="W607" si="2627">+AI607</f>
        <v>0</v>
      </c>
      <c r="X607" s="16">
        <f t="shared" ref="X607" si="2628">+AJ607</f>
        <v>0</v>
      </c>
      <c r="Y607" s="3" t="s">
        <v>4</v>
      </c>
      <c r="Z607" s="18">
        <f t="shared" ref="Z607" si="2629">+F607</f>
        <v>0</v>
      </c>
      <c r="AA607" s="61"/>
      <c r="AB607" s="65"/>
      <c r="AC607" s="16">
        <f>+AB607*0.18</f>
        <v>0</v>
      </c>
      <c r="AD607" s="16">
        <f>+AB607+AC607</f>
        <v>0</v>
      </c>
      <c r="AE607" s="68"/>
      <c r="AF607" s="16">
        <f t="shared" ref="AF607" si="2630">+AB607*AE607</f>
        <v>0</v>
      </c>
      <c r="AG607" s="16">
        <f t="shared" ref="AG607" si="2631">+AC607*AE607</f>
        <v>0</v>
      </c>
      <c r="AH607" s="16">
        <f t="shared" ref="AH607" si="2632">+AD607*AE607</f>
        <v>0</v>
      </c>
      <c r="AI607" s="16">
        <f t="shared" ref="AI607" si="2633">+ROUND(AF607,2)</f>
        <v>0</v>
      </c>
      <c r="AJ607" s="16">
        <f t="shared" ref="AJ607" si="2634">+ROUND(AG607,2)</f>
        <v>0</v>
      </c>
      <c r="AK607" s="16">
        <f t="shared" ref="AK607" si="2635">+AI607+AJ607</f>
        <v>0</v>
      </c>
      <c r="AL607" s="16">
        <f t="shared" ref="AL607" si="2636">+AI607+AJ607-AK607</f>
        <v>0</v>
      </c>
      <c r="AM607" s="44"/>
      <c r="AN607" s="41" t="str">
        <f t="shared" ref="AN607" si="2637">+LEFT(AM607,2)</f>
        <v/>
      </c>
      <c r="AO607" s="41" t="str">
        <f t="shared" ref="AO607" si="2638">+MID(AM607,4,2)</f>
        <v/>
      </c>
      <c r="AP607" s="41" t="str">
        <f t="shared" ref="AP607" si="2639">+RIGHT(AM607,2)</f>
        <v/>
      </c>
      <c r="AQ607" s="41" t="str">
        <f t="shared" ref="AQ607" si="2640">+CONCATENATE(AN607,AO607,AP607)</f>
        <v/>
      </c>
      <c r="AR607" s="45">
        <f t="shared" ref="AR607" si="2641">+AM607+30</f>
        <v>30</v>
      </c>
      <c r="AS607" s="46">
        <f t="shared" ref="AS607" si="2642">+DAY(AR607)</f>
        <v>30</v>
      </c>
      <c r="AT607" s="41">
        <f t="shared" ref="AT607" si="2643">+MONTH(AR607)</f>
        <v>1</v>
      </c>
      <c r="AU607" s="41">
        <f t="shared" ref="AU607" si="2644">+YEAR(AR607)</f>
        <v>1900</v>
      </c>
      <c r="AV607" s="41" t="str">
        <f t="shared" ref="AV607" si="2645">+CONCATENATE(TEXT(AS607,"00"),TEXT(AT607,"00"),RIGHT(AU607,2))</f>
        <v>300100</v>
      </c>
    </row>
    <row r="608" spans="1:48" hidden="1" x14ac:dyDescent="0.25">
      <c r="A608" s="31"/>
      <c r="B608" s="31"/>
      <c r="C608" s="3"/>
      <c r="D608" s="3"/>
      <c r="E608" s="2"/>
      <c r="F608" s="3"/>
      <c r="G608" s="3"/>
      <c r="H608" s="16"/>
      <c r="I608" s="16"/>
      <c r="J608" s="3"/>
      <c r="K608" s="17"/>
      <c r="L608" s="16"/>
      <c r="M608" s="3"/>
      <c r="N608" s="3"/>
      <c r="O608" s="2"/>
      <c r="P608" s="3" t="s">
        <v>54</v>
      </c>
      <c r="Q608" s="3"/>
      <c r="R608" s="3"/>
      <c r="S608" s="16"/>
      <c r="T608" s="3"/>
      <c r="U608" s="3"/>
      <c r="V608" s="3"/>
      <c r="W608" s="16"/>
      <c r="X608" s="16"/>
      <c r="Y608" s="3"/>
      <c r="Z608" s="18"/>
      <c r="AA608" s="3"/>
      <c r="AB608" s="16"/>
      <c r="AC608" s="16"/>
      <c r="AD608" s="16"/>
      <c r="AE608" s="9"/>
      <c r="AF608" s="16"/>
      <c r="AG608" s="16"/>
      <c r="AH608" s="16"/>
      <c r="AI608" s="16"/>
      <c r="AJ608" s="16"/>
      <c r="AK608" s="16"/>
      <c r="AL608" s="16"/>
      <c r="AM608" s="3"/>
      <c r="AN608" s="3"/>
      <c r="AO608" s="3"/>
      <c r="AP608" s="3"/>
      <c r="AQ608" s="3"/>
      <c r="AR608" s="3"/>
      <c r="AS608" s="3"/>
      <c r="AT608" s="3"/>
      <c r="AU608" s="3"/>
      <c r="AV608" s="3"/>
    </row>
    <row r="609" spans="1:48" hidden="1" x14ac:dyDescent="0.25">
      <c r="A609" s="31"/>
      <c r="B609" s="31"/>
      <c r="C609" s="3"/>
      <c r="D609" s="3"/>
      <c r="E609" s="2"/>
      <c r="F609" s="3"/>
      <c r="G609" s="3"/>
      <c r="H609" s="16"/>
      <c r="I609" s="16"/>
      <c r="J609" s="3"/>
      <c r="K609" s="17"/>
      <c r="L609" s="16"/>
      <c r="M609" s="3"/>
      <c r="N609" s="3"/>
      <c r="O609" s="2"/>
      <c r="P609" s="3" t="s">
        <v>54</v>
      </c>
      <c r="Q609" s="3"/>
      <c r="R609" s="3"/>
      <c r="S609" s="16"/>
      <c r="T609" s="3"/>
      <c r="U609" s="3"/>
      <c r="V609" s="3"/>
      <c r="W609" s="16"/>
      <c r="X609" s="16"/>
      <c r="Y609" s="3"/>
      <c r="Z609" s="18"/>
      <c r="AA609" s="3"/>
      <c r="AB609" s="16"/>
      <c r="AC609" s="16"/>
      <c r="AD609" s="16"/>
      <c r="AE609" s="9"/>
      <c r="AF609" s="16"/>
      <c r="AG609" s="16"/>
      <c r="AH609" s="16"/>
      <c r="AI609" s="16"/>
      <c r="AJ609" s="16"/>
      <c r="AK609" s="16"/>
      <c r="AL609" s="16"/>
      <c r="AM609" s="3"/>
      <c r="AN609" s="3"/>
      <c r="AO609" s="3"/>
      <c r="AP609" s="3"/>
      <c r="AQ609" s="3"/>
      <c r="AR609" s="3"/>
      <c r="AS609" s="3"/>
      <c r="AT609" s="3"/>
      <c r="AU609" s="3"/>
      <c r="AV609" s="3"/>
    </row>
    <row r="610" spans="1:48" hidden="1" x14ac:dyDescent="0.25">
      <c r="A610" s="31"/>
      <c r="B610" s="31"/>
      <c r="C610" s="3"/>
      <c r="D610" s="3"/>
      <c r="E610" s="2"/>
      <c r="F610" s="3"/>
      <c r="G610" s="3"/>
      <c r="H610" s="16"/>
      <c r="I610" s="16"/>
      <c r="J610" s="3"/>
      <c r="K610" s="17"/>
      <c r="L610" s="16"/>
      <c r="M610" s="3"/>
      <c r="N610" s="3"/>
      <c r="O610" s="2"/>
      <c r="P610" s="3" t="s">
        <v>54</v>
      </c>
      <c r="Q610" s="3"/>
      <c r="R610" s="3"/>
      <c r="S610" s="16"/>
      <c r="T610" s="3"/>
      <c r="U610" s="3"/>
      <c r="V610" s="3"/>
      <c r="W610" s="16"/>
      <c r="X610" s="16"/>
      <c r="Y610" s="3"/>
      <c r="Z610" s="18"/>
      <c r="AA610" s="3"/>
      <c r="AB610" s="16"/>
      <c r="AC610" s="16"/>
      <c r="AD610" s="16"/>
      <c r="AE610" s="9"/>
      <c r="AF610" s="16"/>
      <c r="AG610" s="16"/>
      <c r="AH610" s="16"/>
      <c r="AI610" s="16"/>
      <c r="AJ610" s="16"/>
      <c r="AK610" s="16"/>
      <c r="AL610" s="16"/>
      <c r="AM610" s="3"/>
      <c r="AN610" s="3"/>
      <c r="AO610" s="3"/>
      <c r="AP610" s="3"/>
      <c r="AQ610" s="3"/>
      <c r="AR610" s="3"/>
      <c r="AS610" s="3"/>
      <c r="AT610" s="3"/>
      <c r="AU610" s="3"/>
      <c r="AV610" s="3"/>
    </row>
    <row r="611" spans="1:48" x14ac:dyDescent="0.25">
      <c r="A611" s="15">
        <f t="shared" ref="A611" si="2646">1+A607</f>
        <v>153</v>
      </c>
      <c r="B611" s="15"/>
      <c r="C611" s="2"/>
      <c r="D611" s="2"/>
      <c r="E611" s="24" t="str">
        <f t="shared" ref="E611" si="2647">+AQ611</f>
        <v/>
      </c>
      <c r="F611" s="30"/>
      <c r="G611" s="24" t="str">
        <f t="shared" ref="G611" si="2648">+AV611</f>
        <v>300100</v>
      </c>
      <c r="H611" s="16">
        <f t="shared" ref="H611" si="2649">+AK611</f>
        <v>0</v>
      </c>
      <c r="I611" s="16">
        <f t="shared" ref="I611" si="2650">+ROUND(AD611,2)</f>
        <v>0</v>
      </c>
      <c r="J611" s="2"/>
      <c r="K611" s="17">
        <f t="shared" ref="K611" si="2651">+AE611</f>
        <v>0</v>
      </c>
      <c r="L611" s="16">
        <f t="shared" ref="L611" si="2652">+AJ611</f>
        <v>0</v>
      </c>
      <c r="M611" s="32" t="s">
        <v>5</v>
      </c>
      <c r="N611" s="30"/>
      <c r="O611" s="2"/>
      <c r="P611" s="30"/>
      <c r="Q611" s="32" t="s">
        <v>0</v>
      </c>
      <c r="R611" s="24"/>
      <c r="S611" s="24" t="str">
        <f t="shared" ref="S611" si="2653">+RIGHT(O611,7)</f>
        <v/>
      </c>
      <c r="T611" s="2"/>
      <c r="U611" s="3" t="s">
        <v>1</v>
      </c>
      <c r="V611" s="3" t="s">
        <v>3</v>
      </c>
      <c r="W611" s="16">
        <f t="shared" ref="W611" si="2654">+AI611</f>
        <v>0</v>
      </c>
      <c r="X611" s="16">
        <f t="shared" ref="X611" si="2655">+AJ611</f>
        <v>0</v>
      </c>
      <c r="Y611" s="3" t="s">
        <v>4</v>
      </c>
      <c r="Z611" s="18">
        <f t="shared" ref="Z611" si="2656">+F611</f>
        <v>0</v>
      </c>
      <c r="AA611" s="61"/>
      <c r="AB611" s="65"/>
      <c r="AC611" s="16">
        <f>+AB611*0.18</f>
        <v>0</v>
      </c>
      <c r="AD611" s="16">
        <f>+AB611+AC611</f>
        <v>0</v>
      </c>
      <c r="AE611" s="68"/>
      <c r="AF611" s="16">
        <f t="shared" ref="AF611" si="2657">+AB611*AE611</f>
        <v>0</v>
      </c>
      <c r="AG611" s="16">
        <f t="shared" ref="AG611" si="2658">+AC611*AE611</f>
        <v>0</v>
      </c>
      <c r="AH611" s="16">
        <f t="shared" ref="AH611" si="2659">+AD611*AE611</f>
        <v>0</v>
      </c>
      <c r="AI611" s="16">
        <f t="shared" ref="AI611" si="2660">+ROUND(AF611,2)</f>
        <v>0</v>
      </c>
      <c r="AJ611" s="16">
        <f t="shared" ref="AJ611" si="2661">+ROUND(AG611,2)</f>
        <v>0</v>
      </c>
      <c r="AK611" s="16">
        <f t="shared" ref="AK611" si="2662">+AI611+AJ611</f>
        <v>0</v>
      </c>
      <c r="AL611" s="16">
        <f t="shared" ref="AL611" si="2663">+AI611+AJ611-AK611</f>
        <v>0</v>
      </c>
      <c r="AM611" s="44"/>
      <c r="AN611" s="41" t="str">
        <f t="shared" ref="AN611" si="2664">+LEFT(AM611,2)</f>
        <v/>
      </c>
      <c r="AO611" s="41" t="str">
        <f t="shared" ref="AO611" si="2665">+MID(AM611,4,2)</f>
        <v/>
      </c>
      <c r="AP611" s="41" t="str">
        <f t="shared" ref="AP611" si="2666">+RIGHT(AM611,2)</f>
        <v/>
      </c>
      <c r="AQ611" s="41" t="str">
        <f t="shared" ref="AQ611" si="2667">+CONCATENATE(AN611,AO611,AP611)</f>
        <v/>
      </c>
      <c r="AR611" s="45">
        <f t="shared" ref="AR611" si="2668">+AM611+30</f>
        <v>30</v>
      </c>
      <c r="AS611" s="46">
        <f t="shared" ref="AS611" si="2669">+DAY(AR611)</f>
        <v>30</v>
      </c>
      <c r="AT611" s="41">
        <f t="shared" ref="AT611" si="2670">+MONTH(AR611)</f>
        <v>1</v>
      </c>
      <c r="AU611" s="41">
        <f t="shared" ref="AU611" si="2671">+YEAR(AR611)</f>
        <v>1900</v>
      </c>
      <c r="AV611" s="41" t="str">
        <f t="shared" ref="AV611" si="2672">+CONCATENATE(TEXT(AS611,"00"),TEXT(AT611,"00"),RIGHT(AU611,2))</f>
        <v>300100</v>
      </c>
    </row>
    <row r="612" spans="1:48" hidden="1" x14ac:dyDescent="0.25">
      <c r="A612" s="31"/>
      <c r="B612" s="31"/>
      <c r="C612" s="3"/>
      <c r="D612" s="3"/>
      <c r="E612" s="2"/>
      <c r="F612" s="3"/>
      <c r="G612" s="3"/>
      <c r="H612" s="16"/>
      <c r="I612" s="16"/>
      <c r="J612" s="3"/>
      <c r="K612" s="17"/>
      <c r="L612" s="16"/>
      <c r="M612" s="3"/>
      <c r="N612" s="3"/>
      <c r="O612" s="2"/>
      <c r="P612" s="3" t="s">
        <v>54</v>
      </c>
      <c r="Q612" s="3"/>
      <c r="R612" s="3"/>
      <c r="S612" s="16"/>
      <c r="T612" s="3"/>
      <c r="U612" s="3"/>
      <c r="V612" s="3"/>
      <c r="W612" s="16"/>
      <c r="X612" s="16"/>
      <c r="Y612" s="3"/>
      <c r="Z612" s="18"/>
      <c r="AA612" s="3"/>
      <c r="AB612" s="16"/>
      <c r="AC612" s="16"/>
      <c r="AD612" s="16"/>
      <c r="AE612" s="9"/>
      <c r="AF612" s="16"/>
      <c r="AG612" s="16"/>
      <c r="AH612" s="16"/>
      <c r="AI612" s="16"/>
      <c r="AJ612" s="16"/>
      <c r="AK612" s="16"/>
      <c r="AL612" s="16"/>
      <c r="AM612" s="3"/>
      <c r="AN612" s="3"/>
      <c r="AO612" s="3"/>
      <c r="AP612" s="3"/>
      <c r="AQ612" s="3"/>
      <c r="AR612" s="3"/>
      <c r="AS612" s="3"/>
      <c r="AT612" s="3"/>
      <c r="AU612" s="3"/>
      <c r="AV612" s="3"/>
    </row>
    <row r="613" spans="1:48" hidden="1" x14ac:dyDescent="0.25">
      <c r="A613" s="31"/>
      <c r="B613" s="31"/>
      <c r="C613" s="3"/>
      <c r="D613" s="3"/>
      <c r="E613" s="2"/>
      <c r="F613" s="3"/>
      <c r="G613" s="3"/>
      <c r="H613" s="16"/>
      <c r="I613" s="16"/>
      <c r="J613" s="3"/>
      <c r="K613" s="17"/>
      <c r="L613" s="16"/>
      <c r="M613" s="3"/>
      <c r="N613" s="3"/>
      <c r="O613" s="2"/>
      <c r="P613" s="3" t="s">
        <v>54</v>
      </c>
      <c r="Q613" s="3"/>
      <c r="R613" s="3"/>
      <c r="S613" s="16"/>
      <c r="T613" s="3"/>
      <c r="U613" s="3"/>
      <c r="V613" s="3"/>
      <c r="W613" s="16"/>
      <c r="X613" s="16"/>
      <c r="Y613" s="3"/>
      <c r="Z613" s="18"/>
      <c r="AA613" s="3"/>
      <c r="AB613" s="16"/>
      <c r="AC613" s="16"/>
      <c r="AD613" s="16"/>
      <c r="AE613" s="9"/>
      <c r="AF613" s="16"/>
      <c r="AG613" s="16"/>
      <c r="AH613" s="16"/>
      <c r="AI613" s="16"/>
      <c r="AJ613" s="16"/>
      <c r="AK613" s="16"/>
      <c r="AL613" s="16"/>
      <c r="AM613" s="3"/>
      <c r="AN613" s="3"/>
      <c r="AO613" s="3"/>
      <c r="AP613" s="3"/>
      <c r="AQ613" s="3"/>
      <c r="AR613" s="3"/>
      <c r="AS613" s="3"/>
      <c r="AT613" s="3"/>
      <c r="AU613" s="3"/>
      <c r="AV613" s="3"/>
    </row>
    <row r="614" spans="1:48" hidden="1" x14ac:dyDescent="0.25">
      <c r="A614" s="31"/>
      <c r="B614" s="31"/>
      <c r="C614" s="3"/>
      <c r="D614" s="3"/>
      <c r="E614" s="2"/>
      <c r="F614" s="3"/>
      <c r="G614" s="3"/>
      <c r="H614" s="16"/>
      <c r="I614" s="16"/>
      <c r="J614" s="3"/>
      <c r="K614" s="17"/>
      <c r="L614" s="16"/>
      <c r="M614" s="3"/>
      <c r="N614" s="3"/>
      <c r="O614" s="2"/>
      <c r="P614" s="3" t="s">
        <v>54</v>
      </c>
      <c r="Q614" s="3"/>
      <c r="R614" s="3"/>
      <c r="S614" s="16"/>
      <c r="T614" s="3"/>
      <c r="U614" s="3"/>
      <c r="V614" s="3"/>
      <c r="W614" s="16"/>
      <c r="X614" s="16"/>
      <c r="Y614" s="3"/>
      <c r="Z614" s="18"/>
      <c r="AA614" s="3"/>
      <c r="AB614" s="16"/>
      <c r="AC614" s="16"/>
      <c r="AD614" s="16"/>
      <c r="AE614" s="9"/>
      <c r="AF614" s="16"/>
      <c r="AG614" s="16"/>
      <c r="AH614" s="16"/>
      <c r="AI614" s="16"/>
      <c r="AJ614" s="16"/>
      <c r="AK614" s="16"/>
      <c r="AL614" s="16"/>
      <c r="AM614" s="3"/>
      <c r="AN614" s="3"/>
      <c r="AO614" s="3"/>
      <c r="AP614" s="3"/>
      <c r="AQ614" s="3"/>
      <c r="AR614" s="3"/>
      <c r="AS614" s="3"/>
      <c r="AT614" s="3"/>
      <c r="AU614" s="3"/>
      <c r="AV614" s="3"/>
    </row>
    <row r="615" spans="1:48" x14ac:dyDescent="0.25">
      <c r="A615" s="15">
        <f t="shared" ref="A615" si="2673">1+A611</f>
        <v>154</v>
      </c>
      <c r="B615" s="15"/>
      <c r="C615" s="2"/>
      <c r="D615" s="2"/>
      <c r="E615" s="24" t="str">
        <f t="shared" ref="E615" si="2674">+AQ615</f>
        <v/>
      </c>
      <c r="F615" s="30"/>
      <c r="G615" s="24" t="str">
        <f t="shared" ref="G615" si="2675">+AV615</f>
        <v>300100</v>
      </c>
      <c r="H615" s="16">
        <f t="shared" ref="H615" si="2676">+AK615</f>
        <v>0</v>
      </c>
      <c r="I615" s="16">
        <f t="shared" ref="I615" si="2677">+ROUND(AD615,2)</f>
        <v>0</v>
      </c>
      <c r="J615" s="2"/>
      <c r="K615" s="17">
        <f t="shared" ref="K615" si="2678">+AE615</f>
        <v>0</v>
      </c>
      <c r="L615" s="16">
        <f t="shared" ref="L615" si="2679">+AJ615</f>
        <v>0</v>
      </c>
      <c r="M615" s="32" t="s">
        <v>5</v>
      </c>
      <c r="N615" s="30"/>
      <c r="O615" s="2"/>
      <c r="P615" s="30"/>
      <c r="Q615" s="32" t="s">
        <v>0</v>
      </c>
      <c r="R615" s="24"/>
      <c r="S615" s="24" t="str">
        <f t="shared" ref="S615" si="2680">+RIGHT(O615,7)</f>
        <v/>
      </c>
      <c r="T615" s="2"/>
      <c r="U615" s="3" t="s">
        <v>1</v>
      </c>
      <c r="V615" s="3" t="s">
        <v>3</v>
      </c>
      <c r="W615" s="16">
        <f t="shared" ref="W615" si="2681">+AI615</f>
        <v>0</v>
      </c>
      <c r="X615" s="16">
        <f t="shared" ref="X615" si="2682">+AJ615</f>
        <v>0</v>
      </c>
      <c r="Y615" s="3" t="s">
        <v>4</v>
      </c>
      <c r="Z615" s="18">
        <f t="shared" ref="Z615" si="2683">+F615</f>
        <v>0</v>
      </c>
      <c r="AA615" s="61"/>
      <c r="AB615" s="65"/>
      <c r="AC615" s="16">
        <f>+AB615*0.18</f>
        <v>0</v>
      </c>
      <c r="AD615" s="16">
        <f>+AB615+AC615</f>
        <v>0</v>
      </c>
      <c r="AE615" s="68"/>
      <c r="AF615" s="16">
        <f t="shared" ref="AF615" si="2684">+AB615*AE615</f>
        <v>0</v>
      </c>
      <c r="AG615" s="16">
        <f t="shared" ref="AG615" si="2685">+AC615*AE615</f>
        <v>0</v>
      </c>
      <c r="AH615" s="16">
        <f t="shared" ref="AH615" si="2686">+AD615*AE615</f>
        <v>0</v>
      </c>
      <c r="AI615" s="16">
        <f t="shared" ref="AI615" si="2687">+ROUND(AF615,2)</f>
        <v>0</v>
      </c>
      <c r="AJ615" s="16">
        <f t="shared" ref="AJ615" si="2688">+ROUND(AG615,2)</f>
        <v>0</v>
      </c>
      <c r="AK615" s="16">
        <f t="shared" ref="AK615" si="2689">+AI615+AJ615</f>
        <v>0</v>
      </c>
      <c r="AL615" s="16">
        <f t="shared" ref="AL615" si="2690">+AI615+AJ615-AK615</f>
        <v>0</v>
      </c>
      <c r="AM615" s="44"/>
      <c r="AN615" s="41" t="str">
        <f t="shared" ref="AN615" si="2691">+LEFT(AM615,2)</f>
        <v/>
      </c>
      <c r="AO615" s="41" t="str">
        <f t="shared" ref="AO615" si="2692">+MID(AM615,4,2)</f>
        <v/>
      </c>
      <c r="AP615" s="41" t="str">
        <f t="shared" ref="AP615" si="2693">+RIGHT(AM615,2)</f>
        <v/>
      </c>
      <c r="AQ615" s="41" t="str">
        <f t="shared" ref="AQ615" si="2694">+CONCATENATE(AN615,AO615,AP615)</f>
        <v/>
      </c>
      <c r="AR615" s="45">
        <f t="shared" ref="AR615" si="2695">+AM615+30</f>
        <v>30</v>
      </c>
      <c r="AS615" s="46">
        <f t="shared" ref="AS615" si="2696">+DAY(AR615)</f>
        <v>30</v>
      </c>
      <c r="AT615" s="41">
        <f t="shared" ref="AT615" si="2697">+MONTH(AR615)</f>
        <v>1</v>
      </c>
      <c r="AU615" s="41">
        <f t="shared" ref="AU615" si="2698">+YEAR(AR615)</f>
        <v>1900</v>
      </c>
      <c r="AV615" s="41" t="str">
        <f t="shared" ref="AV615" si="2699">+CONCATENATE(TEXT(AS615,"00"),TEXT(AT615,"00"),RIGHT(AU615,2))</f>
        <v>300100</v>
      </c>
    </row>
    <row r="616" spans="1:48" hidden="1" x14ac:dyDescent="0.25">
      <c r="A616" s="31"/>
      <c r="B616" s="31"/>
      <c r="C616" s="3"/>
      <c r="D616" s="3"/>
      <c r="E616" s="2"/>
      <c r="F616" s="3"/>
      <c r="G616" s="3"/>
      <c r="H616" s="16"/>
      <c r="I616" s="16"/>
      <c r="J616" s="3"/>
      <c r="K616" s="17"/>
      <c r="L616" s="16"/>
      <c r="M616" s="3"/>
      <c r="N616" s="3"/>
      <c r="O616" s="2"/>
      <c r="P616" s="3" t="s">
        <v>54</v>
      </c>
      <c r="Q616" s="3"/>
      <c r="R616" s="3"/>
      <c r="S616" s="16"/>
      <c r="T616" s="3"/>
      <c r="U616" s="3"/>
      <c r="V616" s="3"/>
      <c r="W616" s="16"/>
      <c r="X616" s="16"/>
      <c r="Y616" s="3"/>
      <c r="Z616" s="18"/>
      <c r="AA616" s="3"/>
      <c r="AB616" s="16"/>
      <c r="AC616" s="16"/>
      <c r="AD616" s="16"/>
      <c r="AE616" s="9"/>
      <c r="AF616" s="16"/>
      <c r="AG616" s="16"/>
      <c r="AH616" s="16"/>
      <c r="AI616" s="16"/>
      <c r="AJ616" s="16"/>
      <c r="AK616" s="16"/>
      <c r="AL616" s="16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 spans="1:48" hidden="1" x14ac:dyDescent="0.25">
      <c r="A617" s="31"/>
      <c r="B617" s="31"/>
      <c r="C617" s="3"/>
      <c r="D617" s="3"/>
      <c r="E617" s="2"/>
      <c r="F617" s="3"/>
      <c r="G617" s="3"/>
      <c r="H617" s="16"/>
      <c r="I617" s="16"/>
      <c r="J617" s="3"/>
      <c r="K617" s="17"/>
      <c r="L617" s="16"/>
      <c r="M617" s="3"/>
      <c r="N617" s="3"/>
      <c r="O617" s="2"/>
      <c r="P617" s="3" t="s">
        <v>54</v>
      </c>
      <c r="Q617" s="3"/>
      <c r="R617" s="3"/>
      <c r="S617" s="16"/>
      <c r="T617" s="3"/>
      <c r="U617" s="3"/>
      <c r="V617" s="3"/>
      <c r="W617" s="16"/>
      <c r="X617" s="16"/>
      <c r="Y617" s="3"/>
      <c r="Z617" s="18"/>
      <c r="AA617" s="3"/>
      <c r="AB617" s="16"/>
      <c r="AC617" s="16"/>
      <c r="AD617" s="16"/>
      <c r="AE617" s="9"/>
      <c r="AF617" s="16"/>
      <c r="AG617" s="16"/>
      <c r="AH617" s="16"/>
      <c r="AI617" s="16"/>
      <c r="AJ617" s="16"/>
      <c r="AK617" s="16"/>
      <c r="AL617" s="16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 spans="1:48" hidden="1" x14ac:dyDescent="0.25">
      <c r="A618" s="31"/>
      <c r="B618" s="31"/>
      <c r="C618" s="3"/>
      <c r="D618" s="3"/>
      <c r="E618" s="2"/>
      <c r="F618" s="3"/>
      <c r="G618" s="3"/>
      <c r="H618" s="16"/>
      <c r="I618" s="16"/>
      <c r="J618" s="3"/>
      <c r="K618" s="17"/>
      <c r="L618" s="16"/>
      <c r="M618" s="3"/>
      <c r="N618" s="3"/>
      <c r="O618" s="2"/>
      <c r="P618" s="3" t="s">
        <v>54</v>
      </c>
      <c r="Q618" s="3"/>
      <c r="R618" s="3"/>
      <c r="S618" s="16"/>
      <c r="T618" s="3"/>
      <c r="U618" s="3"/>
      <c r="V618" s="3"/>
      <c r="W618" s="16"/>
      <c r="X618" s="16"/>
      <c r="Y618" s="3"/>
      <c r="Z618" s="18"/>
      <c r="AA618" s="3"/>
      <c r="AB618" s="16"/>
      <c r="AC618" s="16"/>
      <c r="AD618" s="16"/>
      <c r="AE618" s="9"/>
      <c r="AF618" s="16"/>
      <c r="AG618" s="16"/>
      <c r="AH618" s="16"/>
      <c r="AI618" s="16"/>
      <c r="AJ618" s="16"/>
      <c r="AK618" s="16"/>
      <c r="AL618" s="16"/>
      <c r="AM618" s="3"/>
      <c r="AN618" s="3"/>
      <c r="AO618" s="3"/>
      <c r="AP618" s="3"/>
      <c r="AQ618" s="3"/>
      <c r="AR618" s="3"/>
      <c r="AS618" s="3"/>
      <c r="AT618" s="3"/>
      <c r="AU618" s="3"/>
      <c r="AV618" s="3"/>
    </row>
    <row r="619" spans="1:48" x14ac:dyDescent="0.25">
      <c r="A619" s="15">
        <f t="shared" ref="A619" si="2700">1+A615</f>
        <v>155</v>
      </c>
      <c r="B619" s="15"/>
      <c r="C619" s="2"/>
      <c r="D619" s="2"/>
      <c r="E619" s="24" t="str">
        <f t="shared" ref="E619" si="2701">+AQ619</f>
        <v/>
      </c>
      <c r="F619" s="30"/>
      <c r="G619" s="24" t="str">
        <f t="shared" ref="G619" si="2702">+AV619</f>
        <v>300100</v>
      </c>
      <c r="H619" s="16">
        <f t="shared" ref="H619" si="2703">+AK619</f>
        <v>0</v>
      </c>
      <c r="I619" s="16">
        <f t="shared" ref="I619" si="2704">+ROUND(AD619,2)</f>
        <v>0</v>
      </c>
      <c r="J619" s="2"/>
      <c r="K619" s="17">
        <f t="shared" ref="K619" si="2705">+AE619</f>
        <v>0</v>
      </c>
      <c r="L619" s="16">
        <f t="shared" ref="L619" si="2706">+AJ619</f>
        <v>0</v>
      </c>
      <c r="M619" s="32" t="s">
        <v>5</v>
      </c>
      <c r="N619" s="30"/>
      <c r="O619" s="2"/>
      <c r="P619" s="30"/>
      <c r="Q619" s="32" t="s">
        <v>0</v>
      </c>
      <c r="R619" s="24"/>
      <c r="S619" s="24" t="str">
        <f t="shared" ref="S619" si="2707">+RIGHT(O619,7)</f>
        <v/>
      </c>
      <c r="T619" s="2"/>
      <c r="U619" s="3" t="s">
        <v>1</v>
      </c>
      <c r="V619" s="3" t="s">
        <v>3</v>
      </c>
      <c r="W619" s="16">
        <f t="shared" ref="W619" si="2708">+AI619</f>
        <v>0</v>
      </c>
      <c r="X619" s="16">
        <f t="shared" ref="X619" si="2709">+AJ619</f>
        <v>0</v>
      </c>
      <c r="Y619" s="3" t="s">
        <v>4</v>
      </c>
      <c r="Z619" s="18">
        <f t="shared" ref="Z619" si="2710">+F619</f>
        <v>0</v>
      </c>
      <c r="AA619" s="61"/>
      <c r="AB619" s="65"/>
      <c r="AC619" s="16">
        <f>+AB619*0.18</f>
        <v>0</v>
      </c>
      <c r="AD619" s="16">
        <f>+AB619+AC619</f>
        <v>0</v>
      </c>
      <c r="AE619" s="68"/>
      <c r="AF619" s="16">
        <f t="shared" ref="AF619" si="2711">+AB619*AE619</f>
        <v>0</v>
      </c>
      <c r="AG619" s="16">
        <f t="shared" ref="AG619" si="2712">+AC619*AE619</f>
        <v>0</v>
      </c>
      <c r="AH619" s="16">
        <f t="shared" ref="AH619" si="2713">+AD619*AE619</f>
        <v>0</v>
      </c>
      <c r="AI619" s="16">
        <f t="shared" ref="AI619" si="2714">+ROUND(AF619,2)</f>
        <v>0</v>
      </c>
      <c r="AJ619" s="16">
        <f t="shared" ref="AJ619" si="2715">+ROUND(AG619,2)</f>
        <v>0</v>
      </c>
      <c r="AK619" s="16">
        <f t="shared" ref="AK619" si="2716">+AI619+AJ619</f>
        <v>0</v>
      </c>
      <c r="AL619" s="16">
        <f t="shared" ref="AL619" si="2717">+AI619+AJ619-AK619</f>
        <v>0</v>
      </c>
      <c r="AM619" s="44"/>
      <c r="AN619" s="41" t="str">
        <f t="shared" ref="AN619" si="2718">+LEFT(AM619,2)</f>
        <v/>
      </c>
      <c r="AO619" s="41" t="str">
        <f t="shared" ref="AO619" si="2719">+MID(AM619,4,2)</f>
        <v/>
      </c>
      <c r="AP619" s="41" t="str">
        <f t="shared" ref="AP619" si="2720">+RIGHT(AM619,2)</f>
        <v/>
      </c>
      <c r="AQ619" s="41" t="str">
        <f t="shared" ref="AQ619" si="2721">+CONCATENATE(AN619,AO619,AP619)</f>
        <v/>
      </c>
      <c r="AR619" s="45">
        <f t="shared" ref="AR619" si="2722">+AM619+30</f>
        <v>30</v>
      </c>
      <c r="AS619" s="46">
        <f t="shared" ref="AS619" si="2723">+DAY(AR619)</f>
        <v>30</v>
      </c>
      <c r="AT619" s="41">
        <f t="shared" ref="AT619" si="2724">+MONTH(AR619)</f>
        <v>1</v>
      </c>
      <c r="AU619" s="41">
        <f t="shared" ref="AU619" si="2725">+YEAR(AR619)</f>
        <v>1900</v>
      </c>
      <c r="AV619" s="41" t="str">
        <f t="shared" ref="AV619" si="2726">+CONCATENATE(TEXT(AS619,"00"),TEXT(AT619,"00"),RIGHT(AU619,2))</f>
        <v>300100</v>
      </c>
    </row>
    <row r="620" spans="1:48" hidden="1" x14ac:dyDescent="0.25">
      <c r="A620" s="31"/>
      <c r="B620" s="31"/>
      <c r="C620" s="3"/>
      <c r="D620" s="3"/>
      <c r="E620" s="2"/>
      <c r="F620" s="3"/>
      <c r="G620" s="3"/>
      <c r="H620" s="16"/>
      <c r="I620" s="16"/>
      <c r="J620" s="3"/>
      <c r="K620" s="17"/>
      <c r="L620" s="16"/>
      <c r="M620" s="3"/>
      <c r="N620" s="3"/>
      <c r="O620" s="2"/>
      <c r="P620" s="3" t="s">
        <v>54</v>
      </c>
      <c r="Q620" s="3"/>
      <c r="R620" s="3"/>
      <c r="S620" s="16"/>
      <c r="T620" s="3"/>
      <c r="U620" s="3"/>
      <c r="V620" s="3"/>
      <c r="W620" s="16"/>
      <c r="X620" s="16"/>
      <c r="Y620" s="3"/>
      <c r="Z620" s="18"/>
      <c r="AA620" s="3"/>
      <c r="AB620" s="16"/>
      <c r="AC620" s="16"/>
      <c r="AD620" s="16"/>
      <c r="AE620" s="9"/>
      <c r="AF620" s="16"/>
      <c r="AG620" s="16"/>
      <c r="AH620" s="16"/>
      <c r="AI620" s="16"/>
      <c r="AJ620" s="16"/>
      <c r="AK620" s="16"/>
      <c r="AL620" s="16"/>
      <c r="AM620" s="3"/>
      <c r="AN620" s="3"/>
      <c r="AO620" s="3"/>
      <c r="AP620" s="3"/>
      <c r="AQ620" s="3"/>
      <c r="AR620" s="3"/>
      <c r="AS620" s="3"/>
      <c r="AT620" s="3"/>
      <c r="AU620" s="3"/>
      <c r="AV620" s="3"/>
    </row>
    <row r="621" spans="1:48" hidden="1" x14ac:dyDescent="0.25">
      <c r="A621" s="31"/>
      <c r="B621" s="31"/>
      <c r="C621" s="3"/>
      <c r="D621" s="3"/>
      <c r="E621" s="2"/>
      <c r="F621" s="3"/>
      <c r="G621" s="3"/>
      <c r="H621" s="16"/>
      <c r="I621" s="16"/>
      <c r="J621" s="3"/>
      <c r="K621" s="17"/>
      <c r="L621" s="16"/>
      <c r="M621" s="3"/>
      <c r="N621" s="3"/>
      <c r="O621" s="2"/>
      <c r="P621" s="3" t="s">
        <v>54</v>
      </c>
      <c r="Q621" s="3"/>
      <c r="R621" s="3"/>
      <c r="S621" s="16"/>
      <c r="T621" s="3"/>
      <c r="U621" s="3"/>
      <c r="V621" s="3"/>
      <c r="W621" s="16"/>
      <c r="X621" s="16"/>
      <c r="Y621" s="3"/>
      <c r="Z621" s="18"/>
      <c r="AA621" s="3"/>
      <c r="AB621" s="16"/>
      <c r="AC621" s="16"/>
      <c r="AD621" s="16"/>
      <c r="AE621" s="9"/>
      <c r="AF621" s="16"/>
      <c r="AG621" s="16"/>
      <c r="AH621" s="16"/>
      <c r="AI621" s="16"/>
      <c r="AJ621" s="16"/>
      <c r="AK621" s="16"/>
      <c r="AL621" s="16"/>
      <c r="AM621" s="3"/>
      <c r="AN621" s="3"/>
      <c r="AO621" s="3"/>
      <c r="AP621" s="3"/>
      <c r="AQ621" s="3"/>
      <c r="AR621" s="3"/>
      <c r="AS621" s="3"/>
      <c r="AT621" s="3"/>
      <c r="AU621" s="3"/>
      <c r="AV621" s="3"/>
    </row>
    <row r="622" spans="1:48" hidden="1" x14ac:dyDescent="0.25">
      <c r="A622" s="31"/>
      <c r="B622" s="31"/>
      <c r="C622" s="3"/>
      <c r="D622" s="3"/>
      <c r="E622" s="2"/>
      <c r="F622" s="3"/>
      <c r="G622" s="3"/>
      <c r="H622" s="16"/>
      <c r="I622" s="16"/>
      <c r="J622" s="3"/>
      <c r="K622" s="17"/>
      <c r="L622" s="16"/>
      <c r="M622" s="3"/>
      <c r="N622" s="3"/>
      <c r="O622" s="2"/>
      <c r="P622" s="3" t="s">
        <v>54</v>
      </c>
      <c r="Q622" s="3"/>
      <c r="R622" s="3"/>
      <c r="S622" s="16"/>
      <c r="T622" s="3"/>
      <c r="U622" s="3"/>
      <c r="V622" s="3"/>
      <c r="W622" s="16"/>
      <c r="X622" s="16"/>
      <c r="Y622" s="3"/>
      <c r="Z622" s="18"/>
      <c r="AA622" s="3"/>
      <c r="AB622" s="16"/>
      <c r="AC622" s="16"/>
      <c r="AD622" s="16"/>
      <c r="AE622" s="9"/>
      <c r="AF622" s="16"/>
      <c r="AG622" s="16"/>
      <c r="AH622" s="16"/>
      <c r="AI622" s="16"/>
      <c r="AJ622" s="16"/>
      <c r="AK622" s="16"/>
      <c r="AL622" s="16"/>
      <c r="AM622" s="3"/>
      <c r="AN622" s="3"/>
      <c r="AO622" s="3"/>
      <c r="AP622" s="3"/>
      <c r="AQ622" s="3"/>
      <c r="AR622" s="3"/>
      <c r="AS622" s="3"/>
      <c r="AT622" s="3"/>
      <c r="AU622" s="3"/>
      <c r="AV622" s="3"/>
    </row>
    <row r="623" spans="1:48" x14ac:dyDescent="0.25">
      <c r="A623" s="15">
        <f t="shared" ref="A623" si="2727">1+A619</f>
        <v>156</v>
      </c>
      <c r="B623" s="15"/>
      <c r="C623" s="2"/>
      <c r="D623" s="2"/>
      <c r="E623" s="24" t="str">
        <f t="shared" ref="E623" si="2728">+AQ623</f>
        <v/>
      </c>
      <c r="F623" s="30"/>
      <c r="G623" s="24" t="str">
        <f t="shared" ref="G623" si="2729">+AV623</f>
        <v>300100</v>
      </c>
      <c r="H623" s="16">
        <f t="shared" ref="H623" si="2730">+AK623</f>
        <v>0</v>
      </c>
      <c r="I623" s="16">
        <f t="shared" ref="I623" si="2731">+ROUND(AD623,2)</f>
        <v>0</v>
      </c>
      <c r="J623" s="2"/>
      <c r="K623" s="17">
        <f t="shared" ref="K623" si="2732">+AE623</f>
        <v>0</v>
      </c>
      <c r="L623" s="16">
        <f t="shared" ref="L623" si="2733">+AJ623</f>
        <v>0</v>
      </c>
      <c r="M623" s="32" t="s">
        <v>5</v>
      </c>
      <c r="N623" s="30"/>
      <c r="O623" s="2"/>
      <c r="P623" s="30"/>
      <c r="Q623" s="32" t="s">
        <v>0</v>
      </c>
      <c r="R623" s="24"/>
      <c r="S623" s="24" t="str">
        <f t="shared" ref="S623" si="2734">+RIGHT(O623,7)</f>
        <v/>
      </c>
      <c r="T623" s="2"/>
      <c r="U623" s="3" t="s">
        <v>1</v>
      </c>
      <c r="V623" s="3" t="s">
        <v>3</v>
      </c>
      <c r="W623" s="16">
        <f t="shared" ref="W623" si="2735">+AI623</f>
        <v>0</v>
      </c>
      <c r="X623" s="16">
        <f t="shared" ref="X623" si="2736">+AJ623</f>
        <v>0</v>
      </c>
      <c r="Y623" s="3" t="s">
        <v>4</v>
      </c>
      <c r="Z623" s="18">
        <f t="shared" ref="Z623" si="2737">+F623</f>
        <v>0</v>
      </c>
      <c r="AA623" s="61"/>
      <c r="AB623" s="65"/>
      <c r="AC623" s="16">
        <f>+AB623*0.18</f>
        <v>0</v>
      </c>
      <c r="AD623" s="16">
        <f>+AB623+AC623</f>
        <v>0</v>
      </c>
      <c r="AE623" s="68"/>
      <c r="AF623" s="16">
        <f t="shared" ref="AF623" si="2738">+AB623*AE623</f>
        <v>0</v>
      </c>
      <c r="AG623" s="16">
        <f t="shared" ref="AG623" si="2739">+AC623*AE623</f>
        <v>0</v>
      </c>
      <c r="AH623" s="16">
        <f t="shared" ref="AH623" si="2740">+AD623*AE623</f>
        <v>0</v>
      </c>
      <c r="AI623" s="16">
        <f t="shared" ref="AI623" si="2741">+ROUND(AF623,2)</f>
        <v>0</v>
      </c>
      <c r="AJ623" s="16">
        <f t="shared" ref="AJ623" si="2742">+ROUND(AG623,2)</f>
        <v>0</v>
      </c>
      <c r="AK623" s="16">
        <f t="shared" ref="AK623" si="2743">+AI623+AJ623</f>
        <v>0</v>
      </c>
      <c r="AL623" s="16">
        <f t="shared" ref="AL623" si="2744">+AI623+AJ623-AK623</f>
        <v>0</v>
      </c>
      <c r="AM623" s="44"/>
      <c r="AN623" s="41" t="str">
        <f t="shared" ref="AN623" si="2745">+LEFT(AM623,2)</f>
        <v/>
      </c>
      <c r="AO623" s="41" t="str">
        <f t="shared" ref="AO623" si="2746">+MID(AM623,4,2)</f>
        <v/>
      </c>
      <c r="AP623" s="41" t="str">
        <f t="shared" ref="AP623" si="2747">+RIGHT(AM623,2)</f>
        <v/>
      </c>
      <c r="AQ623" s="41" t="str">
        <f t="shared" ref="AQ623" si="2748">+CONCATENATE(AN623,AO623,AP623)</f>
        <v/>
      </c>
      <c r="AR623" s="45">
        <f t="shared" ref="AR623" si="2749">+AM623+30</f>
        <v>30</v>
      </c>
      <c r="AS623" s="46">
        <f t="shared" ref="AS623" si="2750">+DAY(AR623)</f>
        <v>30</v>
      </c>
      <c r="AT623" s="41">
        <f t="shared" ref="AT623" si="2751">+MONTH(AR623)</f>
        <v>1</v>
      </c>
      <c r="AU623" s="41">
        <f t="shared" ref="AU623" si="2752">+YEAR(AR623)</f>
        <v>1900</v>
      </c>
      <c r="AV623" s="41" t="str">
        <f t="shared" ref="AV623" si="2753">+CONCATENATE(TEXT(AS623,"00"),TEXT(AT623,"00"),RIGHT(AU623,2))</f>
        <v>300100</v>
      </c>
    </row>
    <row r="624" spans="1:48" hidden="1" x14ac:dyDescent="0.25">
      <c r="A624" s="31"/>
      <c r="B624" s="31"/>
      <c r="C624" s="3"/>
      <c r="D624" s="3"/>
      <c r="E624" s="2"/>
      <c r="F624" s="3"/>
      <c r="G624" s="3"/>
      <c r="H624" s="16"/>
      <c r="I624" s="16"/>
      <c r="J624" s="3"/>
      <c r="K624" s="17"/>
      <c r="L624" s="16"/>
      <c r="M624" s="3"/>
      <c r="N624" s="3"/>
      <c r="O624" s="2"/>
      <c r="P624" s="3" t="s">
        <v>54</v>
      </c>
      <c r="Q624" s="3"/>
      <c r="R624" s="3"/>
      <c r="S624" s="16"/>
      <c r="T624" s="3"/>
      <c r="U624" s="3"/>
      <c r="V624" s="3"/>
      <c r="W624" s="16"/>
      <c r="X624" s="16"/>
      <c r="Y624" s="3"/>
      <c r="Z624" s="18"/>
      <c r="AA624" s="3"/>
      <c r="AB624" s="16"/>
      <c r="AC624" s="16"/>
      <c r="AD624" s="16"/>
      <c r="AE624" s="9"/>
      <c r="AF624" s="16"/>
      <c r="AG624" s="16"/>
      <c r="AH624" s="16"/>
      <c r="AI624" s="16"/>
      <c r="AJ624" s="16"/>
      <c r="AK624" s="16"/>
      <c r="AL624" s="16"/>
      <c r="AM624" s="3"/>
      <c r="AN624" s="3"/>
      <c r="AO624" s="3"/>
      <c r="AP624" s="3"/>
      <c r="AQ624" s="3"/>
      <c r="AR624" s="3"/>
      <c r="AS624" s="3"/>
      <c r="AT624" s="3"/>
      <c r="AU624" s="3"/>
      <c r="AV624" s="3"/>
    </row>
    <row r="625" spans="1:48" hidden="1" x14ac:dyDescent="0.25">
      <c r="A625" s="31"/>
      <c r="B625" s="31"/>
      <c r="C625" s="3"/>
      <c r="D625" s="3"/>
      <c r="E625" s="2"/>
      <c r="F625" s="3"/>
      <c r="G625" s="3"/>
      <c r="H625" s="16"/>
      <c r="I625" s="16"/>
      <c r="J625" s="3"/>
      <c r="K625" s="17"/>
      <c r="L625" s="16"/>
      <c r="M625" s="3"/>
      <c r="N625" s="3"/>
      <c r="O625" s="2"/>
      <c r="P625" s="3" t="s">
        <v>54</v>
      </c>
      <c r="Q625" s="3"/>
      <c r="R625" s="3"/>
      <c r="S625" s="16"/>
      <c r="T625" s="3"/>
      <c r="U625" s="3"/>
      <c r="V625" s="3"/>
      <c r="W625" s="16"/>
      <c r="X625" s="16"/>
      <c r="Y625" s="3"/>
      <c r="Z625" s="18"/>
      <c r="AA625" s="3"/>
      <c r="AB625" s="16"/>
      <c r="AC625" s="16"/>
      <c r="AD625" s="16"/>
      <c r="AE625" s="9"/>
      <c r="AF625" s="16"/>
      <c r="AG625" s="16"/>
      <c r="AH625" s="16"/>
      <c r="AI625" s="16"/>
      <c r="AJ625" s="16"/>
      <c r="AK625" s="16"/>
      <c r="AL625" s="16"/>
      <c r="AM625" s="3"/>
      <c r="AN625" s="3"/>
      <c r="AO625" s="3"/>
      <c r="AP625" s="3"/>
      <c r="AQ625" s="3"/>
      <c r="AR625" s="3"/>
      <c r="AS625" s="3"/>
      <c r="AT625" s="3"/>
      <c r="AU625" s="3"/>
      <c r="AV625" s="3"/>
    </row>
    <row r="626" spans="1:48" hidden="1" x14ac:dyDescent="0.25">
      <c r="A626" s="31"/>
      <c r="B626" s="31"/>
      <c r="C626" s="3"/>
      <c r="D626" s="3"/>
      <c r="E626" s="2"/>
      <c r="F626" s="3"/>
      <c r="G626" s="3"/>
      <c r="H626" s="16"/>
      <c r="I626" s="16"/>
      <c r="J626" s="3"/>
      <c r="K626" s="17"/>
      <c r="L626" s="16"/>
      <c r="M626" s="3"/>
      <c r="N626" s="3"/>
      <c r="O626" s="2"/>
      <c r="P626" s="3" t="s">
        <v>54</v>
      </c>
      <c r="Q626" s="3"/>
      <c r="R626" s="3"/>
      <c r="S626" s="16"/>
      <c r="T626" s="3"/>
      <c r="U626" s="3"/>
      <c r="V626" s="3"/>
      <c r="W626" s="16"/>
      <c r="X626" s="16"/>
      <c r="Y626" s="3"/>
      <c r="Z626" s="18"/>
      <c r="AA626" s="3"/>
      <c r="AB626" s="16"/>
      <c r="AC626" s="16"/>
      <c r="AD626" s="16"/>
      <c r="AE626" s="9"/>
      <c r="AF626" s="16"/>
      <c r="AG626" s="16"/>
      <c r="AH626" s="16"/>
      <c r="AI626" s="16"/>
      <c r="AJ626" s="16"/>
      <c r="AK626" s="16"/>
      <c r="AL626" s="16"/>
      <c r="AM626" s="3"/>
      <c r="AN626" s="3"/>
      <c r="AO626" s="3"/>
      <c r="AP626" s="3"/>
      <c r="AQ626" s="3"/>
      <c r="AR626" s="3"/>
      <c r="AS626" s="3"/>
      <c r="AT626" s="3"/>
      <c r="AU626" s="3"/>
      <c r="AV626" s="3"/>
    </row>
    <row r="627" spans="1:48" hidden="1" x14ac:dyDescent="0.25">
      <c r="A627" s="31"/>
      <c r="B627" s="31"/>
      <c r="C627" s="3"/>
      <c r="D627" s="3"/>
      <c r="E627" s="2"/>
      <c r="F627" s="3"/>
      <c r="G627" s="3"/>
      <c r="H627" s="16"/>
      <c r="I627" s="16"/>
      <c r="J627" s="3"/>
      <c r="K627" s="17"/>
      <c r="L627" s="16"/>
      <c r="M627" s="3"/>
      <c r="N627" s="3"/>
      <c r="O627" s="2"/>
      <c r="P627" s="3" t="s">
        <v>54</v>
      </c>
      <c r="Q627" s="3"/>
      <c r="R627" s="3"/>
      <c r="S627" s="16"/>
      <c r="T627" s="3"/>
      <c r="U627" s="3"/>
      <c r="V627" s="3"/>
      <c r="W627" s="16"/>
      <c r="X627" s="16"/>
      <c r="Y627" s="3"/>
      <c r="Z627" s="18"/>
      <c r="AA627" s="3"/>
      <c r="AB627" s="16"/>
      <c r="AC627" s="16"/>
      <c r="AD627" s="16"/>
      <c r="AE627" s="9"/>
      <c r="AF627" s="16"/>
      <c r="AG627" s="16"/>
      <c r="AH627" s="16"/>
      <c r="AI627" s="16"/>
      <c r="AJ627" s="16"/>
      <c r="AK627" s="16"/>
      <c r="AL627" s="16"/>
      <c r="AM627" s="3"/>
      <c r="AN627" s="3"/>
      <c r="AO627" s="3"/>
      <c r="AP627" s="3"/>
      <c r="AQ627" s="3"/>
      <c r="AR627" s="3"/>
      <c r="AS627" s="3"/>
      <c r="AT627" s="3"/>
      <c r="AU627" s="3"/>
      <c r="AV627" s="3"/>
    </row>
    <row r="628" spans="1:48" hidden="1" x14ac:dyDescent="0.25">
      <c r="A628" s="31"/>
      <c r="B628" s="31"/>
      <c r="C628" s="3"/>
      <c r="D628" s="3"/>
      <c r="E628" s="2"/>
      <c r="F628" s="3"/>
      <c r="G628" s="3"/>
      <c r="H628" s="16"/>
      <c r="I628" s="16"/>
      <c r="J628" s="3"/>
      <c r="K628" s="17"/>
      <c r="L628" s="16"/>
      <c r="M628" s="3"/>
      <c r="N628" s="3"/>
      <c r="O628" s="2"/>
      <c r="P628" s="3" t="s">
        <v>54</v>
      </c>
      <c r="Q628" s="3"/>
      <c r="R628" s="3"/>
      <c r="S628" s="16"/>
      <c r="T628" s="3"/>
      <c r="U628" s="3"/>
      <c r="V628" s="3"/>
      <c r="W628" s="16"/>
      <c r="X628" s="16"/>
      <c r="Y628" s="3"/>
      <c r="Z628" s="18"/>
      <c r="AA628" s="3"/>
      <c r="AB628" s="16"/>
      <c r="AC628" s="16"/>
      <c r="AD628" s="16"/>
      <c r="AE628" s="9"/>
      <c r="AF628" s="16"/>
      <c r="AG628" s="16"/>
      <c r="AH628" s="16"/>
      <c r="AI628" s="16"/>
      <c r="AJ628" s="16"/>
      <c r="AK628" s="16"/>
      <c r="AL628" s="16"/>
      <c r="AM628" s="3"/>
      <c r="AN628" s="3"/>
      <c r="AO628" s="3"/>
      <c r="AP628" s="3"/>
      <c r="AQ628" s="3"/>
      <c r="AR628" s="3"/>
      <c r="AS628" s="3"/>
      <c r="AT628" s="3"/>
      <c r="AU628" s="3"/>
      <c r="AV628" s="3"/>
    </row>
    <row r="629" spans="1:48" hidden="1" x14ac:dyDescent="0.25">
      <c r="A629" s="31"/>
      <c r="B629" s="31"/>
      <c r="C629" s="3"/>
      <c r="D629" s="3"/>
      <c r="E629" s="2"/>
      <c r="F629" s="3"/>
      <c r="G629" s="3"/>
      <c r="H629" s="16"/>
      <c r="I629" s="16"/>
      <c r="J629" s="3"/>
      <c r="K629" s="17"/>
      <c r="L629" s="16"/>
      <c r="M629" s="3"/>
      <c r="N629" s="3"/>
      <c r="O629" s="2"/>
      <c r="P629" s="3" t="s">
        <v>54</v>
      </c>
      <c r="Q629" s="3"/>
      <c r="R629" s="3"/>
      <c r="S629" s="16"/>
      <c r="T629" s="3"/>
      <c r="U629" s="3"/>
      <c r="V629" s="3"/>
      <c r="W629" s="16"/>
      <c r="X629" s="16"/>
      <c r="Y629" s="3"/>
      <c r="Z629" s="18"/>
      <c r="AA629" s="3"/>
      <c r="AB629" s="16"/>
      <c r="AC629" s="16"/>
      <c r="AD629" s="16"/>
      <c r="AE629" s="9"/>
      <c r="AF629" s="16"/>
      <c r="AG629" s="16"/>
      <c r="AH629" s="16"/>
      <c r="AI629" s="16"/>
      <c r="AJ629" s="16"/>
      <c r="AK629" s="16"/>
      <c r="AL629" s="16"/>
      <c r="AM629" s="3"/>
      <c r="AN629" s="3"/>
      <c r="AO629" s="3"/>
      <c r="AP629" s="3"/>
      <c r="AQ629" s="3"/>
      <c r="AR629" s="3"/>
      <c r="AS629" s="3"/>
      <c r="AT629" s="3"/>
      <c r="AU629" s="3"/>
      <c r="AV629" s="3"/>
    </row>
    <row r="630" spans="1:48" hidden="1" x14ac:dyDescent="0.25">
      <c r="A630" s="31"/>
      <c r="B630" s="31"/>
      <c r="C630" s="3"/>
      <c r="D630" s="3"/>
      <c r="E630" s="2"/>
      <c r="F630" s="3"/>
      <c r="G630" s="3"/>
      <c r="H630" s="16"/>
      <c r="I630" s="16"/>
      <c r="J630" s="3"/>
      <c r="K630" s="17"/>
      <c r="L630" s="16"/>
      <c r="M630" s="3"/>
      <c r="N630" s="3"/>
      <c r="O630" s="2"/>
      <c r="P630" s="3" t="s">
        <v>54</v>
      </c>
      <c r="Q630" s="3"/>
      <c r="R630" s="3"/>
      <c r="S630" s="16"/>
      <c r="T630" s="3"/>
      <c r="U630" s="3"/>
      <c r="V630" s="3"/>
      <c r="W630" s="16"/>
      <c r="X630" s="16"/>
      <c r="Y630" s="3"/>
      <c r="Z630" s="18"/>
      <c r="AA630" s="3"/>
      <c r="AB630" s="16"/>
      <c r="AC630" s="16"/>
      <c r="AD630" s="16"/>
      <c r="AE630" s="9"/>
      <c r="AF630" s="16"/>
      <c r="AG630" s="16"/>
      <c r="AH630" s="16"/>
      <c r="AI630" s="16"/>
      <c r="AJ630" s="16"/>
      <c r="AK630" s="16"/>
      <c r="AL630" s="16"/>
      <c r="AM630" s="3"/>
      <c r="AN630" s="3"/>
      <c r="AO630" s="3"/>
      <c r="AP630" s="3"/>
      <c r="AQ630" s="3"/>
      <c r="AR630" s="3"/>
      <c r="AS630" s="3"/>
      <c r="AT630" s="3"/>
      <c r="AU630" s="3"/>
      <c r="AV630" s="3"/>
    </row>
    <row r="631" spans="1:48" hidden="1" x14ac:dyDescent="0.25">
      <c r="A631" s="31"/>
      <c r="B631" s="31"/>
      <c r="C631" s="3"/>
      <c r="D631" s="3"/>
      <c r="E631" s="2"/>
      <c r="F631" s="3"/>
      <c r="G631" s="3"/>
      <c r="H631" s="16"/>
      <c r="I631" s="16"/>
      <c r="J631" s="3"/>
      <c r="K631" s="17"/>
      <c r="L631" s="16"/>
      <c r="M631" s="3"/>
      <c r="N631" s="3"/>
      <c r="O631" s="2"/>
      <c r="P631" s="3" t="s">
        <v>54</v>
      </c>
      <c r="Q631" s="3"/>
      <c r="R631" s="3"/>
      <c r="S631" s="16"/>
      <c r="T631" s="3"/>
      <c r="U631" s="3"/>
      <c r="V631" s="3"/>
      <c r="W631" s="16"/>
      <c r="X631" s="16"/>
      <c r="Y631" s="3"/>
      <c r="Z631" s="18"/>
      <c r="AA631" s="3"/>
      <c r="AB631" s="16"/>
      <c r="AC631" s="16"/>
      <c r="AD631" s="16"/>
      <c r="AE631" s="9"/>
      <c r="AF631" s="16"/>
      <c r="AG631" s="16"/>
      <c r="AH631" s="16"/>
      <c r="AI631" s="16"/>
      <c r="AJ631" s="16"/>
      <c r="AK631" s="16"/>
      <c r="AL631" s="16"/>
      <c r="AM631" s="3"/>
      <c r="AN631" s="3"/>
      <c r="AO631" s="3"/>
      <c r="AP631" s="3"/>
      <c r="AQ631" s="3"/>
      <c r="AR631" s="3"/>
      <c r="AS631" s="3"/>
      <c r="AT631" s="3"/>
      <c r="AU631" s="3"/>
      <c r="AV631" s="3"/>
    </row>
    <row r="632" spans="1:48" hidden="1" x14ac:dyDescent="0.25">
      <c r="A632" s="31"/>
      <c r="B632" s="31"/>
      <c r="C632" s="3"/>
      <c r="D632" s="3"/>
      <c r="E632" s="2"/>
      <c r="F632" s="3"/>
      <c r="G632" s="3"/>
      <c r="H632" s="16"/>
      <c r="I632" s="16"/>
      <c r="J632" s="3"/>
      <c r="K632" s="17"/>
      <c r="L632" s="16"/>
      <c r="M632" s="3"/>
      <c r="N632" s="3"/>
      <c r="O632" s="2"/>
      <c r="P632" s="3" t="s">
        <v>54</v>
      </c>
      <c r="Q632" s="3"/>
      <c r="R632" s="3"/>
      <c r="S632" s="16"/>
      <c r="T632" s="3"/>
      <c r="U632" s="3"/>
      <c r="V632" s="3"/>
      <c r="W632" s="16"/>
      <c r="X632" s="16"/>
      <c r="Y632" s="3"/>
      <c r="Z632" s="18"/>
      <c r="AA632" s="3"/>
      <c r="AB632" s="16"/>
      <c r="AC632" s="16"/>
      <c r="AD632" s="16"/>
      <c r="AE632" s="9"/>
      <c r="AF632" s="16"/>
      <c r="AG632" s="16"/>
      <c r="AH632" s="16"/>
      <c r="AI632" s="16"/>
      <c r="AJ632" s="16"/>
      <c r="AK632" s="16"/>
      <c r="AL632" s="16"/>
      <c r="AM632" s="3"/>
      <c r="AN632" s="3"/>
      <c r="AO632" s="3"/>
      <c r="AP632" s="3"/>
      <c r="AQ632" s="3"/>
      <c r="AR632" s="3"/>
      <c r="AS632" s="3"/>
      <c r="AT632" s="3"/>
      <c r="AU632" s="3"/>
      <c r="AV632" s="3"/>
    </row>
    <row r="633" spans="1:48" hidden="1" x14ac:dyDescent="0.25">
      <c r="A633" s="31"/>
      <c r="B633" s="31"/>
      <c r="C633" s="3"/>
      <c r="D633" s="3"/>
      <c r="E633" s="2"/>
      <c r="F633" s="3"/>
      <c r="G633" s="3"/>
      <c r="H633" s="16"/>
      <c r="I633" s="16"/>
      <c r="J633" s="3"/>
      <c r="K633" s="17"/>
      <c r="L633" s="16"/>
      <c r="M633" s="3"/>
      <c r="N633" s="3"/>
      <c r="O633" s="2"/>
      <c r="P633" s="3" t="s">
        <v>54</v>
      </c>
      <c r="Q633" s="3"/>
      <c r="R633" s="3"/>
      <c r="S633" s="16"/>
      <c r="T633" s="3"/>
      <c r="U633" s="3"/>
      <c r="V633" s="3"/>
      <c r="W633" s="16"/>
      <c r="X633" s="16"/>
      <c r="Y633" s="3"/>
      <c r="Z633" s="18"/>
      <c r="AA633" s="3"/>
      <c r="AB633" s="16"/>
      <c r="AC633" s="16"/>
      <c r="AD633" s="16"/>
      <c r="AE633" s="9"/>
      <c r="AF633" s="16"/>
      <c r="AG633" s="16"/>
      <c r="AH633" s="16"/>
      <c r="AI633" s="16"/>
      <c r="AJ633" s="16"/>
      <c r="AK633" s="16"/>
      <c r="AL633" s="16"/>
      <c r="AM633" s="3"/>
      <c r="AN633" s="3"/>
      <c r="AO633" s="3"/>
      <c r="AP633" s="3"/>
      <c r="AQ633" s="3"/>
      <c r="AR633" s="3"/>
      <c r="AS633" s="3"/>
      <c r="AT633" s="3"/>
      <c r="AU633" s="3"/>
      <c r="AV633" s="3"/>
    </row>
    <row r="634" spans="1:48" hidden="1" x14ac:dyDescent="0.25">
      <c r="A634" s="31"/>
      <c r="B634" s="31"/>
      <c r="C634" s="3"/>
      <c r="D634" s="3"/>
      <c r="E634" s="2"/>
      <c r="F634" s="3"/>
      <c r="G634" s="3"/>
      <c r="H634" s="16"/>
      <c r="I634" s="16"/>
      <c r="J634" s="3"/>
      <c r="K634" s="17"/>
      <c r="L634" s="16"/>
      <c r="M634" s="3"/>
      <c r="N634" s="3"/>
      <c r="O634" s="2"/>
      <c r="P634" s="3" t="s">
        <v>54</v>
      </c>
      <c r="Q634" s="3"/>
      <c r="R634" s="3"/>
      <c r="S634" s="16"/>
      <c r="T634" s="3"/>
      <c r="U634" s="3"/>
      <c r="V634" s="3"/>
      <c r="W634" s="16"/>
      <c r="X634" s="16"/>
      <c r="Y634" s="3"/>
      <c r="Z634" s="18"/>
      <c r="AA634" s="3"/>
      <c r="AB634" s="16"/>
      <c r="AC634" s="16"/>
      <c r="AD634" s="16"/>
      <c r="AE634" s="9"/>
      <c r="AF634" s="16"/>
      <c r="AG634" s="16"/>
      <c r="AH634" s="16"/>
      <c r="AI634" s="16"/>
      <c r="AJ634" s="16"/>
      <c r="AK634" s="16"/>
      <c r="AL634" s="16"/>
      <c r="AM634" s="3"/>
      <c r="AN634" s="3"/>
      <c r="AO634" s="3"/>
      <c r="AP634" s="3"/>
      <c r="AQ634" s="3"/>
      <c r="AR634" s="3"/>
      <c r="AS634" s="3"/>
      <c r="AT634" s="3"/>
      <c r="AU634" s="3"/>
      <c r="AV634" s="3"/>
    </row>
    <row r="635" spans="1:48" hidden="1" x14ac:dyDescent="0.25">
      <c r="A635" s="31"/>
      <c r="B635" s="31"/>
      <c r="C635" s="3"/>
      <c r="D635" s="3"/>
      <c r="E635" s="2"/>
      <c r="F635" s="3"/>
      <c r="G635" s="3"/>
      <c r="H635" s="16"/>
      <c r="I635" s="16"/>
      <c r="J635" s="3"/>
      <c r="K635" s="17"/>
      <c r="L635" s="16"/>
      <c r="M635" s="3"/>
      <c r="N635" s="3"/>
      <c r="O635" s="2"/>
      <c r="P635" s="3" t="s">
        <v>54</v>
      </c>
      <c r="Q635" s="3"/>
      <c r="R635" s="3"/>
      <c r="S635" s="16"/>
      <c r="T635" s="3"/>
      <c r="U635" s="3"/>
      <c r="V635" s="3"/>
      <c r="W635" s="16"/>
      <c r="X635" s="16"/>
      <c r="Y635" s="3"/>
      <c r="Z635" s="18"/>
      <c r="AA635" s="3"/>
      <c r="AB635" s="16"/>
      <c r="AC635" s="16"/>
      <c r="AD635" s="16"/>
      <c r="AE635" s="9"/>
      <c r="AF635" s="16"/>
      <c r="AG635" s="16"/>
      <c r="AH635" s="16"/>
      <c r="AI635" s="16"/>
      <c r="AJ635" s="16"/>
      <c r="AK635" s="16"/>
      <c r="AL635" s="16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 spans="1:48" hidden="1" x14ac:dyDescent="0.25">
      <c r="A636" s="31"/>
      <c r="B636" s="31"/>
      <c r="C636" s="3"/>
      <c r="D636" s="3"/>
      <c r="E636" s="2"/>
      <c r="F636" s="3"/>
      <c r="G636" s="3"/>
      <c r="H636" s="16"/>
      <c r="I636" s="16"/>
      <c r="J636" s="3"/>
      <c r="K636" s="17"/>
      <c r="L636" s="16"/>
      <c r="M636" s="3"/>
      <c r="N636" s="3"/>
      <c r="O636" s="2"/>
      <c r="P636" s="3" t="s">
        <v>54</v>
      </c>
      <c r="Q636" s="3"/>
      <c r="R636" s="3"/>
      <c r="S636" s="16"/>
      <c r="T636" s="3"/>
      <c r="U636" s="3"/>
      <c r="V636" s="3"/>
      <c r="W636" s="16"/>
      <c r="X636" s="16"/>
      <c r="Y636" s="3"/>
      <c r="Z636" s="18"/>
      <c r="AA636" s="3"/>
      <c r="AB636" s="16"/>
      <c r="AC636" s="16"/>
      <c r="AD636" s="16"/>
      <c r="AE636" s="9"/>
      <c r="AF636" s="16"/>
      <c r="AG636" s="16"/>
      <c r="AH636" s="16"/>
      <c r="AI636" s="16"/>
      <c r="AJ636" s="16"/>
      <c r="AK636" s="16"/>
      <c r="AL636" s="16"/>
      <c r="AM636" s="3"/>
      <c r="AN636" s="3"/>
      <c r="AO636" s="3"/>
      <c r="AP636" s="3"/>
      <c r="AQ636" s="3"/>
      <c r="AR636" s="3"/>
      <c r="AS636" s="3"/>
      <c r="AT636" s="3"/>
      <c r="AU636" s="3"/>
      <c r="AV636" s="3"/>
    </row>
    <row r="637" spans="1:48" hidden="1" x14ac:dyDescent="0.25">
      <c r="A637" s="31"/>
      <c r="B637" s="31"/>
      <c r="C637" s="3"/>
      <c r="D637" s="3"/>
      <c r="E637" s="2"/>
      <c r="F637" s="3"/>
      <c r="G637" s="3"/>
      <c r="H637" s="16"/>
      <c r="I637" s="16"/>
      <c r="J637" s="3"/>
      <c r="K637" s="17"/>
      <c r="L637" s="16"/>
      <c r="M637" s="3"/>
      <c r="N637" s="3"/>
      <c r="O637" s="2"/>
      <c r="P637" s="3" t="s">
        <v>54</v>
      </c>
      <c r="Q637" s="3"/>
      <c r="R637" s="3"/>
      <c r="S637" s="16"/>
      <c r="T637" s="3"/>
      <c r="U637" s="3"/>
      <c r="V637" s="3"/>
      <c r="W637" s="16"/>
      <c r="X637" s="16"/>
      <c r="Y637" s="3"/>
      <c r="Z637" s="18"/>
      <c r="AA637" s="3"/>
      <c r="AB637" s="16"/>
      <c r="AC637" s="16"/>
      <c r="AD637" s="16"/>
      <c r="AE637" s="9"/>
      <c r="AF637" s="16"/>
      <c r="AG637" s="16"/>
      <c r="AH637" s="16"/>
      <c r="AI637" s="16"/>
      <c r="AJ637" s="16"/>
      <c r="AK637" s="16"/>
      <c r="AL637" s="16"/>
      <c r="AM637" s="3"/>
      <c r="AN637" s="3"/>
      <c r="AO637" s="3"/>
      <c r="AP637" s="3"/>
      <c r="AQ637" s="3"/>
      <c r="AR637" s="3"/>
      <c r="AS637" s="3"/>
      <c r="AT637" s="3"/>
      <c r="AU637" s="3"/>
      <c r="AV637" s="3"/>
    </row>
    <row r="638" spans="1:48" hidden="1" x14ac:dyDescent="0.25">
      <c r="A638" s="31"/>
      <c r="B638" s="31"/>
      <c r="C638" s="3"/>
      <c r="D638" s="3"/>
      <c r="E638" s="2"/>
      <c r="F638" s="3"/>
      <c r="G638" s="3"/>
      <c r="H638" s="16"/>
      <c r="I638" s="16"/>
      <c r="J638" s="3"/>
      <c r="K638" s="17"/>
      <c r="L638" s="16"/>
      <c r="M638" s="3"/>
      <c r="N638" s="3"/>
      <c r="O638" s="2"/>
      <c r="P638" s="3" t="s">
        <v>54</v>
      </c>
      <c r="Q638" s="3"/>
      <c r="R638" s="3"/>
      <c r="S638" s="16"/>
      <c r="T638" s="3"/>
      <c r="U638" s="3"/>
      <c r="V638" s="3"/>
      <c r="W638" s="16"/>
      <c r="X638" s="16"/>
      <c r="Y638" s="3"/>
      <c r="Z638" s="18"/>
      <c r="AA638" s="3"/>
      <c r="AB638" s="16"/>
      <c r="AC638" s="16"/>
      <c r="AD638" s="16"/>
      <c r="AE638" s="9"/>
      <c r="AF638" s="16"/>
      <c r="AG638" s="16"/>
      <c r="AH638" s="16"/>
      <c r="AI638" s="16"/>
      <c r="AJ638" s="16"/>
      <c r="AK638" s="16"/>
      <c r="AL638" s="16"/>
      <c r="AM638" s="3"/>
      <c r="AN638" s="3"/>
      <c r="AO638" s="3"/>
      <c r="AP638" s="3"/>
      <c r="AQ638" s="3"/>
      <c r="AR638" s="3"/>
      <c r="AS638" s="3"/>
      <c r="AT638" s="3"/>
      <c r="AU638" s="3"/>
      <c r="AV638" s="3"/>
    </row>
    <row r="639" spans="1:48" hidden="1" x14ac:dyDescent="0.25">
      <c r="A639" s="31"/>
      <c r="B639" s="31"/>
      <c r="C639" s="3"/>
      <c r="D639" s="3"/>
      <c r="E639" s="2"/>
      <c r="F639" s="3"/>
      <c r="G639" s="3"/>
      <c r="H639" s="16"/>
      <c r="I639" s="16"/>
      <c r="J639" s="3"/>
      <c r="K639" s="17"/>
      <c r="L639" s="16"/>
      <c r="M639" s="3"/>
      <c r="N639" s="3"/>
      <c r="O639" s="2"/>
      <c r="P639" s="3" t="s">
        <v>54</v>
      </c>
      <c r="Q639" s="3"/>
      <c r="R639" s="3"/>
      <c r="S639" s="16"/>
      <c r="T639" s="3"/>
      <c r="U639" s="3"/>
      <c r="V639" s="3"/>
      <c r="W639" s="16"/>
      <c r="X639" s="16"/>
      <c r="Y639" s="3"/>
      <c r="Z639" s="18"/>
      <c r="AA639" s="3"/>
      <c r="AB639" s="16"/>
      <c r="AC639" s="16"/>
      <c r="AD639" s="16"/>
      <c r="AE639" s="9"/>
      <c r="AF639" s="16"/>
      <c r="AG639" s="16"/>
      <c r="AH639" s="16"/>
      <c r="AI639" s="16"/>
      <c r="AJ639" s="16"/>
      <c r="AK639" s="16"/>
      <c r="AL639" s="16"/>
      <c r="AM639" s="3"/>
      <c r="AN639" s="3"/>
      <c r="AO639" s="3"/>
      <c r="AP639" s="3"/>
      <c r="AQ639" s="3"/>
      <c r="AR639" s="3"/>
      <c r="AS639" s="3"/>
      <c r="AT639" s="3"/>
      <c r="AU639" s="3"/>
      <c r="AV639" s="3"/>
    </row>
    <row r="640" spans="1:48" hidden="1" x14ac:dyDescent="0.25">
      <c r="A640" s="31"/>
      <c r="B640" s="31"/>
      <c r="C640" s="3"/>
      <c r="D640" s="3"/>
      <c r="E640" s="2"/>
      <c r="F640" s="3"/>
      <c r="G640" s="3"/>
      <c r="H640" s="16"/>
      <c r="I640" s="16"/>
      <c r="J640" s="3"/>
      <c r="K640" s="17"/>
      <c r="L640" s="16"/>
      <c r="M640" s="3"/>
      <c r="N640" s="3"/>
      <c r="O640" s="2"/>
      <c r="P640" s="3" t="s">
        <v>54</v>
      </c>
      <c r="Q640" s="3"/>
      <c r="R640" s="3"/>
      <c r="S640" s="16"/>
      <c r="T640" s="3"/>
      <c r="U640" s="3"/>
      <c r="V640" s="3"/>
      <c r="W640" s="16"/>
      <c r="X640" s="16"/>
      <c r="Y640" s="3"/>
      <c r="Z640" s="18"/>
      <c r="AA640" s="3"/>
      <c r="AB640" s="16"/>
      <c r="AC640" s="16"/>
      <c r="AD640" s="16"/>
      <c r="AE640" s="9"/>
      <c r="AF640" s="16"/>
      <c r="AG640" s="16"/>
      <c r="AH640" s="16"/>
      <c r="AI640" s="16"/>
      <c r="AJ640" s="16"/>
      <c r="AK640" s="16"/>
      <c r="AL640" s="16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 spans="1:48" hidden="1" x14ac:dyDescent="0.25">
      <c r="A641" s="31"/>
      <c r="B641" s="31"/>
      <c r="C641" s="3"/>
      <c r="D641" s="3"/>
      <c r="E641" s="2"/>
      <c r="F641" s="3"/>
      <c r="G641" s="3"/>
      <c r="H641" s="16"/>
      <c r="I641" s="16"/>
      <c r="J641" s="3"/>
      <c r="K641" s="17"/>
      <c r="L641" s="16"/>
      <c r="M641" s="3"/>
      <c r="N641" s="3"/>
      <c r="O641" s="2"/>
      <c r="P641" s="3" t="s">
        <v>54</v>
      </c>
      <c r="Q641" s="3"/>
      <c r="R641" s="3"/>
      <c r="S641" s="16"/>
      <c r="T641" s="3"/>
      <c r="U641" s="3"/>
      <c r="V641" s="3"/>
      <c r="W641" s="16"/>
      <c r="X641" s="16"/>
      <c r="Y641" s="3"/>
      <c r="Z641" s="18"/>
      <c r="AA641" s="3"/>
      <c r="AB641" s="16"/>
      <c r="AC641" s="16"/>
      <c r="AD641" s="16"/>
      <c r="AE641" s="9"/>
      <c r="AF641" s="16"/>
      <c r="AG641" s="16"/>
      <c r="AH641" s="16"/>
      <c r="AI641" s="16"/>
      <c r="AJ641" s="16"/>
      <c r="AK641" s="16"/>
      <c r="AL641" s="16"/>
      <c r="AM641" s="3"/>
      <c r="AN641" s="3"/>
      <c r="AO641" s="3"/>
      <c r="AP641" s="3"/>
      <c r="AQ641" s="3"/>
      <c r="AR641" s="3"/>
      <c r="AS641" s="3"/>
      <c r="AT641" s="3"/>
      <c r="AU641" s="3"/>
      <c r="AV641" s="3"/>
    </row>
    <row r="642" spans="1:48" hidden="1" x14ac:dyDescent="0.25">
      <c r="A642" s="31"/>
      <c r="B642" s="31"/>
      <c r="C642" s="3"/>
      <c r="D642" s="3"/>
      <c r="E642" s="2"/>
      <c r="F642" s="3"/>
      <c r="G642" s="3"/>
      <c r="H642" s="16"/>
      <c r="I642" s="16"/>
      <c r="J642" s="3"/>
      <c r="K642" s="17"/>
      <c r="L642" s="16"/>
      <c r="M642" s="3"/>
      <c r="N642" s="3"/>
      <c r="O642" s="2"/>
      <c r="P642" s="3" t="s">
        <v>54</v>
      </c>
      <c r="Q642" s="3"/>
      <c r="R642" s="3"/>
      <c r="S642" s="16"/>
      <c r="T642" s="3"/>
      <c r="U642" s="3"/>
      <c r="V642" s="3"/>
      <c r="W642" s="16"/>
      <c r="X642" s="16"/>
      <c r="Y642" s="3"/>
      <c r="Z642" s="18"/>
      <c r="AA642" s="3"/>
      <c r="AB642" s="16"/>
      <c r="AC642" s="16"/>
      <c r="AD642" s="16"/>
      <c r="AE642" s="9"/>
      <c r="AF642" s="16"/>
      <c r="AG642" s="16"/>
      <c r="AH642" s="16"/>
      <c r="AI642" s="16"/>
      <c r="AJ642" s="16"/>
      <c r="AK642" s="16"/>
      <c r="AL642" s="16"/>
      <c r="AM642" s="3"/>
      <c r="AN642" s="3"/>
      <c r="AO642" s="3"/>
      <c r="AP642" s="3"/>
      <c r="AQ642" s="3"/>
      <c r="AR642" s="3"/>
      <c r="AS642" s="3"/>
      <c r="AT642" s="3"/>
      <c r="AU642" s="3"/>
      <c r="AV642" s="3"/>
    </row>
    <row r="643" spans="1:48" hidden="1" x14ac:dyDescent="0.25">
      <c r="A643" s="31"/>
      <c r="B643" s="31"/>
      <c r="C643" s="3"/>
      <c r="D643" s="3"/>
      <c r="E643" s="2"/>
      <c r="F643" s="3"/>
      <c r="G643" s="3"/>
      <c r="H643" s="16"/>
      <c r="I643" s="16"/>
      <c r="J643" s="3"/>
      <c r="K643" s="17"/>
      <c r="L643" s="16"/>
      <c r="M643" s="3"/>
      <c r="N643" s="3"/>
      <c r="O643" s="2"/>
      <c r="P643" s="3" t="s">
        <v>54</v>
      </c>
      <c r="Q643" s="3"/>
      <c r="R643" s="3"/>
      <c r="S643" s="16"/>
      <c r="T643" s="3"/>
      <c r="U643" s="3"/>
      <c r="V643" s="3"/>
      <c r="W643" s="16"/>
      <c r="X643" s="16"/>
      <c r="Y643" s="3"/>
      <c r="Z643" s="18"/>
      <c r="AA643" s="3"/>
      <c r="AB643" s="16"/>
      <c r="AC643" s="16"/>
      <c r="AD643" s="16"/>
      <c r="AE643" s="9"/>
      <c r="AF643" s="16"/>
      <c r="AG643" s="16"/>
      <c r="AH643" s="16"/>
      <c r="AI643" s="16"/>
      <c r="AJ643" s="16"/>
      <c r="AK643" s="16"/>
      <c r="AL643" s="16"/>
      <c r="AM643" s="3"/>
      <c r="AN643" s="3"/>
      <c r="AO643" s="3"/>
      <c r="AP643" s="3"/>
      <c r="AQ643" s="3"/>
      <c r="AR643" s="3"/>
      <c r="AS643" s="3"/>
      <c r="AT643" s="3"/>
      <c r="AU643" s="3"/>
      <c r="AV643" s="3"/>
    </row>
    <row r="644" spans="1:48" hidden="1" x14ac:dyDescent="0.25">
      <c r="A644" s="31"/>
      <c r="B644" s="31"/>
      <c r="C644" s="3"/>
      <c r="D644" s="3"/>
      <c r="E644" s="2"/>
      <c r="F644" s="3"/>
      <c r="G644" s="3"/>
      <c r="H644" s="16"/>
      <c r="I644" s="16"/>
      <c r="J644" s="3"/>
      <c r="K644" s="17"/>
      <c r="L644" s="16"/>
      <c r="M644" s="3"/>
      <c r="N644" s="3"/>
      <c r="O644" s="2"/>
      <c r="P644" s="3" t="s">
        <v>54</v>
      </c>
      <c r="Q644" s="3"/>
      <c r="R644" s="3"/>
      <c r="S644" s="16"/>
      <c r="T644" s="3"/>
      <c r="U644" s="3"/>
      <c r="V644" s="3"/>
      <c r="W644" s="16"/>
      <c r="X644" s="16"/>
      <c r="Y644" s="3"/>
      <c r="Z644" s="18"/>
      <c r="AA644" s="3"/>
      <c r="AB644" s="16"/>
      <c r="AC644" s="16"/>
      <c r="AD644" s="16"/>
      <c r="AE644" s="9"/>
      <c r="AF644" s="16"/>
      <c r="AG644" s="16"/>
      <c r="AH644" s="16"/>
      <c r="AI644" s="16"/>
      <c r="AJ644" s="16"/>
      <c r="AK644" s="16"/>
      <c r="AL644" s="16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 spans="1:48" hidden="1" x14ac:dyDescent="0.25">
      <c r="A645" s="31"/>
      <c r="B645" s="31"/>
      <c r="C645" s="3"/>
      <c r="D645" s="3"/>
      <c r="E645" s="2"/>
      <c r="F645" s="3"/>
      <c r="G645" s="3"/>
      <c r="H645" s="16"/>
      <c r="I645" s="16"/>
      <c r="J645" s="3"/>
      <c r="K645" s="17"/>
      <c r="L645" s="16"/>
      <c r="M645" s="3"/>
      <c r="N645" s="3"/>
      <c r="O645" s="2"/>
      <c r="P645" s="3" t="s">
        <v>54</v>
      </c>
      <c r="Q645" s="3"/>
      <c r="R645" s="3"/>
      <c r="S645" s="16"/>
      <c r="T645" s="3"/>
      <c r="U645" s="3"/>
      <c r="V645" s="3"/>
      <c r="W645" s="16"/>
      <c r="X645" s="16"/>
      <c r="Y645" s="3"/>
      <c r="Z645" s="18"/>
      <c r="AA645" s="3"/>
      <c r="AB645" s="16"/>
      <c r="AC645" s="16"/>
      <c r="AD645" s="16"/>
      <c r="AE645" s="9"/>
      <c r="AF645" s="16"/>
      <c r="AG645" s="16"/>
      <c r="AH645" s="16"/>
      <c r="AI645" s="16"/>
      <c r="AJ645" s="16"/>
      <c r="AK645" s="16"/>
      <c r="AL645" s="16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 spans="1:48" hidden="1" x14ac:dyDescent="0.25">
      <c r="A646" s="31"/>
      <c r="B646" s="31"/>
      <c r="C646" s="3"/>
      <c r="D646" s="3"/>
      <c r="E646" s="2"/>
      <c r="F646" s="3"/>
      <c r="G646" s="3"/>
      <c r="H646" s="16"/>
      <c r="I646" s="16"/>
      <c r="J646" s="3"/>
      <c r="K646" s="17"/>
      <c r="L646" s="16"/>
      <c r="M646" s="3"/>
      <c r="N646" s="3"/>
      <c r="O646" s="2"/>
      <c r="P646" s="3" t="s">
        <v>54</v>
      </c>
      <c r="Q646" s="3"/>
      <c r="R646" s="3"/>
      <c r="S646" s="16"/>
      <c r="T646" s="3"/>
      <c r="U646" s="3"/>
      <c r="V646" s="3"/>
      <c r="W646" s="16"/>
      <c r="X646" s="16"/>
      <c r="Y646" s="3"/>
      <c r="Z646" s="18"/>
      <c r="AA646" s="3"/>
      <c r="AB646" s="16"/>
      <c r="AC646" s="16"/>
      <c r="AD646" s="16"/>
      <c r="AE646" s="9"/>
      <c r="AF646" s="16"/>
      <c r="AG646" s="16"/>
      <c r="AH646" s="16"/>
      <c r="AI646" s="16"/>
      <c r="AJ646" s="16"/>
      <c r="AK646" s="16"/>
      <c r="AL646" s="16"/>
      <c r="AM646" s="3"/>
      <c r="AN646" s="3"/>
      <c r="AO646" s="3"/>
      <c r="AP646" s="3"/>
      <c r="AQ646" s="3"/>
      <c r="AR646" s="3"/>
      <c r="AS646" s="3"/>
      <c r="AT646" s="3"/>
      <c r="AU646" s="3"/>
      <c r="AV646" s="3"/>
    </row>
    <row r="647" spans="1:48" hidden="1" x14ac:dyDescent="0.25">
      <c r="A647" s="31"/>
      <c r="B647" s="31"/>
      <c r="C647" s="3"/>
      <c r="D647" s="3"/>
      <c r="E647" s="2"/>
      <c r="F647" s="3"/>
      <c r="G647" s="3"/>
      <c r="H647" s="16"/>
      <c r="I647" s="16"/>
      <c r="J647" s="3"/>
      <c r="K647" s="17"/>
      <c r="L647" s="16"/>
      <c r="M647" s="3"/>
      <c r="N647" s="3"/>
      <c r="O647" s="2"/>
      <c r="P647" s="3" t="s">
        <v>54</v>
      </c>
      <c r="Q647" s="3"/>
      <c r="R647" s="3"/>
      <c r="S647" s="16"/>
      <c r="T647" s="3"/>
      <c r="U647" s="3"/>
      <c r="V647" s="3"/>
      <c r="W647" s="16"/>
      <c r="X647" s="16"/>
      <c r="Y647" s="3"/>
      <c r="Z647" s="18"/>
      <c r="AA647" s="3"/>
      <c r="AB647" s="16"/>
      <c r="AC647" s="16"/>
      <c r="AD647" s="16"/>
      <c r="AE647" s="9"/>
      <c r="AF647" s="16"/>
      <c r="AG647" s="16"/>
      <c r="AH647" s="16"/>
      <c r="AI647" s="16"/>
      <c r="AJ647" s="16"/>
      <c r="AK647" s="16"/>
      <c r="AL647" s="16"/>
      <c r="AM647" s="3"/>
      <c r="AN647" s="3"/>
      <c r="AO647" s="3"/>
      <c r="AP647" s="3"/>
      <c r="AQ647" s="3"/>
      <c r="AR647" s="3"/>
      <c r="AS647" s="3"/>
      <c r="AT647" s="3"/>
      <c r="AU647" s="3"/>
      <c r="AV647" s="3"/>
    </row>
    <row r="648" spans="1:48" hidden="1" x14ac:dyDescent="0.25">
      <c r="A648" s="31"/>
      <c r="B648" s="31"/>
      <c r="C648" s="3"/>
      <c r="D648" s="3"/>
      <c r="E648" s="2"/>
      <c r="F648" s="3"/>
      <c r="G648" s="3"/>
      <c r="H648" s="16"/>
      <c r="I648" s="16"/>
      <c r="J648" s="3"/>
      <c r="K648" s="17"/>
      <c r="L648" s="16"/>
      <c r="M648" s="3"/>
      <c r="N648" s="3"/>
      <c r="O648" s="2"/>
      <c r="P648" s="3" t="s">
        <v>54</v>
      </c>
      <c r="Q648" s="3"/>
      <c r="R648" s="3"/>
      <c r="S648" s="16"/>
      <c r="T648" s="3"/>
      <c r="U648" s="3"/>
      <c r="V648" s="3"/>
      <c r="W648" s="16"/>
      <c r="X648" s="16"/>
      <c r="Y648" s="3"/>
      <c r="Z648" s="18"/>
      <c r="AA648" s="3"/>
      <c r="AB648" s="16"/>
      <c r="AC648" s="16"/>
      <c r="AD648" s="16"/>
      <c r="AE648" s="9"/>
      <c r="AF648" s="16"/>
      <c r="AG648" s="16"/>
      <c r="AH648" s="16"/>
      <c r="AI648" s="16"/>
      <c r="AJ648" s="16"/>
      <c r="AK648" s="16"/>
      <c r="AL648" s="16"/>
      <c r="AM648" s="3"/>
      <c r="AN648" s="3"/>
      <c r="AO648" s="3"/>
      <c r="AP648" s="3"/>
      <c r="AQ648" s="3"/>
      <c r="AR648" s="3"/>
      <c r="AS648" s="3"/>
      <c r="AT648" s="3"/>
      <c r="AU648" s="3"/>
      <c r="AV648" s="3"/>
    </row>
    <row r="649" spans="1:48" hidden="1" x14ac:dyDescent="0.25">
      <c r="A649" s="31"/>
      <c r="B649" s="31"/>
      <c r="C649" s="3"/>
      <c r="D649" s="3"/>
      <c r="E649" s="2"/>
      <c r="F649" s="3"/>
      <c r="G649" s="3"/>
      <c r="H649" s="16"/>
      <c r="I649" s="16"/>
      <c r="J649" s="3"/>
      <c r="K649" s="17"/>
      <c r="L649" s="16"/>
      <c r="M649" s="3"/>
      <c r="N649" s="3"/>
      <c r="O649" s="2"/>
      <c r="P649" s="3" t="s">
        <v>54</v>
      </c>
      <c r="Q649" s="3"/>
      <c r="R649" s="3"/>
      <c r="S649" s="16"/>
      <c r="T649" s="3"/>
      <c r="U649" s="3"/>
      <c r="V649" s="3"/>
      <c r="W649" s="16"/>
      <c r="X649" s="16"/>
      <c r="Y649" s="3"/>
      <c r="Z649" s="18"/>
      <c r="AA649" s="3"/>
      <c r="AB649" s="16"/>
      <c r="AC649" s="16"/>
      <c r="AD649" s="16"/>
      <c r="AE649" s="9"/>
      <c r="AF649" s="16"/>
      <c r="AG649" s="16"/>
      <c r="AH649" s="16"/>
      <c r="AI649" s="16"/>
      <c r="AJ649" s="16"/>
      <c r="AK649" s="16"/>
      <c r="AL649" s="16"/>
      <c r="AM649" s="3"/>
      <c r="AN649" s="3"/>
      <c r="AO649" s="3"/>
      <c r="AP649" s="3"/>
      <c r="AQ649" s="3"/>
      <c r="AR649" s="3"/>
      <c r="AS649" s="3"/>
      <c r="AT649" s="3"/>
      <c r="AU649" s="3"/>
      <c r="AV649" s="3"/>
    </row>
    <row r="650" spans="1:48" hidden="1" x14ac:dyDescent="0.25">
      <c r="A650" s="31"/>
      <c r="B650" s="31"/>
      <c r="C650" s="3"/>
      <c r="D650" s="3"/>
      <c r="E650" s="2"/>
      <c r="F650" s="3"/>
      <c r="G650" s="3"/>
      <c r="H650" s="16"/>
      <c r="I650" s="16"/>
      <c r="J650" s="3"/>
      <c r="K650" s="17"/>
      <c r="L650" s="16"/>
      <c r="M650" s="3"/>
      <c r="N650" s="3"/>
      <c r="O650" s="2"/>
      <c r="P650" s="3" t="s">
        <v>54</v>
      </c>
      <c r="Q650" s="3"/>
      <c r="R650" s="3"/>
      <c r="S650" s="16"/>
      <c r="T650" s="3"/>
      <c r="U650" s="3"/>
      <c r="V650" s="3"/>
      <c r="W650" s="16"/>
      <c r="X650" s="16"/>
      <c r="Y650" s="3"/>
      <c r="Z650" s="18"/>
      <c r="AA650" s="3"/>
      <c r="AB650" s="16"/>
      <c r="AC650" s="16"/>
      <c r="AD650" s="16"/>
      <c r="AE650" s="9"/>
      <c r="AF650" s="16"/>
      <c r="AG650" s="16"/>
      <c r="AH650" s="16"/>
      <c r="AI650" s="16"/>
      <c r="AJ650" s="16"/>
      <c r="AK650" s="16"/>
      <c r="AL650" s="16"/>
      <c r="AM650" s="3"/>
      <c r="AN650" s="3"/>
      <c r="AO650" s="3"/>
      <c r="AP650" s="3"/>
      <c r="AQ650" s="3"/>
      <c r="AR650" s="3"/>
      <c r="AS650" s="3"/>
      <c r="AT650" s="3"/>
      <c r="AU650" s="3"/>
      <c r="AV650" s="3"/>
    </row>
    <row r="651" spans="1:48" hidden="1" x14ac:dyDescent="0.25">
      <c r="A651" s="31"/>
      <c r="B651" s="31"/>
      <c r="C651" s="3"/>
      <c r="D651" s="3"/>
      <c r="E651" s="2"/>
      <c r="F651" s="3"/>
      <c r="G651" s="3"/>
      <c r="H651" s="16"/>
      <c r="I651" s="16"/>
      <c r="J651" s="3"/>
      <c r="K651" s="17"/>
      <c r="L651" s="16"/>
      <c r="M651" s="3"/>
      <c r="N651" s="3"/>
      <c r="O651" s="2"/>
      <c r="P651" s="3" t="s">
        <v>54</v>
      </c>
      <c r="Q651" s="3"/>
      <c r="R651" s="3"/>
      <c r="S651" s="16"/>
      <c r="T651" s="3"/>
      <c r="U651" s="3"/>
      <c r="V651" s="3"/>
      <c r="W651" s="16"/>
      <c r="X651" s="16"/>
      <c r="Y651" s="3"/>
      <c r="Z651" s="18"/>
      <c r="AA651" s="3"/>
      <c r="AB651" s="16"/>
      <c r="AC651" s="16"/>
      <c r="AD651" s="16"/>
      <c r="AE651" s="9"/>
      <c r="AF651" s="16"/>
      <c r="AG651" s="16"/>
      <c r="AH651" s="16"/>
      <c r="AI651" s="16"/>
      <c r="AJ651" s="16"/>
      <c r="AK651" s="16"/>
      <c r="AL651" s="16"/>
      <c r="AM651" s="3"/>
      <c r="AN651" s="3"/>
      <c r="AO651" s="3"/>
      <c r="AP651" s="3"/>
      <c r="AQ651" s="3"/>
      <c r="AR651" s="3"/>
      <c r="AS651" s="3"/>
      <c r="AT651" s="3"/>
      <c r="AU651" s="3"/>
      <c r="AV651" s="3"/>
    </row>
    <row r="652" spans="1:48" hidden="1" x14ac:dyDescent="0.25">
      <c r="A652" s="31"/>
      <c r="B652" s="31"/>
      <c r="C652" s="3"/>
      <c r="D652" s="3"/>
      <c r="E652" s="2"/>
      <c r="F652" s="3"/>
      <c r="G652" s="3"/>
      <c r="H652" s="16"/>
      <c r="I652" s="16"/>
      <c r="J652" s="3"/>
      <c r="K652" s="17"/>
      <c r="L652" s="16"/>
      <c r="M652" s="3"/>
      <c r="N652" s="3"/>
      <c r="O652" s="2"/>
      <c r="P652" s="3" t="s">
        <v>54</v>
      </c>
      <c r="Q652" s="3"/>
      <c r="R652" s="3"/>
      <c r="S652" s="16"/>
      <c r="T652" s="3"/>
      <c r="U652" s="3"/>
      <c r="V652" s="3"/>
      <c r="W652" s="16"/>
      <c r="X652" s="16"/>
      <c r="Y652" s="3"/>
      <c r="Z652" s="18"/>
      <c r="AA652" s="3"/>
      <c r="AB652" s="16"/>
      <c r="AC652" s="16"/>
      <c r="AD652" s="16"/>
      <c r="AE652" s="9"/>
      <c r="AF652" s="16"/>
      <c r="AG652" s="16"/>
      <c r="AH652" s="16"/>
      <c r="AI652" s="16"/>
      <c r="AJ652" s="16"/>
      <c r="AK652" s="16"/>
      <c r="AL652" s="16"/>
      <c r="AM652" s="3"/>
      <c r="AN652" s="3"/>
      <c r="AO652" s="3"/>
      <c r="AP652" s="3"/>
      <c r="AQ652" s="3"/>
      <c r="AR652" s="3"/>
      <c r="AS652" s="3"/>
      <c r="AT652" s="3"/>
      <c r="AU652" s="3"/>
      <c r="AV652" s="3"/>
    </row>
    <row r="653" spans="1:48" hidden="1" x14ac:dyDescent="0.25">
      <c r="A653" s="31"/>
      <c r="B653" s="31"/>
      <c r="C653" s="3"/>
      <c r="D653" s="3"/>
      <c r="E653" s="2"/>
      <c r="F653" s="3"/>
      <c r="G653" s="3"/>
      <c r="H653" s="16"/>
      <c r="I653" s="16"/>
      <c r="J653" s="3"/>
      <c r="K653" s="17"/>
      <c r="L653" s="16"/>
      <c r="M653" s="3"/>
      <c r="N653" s="3"/>
      <c r="O653" s="2"/>
      <c r="P653" s="3" t="s">
        <v>54</v>
      </c>
      <c r="Q653" s="3"/>
      <c r="R653" s="3"/>
      <c r="S653" s="16"/>
      <c r="T653" s="3"/>
      <c r="U653" s="3"/>
      <c r="V653" s="3"/>
      <c r="W653" s="16"/>
      <c r="X653" s="16"/>
      <c r="Y653" s="3"/>
      <c r="Z653" s="18"/>
      <c r="AA653" s="3"/>
      <c r="AB653" s="16"/>
      <c r="AC653" s="16"/>
      <c r="AD653" s="16"/>
      <c r="AE653" s="9"/>
      <c r="AF653" s="16"/>
      <c r="AG653" s="16"/>
      <c r="AH653" s="16"/>
      <c r="AI653" s="16"/>
      <c r="AJ653" s="16"/>
      <c r="AK653" s="16"/>
      <c r="AL653" s="16"/>
      <c r="AM653" s="3"/>
      <c r="AN653" s="3"/>
      <c r="AO653" s="3"/>
      <c r="AP653" s="3"/>
      <c r="AQ653" s="3"/>
      <c r="AR653" s="3"/>
      <c r="AS653" s="3"/>
      <c r="AT653" s="3"/>
      <c r="AU653" s="3"/>
      <c r="AV653" s="3"/>
    </row>
    <row r="654" spans="1:48" hidden="1" x14ac:dyDescent="0.25">
      <c r="A654" s="31"/>
      <c r="B654" s="31"/>
      <c r="C654" s="3"/>
      <c r="D654" s="3"/>
      <c r="E654" s="2"/>
      <c r="F654" s="3"/>
      <c r="G654" s="3"/>
      <c r="H654" s="16"/>
      <c r="I654" s="16"/>
      <c r="J654" s="3"/>
      <c r="K654" s="17"/>
      <c r="L654" s="16"/>
      <c r="M654" s="3"/>
      <c r="N654" s="3"/>
      <c r="O654" s="2"/>
      <c r="P654" s="3" t="s">
        <v>54</v>
      </c>
      <c r="Q654" s="3"/>
      <c r="R654" s="3"/>
      <c r="S654" s="16"/>
      <c r="T654" s="3"/>
      <c r="U654" s="3"/>
      <c r="V654" s="3"/>
      <c r="W654" s="16"/>
      <c r="X654" s="16"/>
      <c r="Y654" s="3"/>
      <c r="Z654" s="18"/>
      <c r="AA654" s="3"/>
      <c r="AB654" s="16"/>
      <c r="AC654" s="16"/>
      <c r="AD654" s="16"/>
      <c r="AE654" s="9"/>
      <c r="AF654" s="16"/>
      <c r="AG654" s="16"/>
      <c r="AH654" s="16"/>
      <c r="AI654" s="16"/>
      <c r="AJ654" s="16"/>
      <c r="AK654" s="16"/>
      <c r="AL654" s="16"/>
      <c r="AM654" s="3"/>
      <c r="AN654" s="3"/>
      <c r="AO654" s="3"/>
      <c r="AP654" s="3"/>
      <c r="AQ654" s="3"/>
      <c r="AR654" s="3"/>
      <c r="AS654" s="3"/>
      <c r="AT654" s="3"/>
      <c r="AU654" s="3"/>
      <c r="AV654" s="3"/>
    </row>
    <row r="655" spans="1:48" hidden="1" x14ac:dyDescent="0.25">
      <c r="A655" s="31"/>
      <c r="B655" s="31"/>
      <c r="C655" s="3"/>
      <c r="D655" s="3"/>
      <c r="E655" s="2"/>
      <c r="F655" s="3"/>
      <c r="G655" s="3"/>
      <c r="H655" s="16"/>
      <c r="I655" s="16"/>
      <c r="J655" s="3"/>
      <c r="K655" s="17"/>
      <c r="L655" s="16"/>
      <c r="M655" s="3"/>
      <c r="N655" s="3"/>
      <c r="O655" s="2"/>
      <c r="P655" s="3" t="s">
        <v>54</v>
      </c>
      <c r="Q655" s="3"/>
      <c r="R655" s="3"/>
      <c r="S655" s="16"/>
      <c r="T655" s="3"/>
      <c r="U655" s="3"/>
      <c r="V655" s="3"/>
      <c r="W655" s="16"/>
      <c r="X655" s="16"/>
      <c r="Y655" s="3"/>
      <c r="Z655" s="18"/>
      <c r="AA655" s="3"/>
      <c r="AB655" s="16"/>
      <c r="AC655" s="16"/>
      <c r="AD655" s="16"/>
      <c r="AE655" s="9"/>
      <c r="AF655" s="16"/>
      <c r="AG655" s="16"/>
      <c r="AH655" s="16"/>
      <c r="AI655" s="16"/>
      <c r="AJ655" s="16"/>
      <c r="AK655" s="16"/>
      <c r="AL655" s="16"/>
      <c r="AM655" s="3"/>
      <c r="AN655" s="3"/>
      <c r="AO655" s="3"/>
      <c r="AP655" s="3"/>
      <c r="AQ655" s="3"/>
      <c r="AR655" s="3"/>
      <c r="AS655" s="3"/>
      <c r="AT655" s="3"/>
      <c r="AU655" s="3"/>
      <c r="AV655" s="3"/>
    </row>
    <row r="656" spans="1:48" hidden="1" x14ac:dyDescent="0.25">
      <c r="A656" s="31"/>
      <c r="B656" s="31"/>
      <c r="C656" s="3"/>
      <c r="D656" s="3"/>
      <c r="E656" s="2"/>
      <c r="F656" s="3"/>
      <c r="G656" s="3"/>
      <c r="H656" s="16"/>
      <c r="I656" s="16"/>
      <c r="J656" s="3"/>
      <c r="K656" s="17"/>
      <c r="L656" s="16"/>
      <c r="M656" s="3"/>
      <c r="N656" s="3"/>
      <c r="O656" s="2"/>
      <c r="P656" s="3" t="s">
        <v>54</v>
      </c>
      <c r="Q656" s="3"/>
      <c r="R656" s="3"/>
      <c r="S656" s="16"/>
      <c r="T656" s="3"/>
      <c r="U656" s="3"/>
      <c r="V656" s="3"/>
      <c r="W656" s="16"/>
      <c r="X656" s="16"/>
      <c r="Y656" s="3"/>
      <c r="Z656" s="18"/>
      <c r="AA656" s="3"/>
      <c r="AB656" s="16"/>
      <c r="AC656" s="16"/>
      <c r="AD656" s="16"/>
      <c r="AE656" s="9"/>
      <c r="AF656" s="16"/>
      <c r="AG656" s="16"/>
      <c r="AH656" s="16"/>
      <c r="AI656" s="16"/>
      <c r="AJ656" s="16"/>
      <c r="AK656" s="16"/>
      <c r="AL656" s="16"/>
      <c r="AM656" s="3"/>
      <c r="AN656" s="3"/>
      <c r="AO656" s="3"/>
      <c r="AP656" s="3"/>
      <c r="AQ656" s="3"/>
      <c r="AR656" s="3"/>
      <c r="AS656" s="3"/>
      <c r="AT656" s="3"/>
      <c r="AU656" s="3"/>
      <c r="AV656" s="3"/>
    </row>
    <row r="657" spans="1:48" hidden="1" x14ac:dyDescent="0.25">
      <c r="A657" s="31"/>
      <c r="B657" s="31"/>
      <c r="C657" s="3"/>
      <c r="D657" s="3"/>
      <c r="E657" s="2"/>
      <c r="F657" s="3"/>
      <c r="G657" s="3"/>
      <c r="H657" s="16"/>
      <c r="I657" s="16"/>
      <c r="J657" s="3"/>
      <c r="K657" s="17"/>
      <c r="L657" s="16"/>
      <c r="M657" s="3"/>
      <c r="N657" s="3"/>
      <c r="O657" s="2"/>
      <c r="P657" s="3" t="s">
        <v>54</v>
      </c>
      <c r="Q657" s="3"/>
      <c r="R657" s="3"/>
      <c r="S657" s="16"/>
      <c r="T657" s="3"/>
      <c r="U657" s="3"/>
      <c r="V657" s="3"/>
      <c r="W657" s="16"/>
      <c r="X657" s="16"/>
      <c r="Y657" s="3"/>
      <c r="Z657" s="18"/>
      <c r="AA657" s="3"/>
      <c r="AB657" s="16"/>
      <c r="AC657" s="16"/>
      <c r="AD657" s="16"/>
      <c r="AE657" s="9"/>
      <c r="AF657" s="16"/>
      <c r="AG657" s="16"/>
      <c r="AH657" s="16"/>
      <c r="AI657" s="16"/>
      <c r="AJ657" s="16"/>
      <c r="AK657" s="16"/>
      <c r="AL657" s="16"/>
      <c r="AM657" s="3"/>
      <c r="AN657" s="3"/>
      <c r="AO657" s="3"/>
      <c r="AP657" s="3"/>
      <c r="AQ657" s="3"/>
      <c r="AR657" s="3"/>
      <c r="AS657" s="3"/>
      <c r="AT657" s="3"/>
      <c r="AU657" s="3"/>
      <c r="AV657" s="3"/>
    </row>
    <row r="658" spans="1:48" hidden="1" x14ac:dyDescent="0.25">
      <c r="A658" s="31"/>
      <c r="B658" s="31"/>
      <c r="C658" s="3"/>
      <c r="D658" s="3"/>
      <c r="E658" s="2"/>
      <c r="F658" s="3"/>
      <c r="G658" s="3"/>
      <c r="H658" s="16"/>
      <c r="I658" s="16"/>
      <c r="J658" s="3"/>
      <c r="K658" s="17"/>
      <c r="L658" s="16"/>
      <c r="M658" s="3"/>
      <c r="N658" s="3"/>
      <c r="O658" s="2"/>
      <c r="P658" s="3" t="s">
        <v>54</v>
      </c>
      <c r="Q658" s="3"/>
      <c r="R658" s="3"/>
      <c r="S658" s="16"/>
      <c r="T658" s="3"/>
      <c r="U658" s="3"/>
      <c r="V658" s="3"/>
      <c r="W658" s="16"/>
      <c r="X658" s="16"/>
      <c r="Y658" s="3"/>
      <c r="Z658" s="18"/>
      <c r="AA658" s="3"/>
      <c r="AB658" s="16"/>
      <c r="AC658" s="16"/>
      <c r="AD658" s="16"/>
      <c r="AE658" s="9"/>
      <c r="AF658" s="16"/>
      <c r="AG658" s="16"/>
      <c r="AH658" s="16"/>
      <c r="AI658" s="16"/>
      <c r="AJ658" s="16"/>
      <c r="AK658" s="16"/>
      <c r="AL658" s="16"/>
      <c r="AM658" s="3"/>
      <c r="AN658" s="3"/>
      <c r="AO658" s="3"/>
      <c r="AP658" s="3"/>
      <c r="AQ658" s="3"/>
      <c r="AR658" s="3"/>
      <c r="AS658" s="3"/>
      <c r="AT658" s="3"/>
      <c r="AU658" s="3"/>
      <c r="AV658" s="3"/>
    </row>
    <row r="659" spans="1:48" hidden="1" x14ac:dyDescent="0.25">
      <c r="A659" s="31"/>
      <c r="B659" s="31"/>
      <c r="C659" s="3"/>
      <c r="D659" s="3"/>
      <c r="E659" s="2"/>
      <c r="F659" s="3"/>
      <c r="G659" s="3"/>
      <c r="H659" s="16"/>
      <c r="I659" s="16"/>
      <c r="J659" s="3"/>
      <c r="K659" s="17"/>
      <c r="L659" s="16"/>
      <c r="M659" s="3"/>
      <c r="N659" s="3"/>
      <c r="O659" s="2"/>
      <c r="P659" s="3" t="s">
        <v>54</v>
      </c>
      <c r="Q659" s="3"/>
      <c r="R659" s="3"/>
      <c r="S659" s="16"/>
      <c r="T659" s="3"/>
      <c r="U659" s="3"/>
      <c r="V659" s="3"/>
      <c r="W659" s="16"/>
      <c r="X659" s="16"/>
      <c r="Y659" s="3"/>
      <c r="Z659" s="18"/>
      <c r="AA659" s="3"/>
      <c r="AB659" s="16"/>
      <c r="AC659" s="16"/>
      <c r="AD659" s="16"/>
      <c r="AE659" s="9"/>
      <c r="AF659" s="16"/>
      <c r="AG659" s="16"/>
      <c r="AH659" s="16"/>
      <c r="AI659" s="16"/>
      <c r="AJ659" s="16"/>
      <c r="AK659" s="16"/>
      <c r="AL659" s="16"/>
      <c r="AM659" s="3"/>
      <c r="AN659" s="3"/>
      <c r="AO659" s="3"/>
      <c r="AP659" s="3"/>
      <c r="AQ659" s="3"/>
      <c r="AR659" s="3"/>
      <c r="AS659" s="3"/>
      <c r="AT659" s="3"/>
      <c r="AU659" s="3"/>
      <c r="AV659" s="3"/>
    </row>
    <row r="660" spans="1:48" hidden="1" x14ac:dyDescent="0.25">
      <c r="A660" s="31"/>
      <c r="B660" s="31"/>
      <c r="C660" s="3"/>
      <c r="D660" s="3"/>
      <c r="E660" s="2"/>
      <c r="F660" s="3"/>
      <c r="G660" s="3"/>
      <c r="H660" s="16"/>
      <c r="I660" s="16"/>
      <c r="J660" s="3"/>
      <c r="K660" s="17"/>
      <c r="L660" s="16"/>
      <c r="M660" s="3"/>
      <c r="N660" s="3"/>
      <c r="O660" s="2"/>
      <c r="P660" s="3" t="s">
        <v>54</v>
      </c>
      <c r="Q660" s="3"/>
      <c r="R660" s="3"/>
      <c r="S660" s="16"/>
      <c r="T660" s="3"/>
      <c r="U660" s="3"/>
      <c r="V660" s="3"/>
      <c r="W660" s="16"/>
      <c r="X660" s="16"/>
      <c r="Y660" s="3"/>
      <c r="Z660" s="18"/>
      <c r="AA660" s="3"/>
      <c r="AB660" s="16"/>
      <c r="AC660" s="16"/>
      <c r="AD660" s="16"/>
      <c r="AE660" s="9"/>
      <c r="AF660" s="16"/>
      <c r="AG660" s="16"/>
      <c r="AH660" s="16"/>
      <c r="AI660" s="16"/>
      <c r="AJ660" s="16"/>
      <c r="AK660" s="16"/>
      <c r="AL660" s="16"/>
      <c r="AM660" s="3"/>
      <c r="AN660" s="3"/>
      <c r="AO660" s="3"/>
      <c r="AP660" s="3"/>
      <c r="AQ660" s="3"/>
      <c r="AR660" s="3"/>
      <c r="AS660" s="3"/>
      <c r="AT660" s="3"/>
      <c r="AU660" s="3"/>
      <c r="AV660" s="3"/>
    </row>
    <row r="661" spans="1:48" hidden="1" x14ac:dyDescent="0.25">
      <c r="A661" s="31"/>
      <c r="B661" s="31"/>
      <c r="C661" s="3"/>
      <c r="D661" s="3"/>
      <c r="E661" s="2"/>
      <c r="F661" s="3"/>
      <c r="G661" s="3"/>
      <c r="H661" s="16"/>
      <c r="I661" s="16"/>
      <c r="J661" s="3"/>
      <c r="K661" s="17"/>
      <c r="L661" s="16"/>
      <c r="M661" s="3"/>
      <c r="N661" s="3"/>
      <c r="O661" s="2"/>
      <c r="P661" s="3" t="s">
        <v>54</v>
      </c>
      <c r="Q661" s="3"/>
      <c r="R661" s="3"/>
      <c r="S661" s="16"/>
      <c r="T661" s="3"/>
      <c r="U661" s="3"/>
      <c r="V661" s="3"/>
      <c r="W661" s="16"/>
      <c r="X661" s="16"/>
      <c r="Y661" s="3"/>
      <c r="Z661" s="18"/>
      <c r="AA661" s="3"/>
      <c r="AB661" s="16"/>
      <c r="AC661" s="16"/>
      <c r="AD661" s="16"/>
      <c r="AE661" s="9"/>
      <c r="AF661" s="16"/>
      <c r="AG661" s="16"/>
      <c r="AH661" s="16"/>
      <c r="AI661" s="16"/>
      <c r="AJ661" s="16"/>
      <c r="AK661" s="16"/>
      <c r="AL661" s="16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 spans="1:48" hidden="1" x14ac:dyDescent="0.25">
      <c r="A662" s="31"/>
      <c r="B662" s="31"/>
      <c r="C662" s="3"/>
      <c r="D662" s="3"/>
      <c r="E662" s="2"/>
      <c r="F662" s="3"/>
      <c r="G662" s="3"/>
      <c r="H662" s="16"/>
      <c r="I662" s="16"/>
      <c r="J662" s="3"/>
      <c r="K662" s="17"/>
      <c r="L662" s="16"/>
      <c r="M662" s="3"/>
      <c r="N662" s="3"/>
      <c r="O662" s="2"/>
      <c r="P662" s="3" t="s">
        <v>54</v>
      </c>
      <c r="Q662" s="3"/>
      <c r="R662" s="3"/>
      <c r="S662" s="16"/>
      <c r="T662" s="3"/>
      <c r="U662" s="3"/>
      <c r="V662" s="3"/>
      <c r="W662" s="16"/>
      <c r="X662" s="16"/>
      <c r="Y662" s="3"/>
      <c r="Z662" s="18"/>
      <c r="AA662" s="3"/>
      <c r="AB662" s="16"/>
      <c r="AC662" s="16"/>
      <c r="AD662" s="16"/>
      <c r="AE662" s="9"/>
      <c r="AF662" s="16"/>
      <c r="AG662" s="16"/>
      <c r="AH662" s="16"/>
      <c r="AI662" s="16"/>
      <c r="AJ662" s="16"/>
      <c r="AK662" s="16"/>
      <c r="AL662" s="16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 spans="1:48" hidden="1" x14ac:dyDescent="0.25">
      <c r="A663" s="31"/>
      <c r="B663" s="31"/>
      <c r="C663" s="3"/>
      <c r="D663" s="3"/>
      <c r="E663" s="2"/>
      <c r="F663" s="3"/>
      <c r="G663" s="3"/>
      <c r="H663" s="16"/>
      <c r="I663" s="16"/>
      <c r="J663" s="3"/>
      <c r="K663" s="17"/>
      <c r="L663" s="16"/>
      <c r="M663" s="3"/>
      <c r="N663" s="3"/>
      <c r="O663" s="2"/>
      <c r="P663" s="3" t="s">
        <v>54</v>
      </c>
      <c r="Q663" s="3"/>
      <c r="R663" s="3"/>
      <c r="S663" s="16"/>
      <c r="T663" s="3"/>
      <c r="U663" s="3"/>
      <c r="V663" s="3"/>
      <c r="W663" s="16"/>
      <c r="X663" s="16"/>
      <c r="Y663" s="3"/>
      <c r="Z663" s="18"/>
      <c r="AA663" s="3"/>
      <c r="AB663" s="16"/>
      <c r="AC663" s="16"/>
      <c r="AD663" s="16"/>
      <c r="AE663" s="9"/>
      <c r="AF663" s="16"/>
      <c r="AG663" s="16"/>
      <c r="AH663" s="16"/>
      <c r="AI663" s="16"/>
      <c r="AJ663" s="16"/>
      <c r="AK663" s="16"/>
      <c r="AL663" s="16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 spans="1:48" hidden="1" x14ac:dyDescent="0.25">
      <c r="A664" s="31"/>
      <c r="B664" s="31"/>
      <c r="C664" s="3"/>
      <c r="D664" s="3"/>
      <c r="E664" s="2"/>
      <c r="F664" s="3"/>
      <c r="G664" s="3"/>
      <c r="H664" s="16"/>
      <c r="I664" s="16"/>
      <c r="J664" s="3"/>
      <c r="K664" s="17"/>
      <c r="L664" s="16"/>
      <c r="M664" s="3"/>
      <c r="N664" s="3"/>
      <c r="O664" s="2"/>
      <c r="P664" s="3" t="s">
        <v>54</v>
      </c>
      <c r="Q664" s="3"/>
      <c r="R664" s="3"/>
      <c r="S664" s="16"/>
      <c r="T664" s="3"/>
      <c r="U664" s="3"/>
      <c r="V664" s="3"/>
      <c r="W664" s="16"/>
      <c r="X664" s="16"/>
      <c r="Y664" s="3"/>
      <c r="Z664" s="18"/>
      <c r="AA664" s="3"/>
      <c r="AB664" s="16"/>
      <c r="AC664" s="16"/>
      <c r="AD664" s="16"/>
      <c r="AE664" s="9"/>
      <c r="AF664" s="16"/>
      <c r="AG664" s="16"/>
      <c r="AH664" s="16"/>
      <c r="AI664" s="16"/>
      <c r="AJ664" s="16"/>
      <c r="AK664" s="16"/>
      <c r="AL664" s="16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 spans="1:48" hidden="1" x14ac:dyDescent="0.25">
      <c r="A665" s="31"/>
      <c r="B665" s="31"/>
      <c r="C665" s="3"/>
      <c r="D665" s="3"/>
      <c r="E665" s="2"/>
      <c r="F665" s="3"/>
      <c r="G665" s="3"/>
      <c r="H665" s="16"/>
      <c r="I665" s="16"/>
      <c r="J665" s="3"/>
      <c r="K665" s="17"/>
      <c r="L665" s="16"/>
      <c r="M665" s="3"/>
      <c r="N665" s="3"/>
      <c r="O665" s="2"/>
      <c r="P665" s="3" t="s">
        <v>54</v>
      </c>
      <c r="Q665" s="3"/>
      <c r="R665" s="3"/>
      <c r="S665" s="16"/>
      <c r="T665" s="3"/>
      <c r="U665" s="3"/>
      <c r="V665" s="3"/>
      <c r="W665" s="16"/>
      <c r="X665" s="16"/>
      <c r="Y665" s="3"/>
      <c r="Z665" s="18"/>
      <c r="AA665" s="3"/>
      <c r="AB665" s="16"/>
      <c r="AC665" s="16"/>
      <c r="AD665" s="16"/>
      <c r="AE665" s="9"/>
      <c r="AF665" s="16"/>
      <c r="AG665" s="16"/>
      <c r="AH665" s="16"/>
      <c r="AI665" s="16"/>
      <c r="AJ665" s="16"/>
      <c r="AK665" s="16"/>
      <c r="AL665" s="16"/>
      <c r="AM665" s="3"/>
      <c r="AN665" s="3"/>
      <c r="AO665" s="3"/>
      <c r="AP665" s="3"/>
      <c r="AQ665" s="3"/>
      <c r="AR665" s="3"/>
      <c r="AS665" s="3"/>
      <c r="AT665" s="3"/>
      <c r="AU665" s="3"/>
      <c r="AV665" s="3"/>
    </row>
    <row r="666" spans="1:48" hidden="1" x14ac:dyDescent="0.25">
      <c r="A666" s="31"/>
      <c r="B666" s="31"/>
      <c r="C666" s="3"/>
      <c r="D666" s="3"/>
      <c r="E666" s="2"/>
      <c r="F666" s="3"/>
      <c r="G666" s="3"/>
      <c r="H666" s="16"/>
      <c r="I666" s="16"/>
      <c r="J666" s="3"/>
      <c r="K666" s="17"/>
      <c r="L666" s="16"/>
      <c r="M666" s="3"/>
      <c r="N666" s="3"/>
      <c r="O666" s="2"/>
      <c r="P666" s="3" t="s">
        <v>54</v>
      </c>
      <c r="Q666" s="3"/>
      <c r="R666" s="3"/>
      <c r="S666" s="16"/>
      <c r="T666" s="3"/>
      <c r="U666" s="3"/>
      <c r="V666" s="3"/>
      <c r="W666" s="16"/>
      <c r="X666" s="16"/>
      <c r="Y666" s="3"/>
      <c r="Z666" s="18"/>
      <c r="AA666" s="3"/>
      <c r="AB666" s="16"/>
      <c r="AC666" s="16"/>
      <c r="AD666" s="16"/>
      <c r="AE666" s="9"/>
      <c r="AF666" s="16"/>
      <c r="AG666" s="16"/>
      <c r="AH666" s="16"/>
      <c r="AI666" s="16"/>
      <c r="AJ666" s="16"/>
      <c r="AK666" s="16"/>
      <c r="AL666" s="16"/>
      <c r="AM666" s="3"/>
      <c r="AN666" s="3"/>
      <c r="AO666" s="3"/>
      <c r="AP666" s="3"/>
      <c r="AQ666" s="3"/>
      <c r="AR666" s="3"/>
      <c r="AS666" s="3"/>
      <c r="AT666" s="3"/>
      <c r="AU666" s="3"/>
      <c r="AV666" s="3"/>
    </row>
    <row r="667" spans="1:48" hidden="1" x14ac:dyDescent="0.25">
      <c r="A667" s="31"/>
      <c r="B667" s="31"/>
      <c r="C667" s="3"/>
      <c r="D667" s="3"/>
      <c r="E667" s="2"/>
      <c r="F667" s="3"/>
      <c r="G667" s="3"/>
      <c r="H667" s="16"/>
      <c r="I667" s="16"/>
      <c r="J667" s="3"/>
      <c r="K667" s="17"/>
      <c r="L667" s="16"/>
      <c r="M667" s="3"/>
      <c r="N667" s="3"/>
      <c r="O667" s="2"/>
      <c r="P667" s="3" t="s">
        <v>54</v>
      </c>
      <c r="Q667" s="3"/>
      <c r="R667" s="3"/>
      <c r="S667" s="16"/>
      <c r="T667" s="3"/>
      <c r="U667" s="3"/>
      <c r="V667" s="3"/>
      <c r="W667" s="16"/>
      <c r="X667" s="16"/>
      <c r="Y667" s="3"/>
      <c r="Z667" s="18"/>
      <c r="AA667" s="3"/>
      <c r="AB667" s="16"/>
      <c r="AC667" s="16"/>
      <c r="AD667" s="16"/>
      <c r="AE667" s="9"/>
      <c r="AF667" s="16"/>
      <c r="AG667" s="16"/>
      <c r="AH667" s="16"/>
      <c r="AI667" s="16"/>
      <c r="AJ667" s="16"/>
      <c r="AK667" s="16"/>
      <c r="AL667" s="16"/>
      <c r="AM667" s="3"/>
      <c r="AN667" s="3"/>
      <c r="AO667" s="3"/>
      <c r="AP667" s="3"/>
      <c r="AQ667" s="3"/>
      <c r="AR667" s="3"/>
      <c r="AS667" s="3"/>
      <c r="AT667" s="3"/>
      <c r="AU667" s="3"/>
      <c r="AV667" s="3"/>
    </row>
    <row r="668" spans="1:48" hidden="1" x14ac:dyDescent="0.25">
      <c r="A668" s="31"/>
      <c r="B668" s="31"/>
      <c r="C668" s="3"/>
      <c r="D668" s="3"/>
      <c r="E668" s="2"/>
      <c r="F668" s="3"/>
      <c r="G668" s="3"/>
      <c r="H668" s="16"/>
      <c r="I668" s="16"/>
      <c r="J668" s="3"/>
      <c r="K668" s="17"/>
      <c r="L668" s="16"/>
      <c r="M668" s="3"/>
      <c r="N668" s="3"/>
      <c r="O668" s="2"/>
      <c r="P668" s="3" t="s">
        <v>54</v>
      </c>
      <c r="Q668" s="3"/>
      <c r="R668" s="3"/>
      <c r="S668" s="16"/>
      <c r="T668" s="3"/>
      <c r="U668" s="3"/>
      <c r="V668" s="3"/>
      <c r="W668" s="16"/>
      <c r="X668" s="16"/>
      <c r="Y668" s="3"/>
      <c r="Z668" s="18"/>
      <c r="AA668" s="3"/>
      <c r="AB668" s="16"/>
      <c r="AC668" s="16"/>
      <c r="AD668" s="16"/>
      <c r="AE668" s="9"/>
      <c r="AF668" s="16"/>
      <c r="AG668" s="16"/>
      <c r="AH668" s="16"/>
      <c r="AI668" s="16"/>
      <c r="AJ668" s="16"/>
      <c r="AK668" s="16"/>
      <c r="AL668" s="16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 spans="1:48" hidden="1" x14ac:dyDescent="0.25">
      <c r="A669" s="31"/>
      <c r="B669" s="31"/>
      <c r="C669" s="3"/>
      <c r="D669" s="3"/>
      <c r="E669" s="2"/>
      <c r="F669" s="3"/>
      <c r="G669" s="3"/>
      <c r="H669" s="16"/>
      <c r="I669" s="16"/>
      <c r="J669" s="3"/>
      <c r="K669" s="17"/>
      <c r="L669" s="16"/>
      <c r="M669" s="3"/>
      <c r="N669" s="3"/>
      <c r="O669" s="2"/>
      <c r="P669" s="3" t="s">
        <v>54</v>
      </c>
      <c r="Q669" s="3"/>
      <c r="R669" s="3"/>
      <c r="S669" s="16"/>
      <c r="T669" s="3"/>
      <c r="U669" s="3"/>
      <c r="V669" s="3"/>
      <c r="W669" s="16"/>
      <c r="X669" s="16"/>
      <c r="Y669" s="3"/>
      <c r="Z669" s="18"/>
      <c r="AA669" s="3"/>
      <c r="AB669" s="16"/>
      <c r="AC669" s="16"/>
      <c r="AD669" s="16"/>
      <c r="AE669" s="9"/>
      <c r="AF669" s="16"/>
      <c r="AG669" s="16"/>
      <c r="AH669" s="16"/>
      <c r="AI669" s="16"/>
      <c r="AJ669" s="16"/>
      <c r="AK669" s="16"/>
      <c r="AL669" s="16"/>
      <c r="AM669" s="3"/>
      <c r="AN669" s="3"/>
      <c r="AO669" s="3"/>
      <c r="AP669" s="3"/>
      <c r="AQ669" s="3"/>
      <c r="AR669" s="3"/>
      <c r="AS669" s="3"/>
      <c r="AT669" s="3"/>
      <c r="AU669" s="3"/>
      <c r="AV669" s="3"/>
    </row>
    <row r="670" spans="1:48" hidden="1" x14ac:dyDescent="0.25">
      <c r="A670" s="31"/>
      <c r="B670" s="31"/>
      <c r="C670" s="3"/>
      <c r="D670" s="3"/>
      <c r="E670" s="2"/>
      <c r="F670" s="3"/>
      <c r="G670" s="3"/>
      <c r="H670" s="16"/>
      <c r="I670" s="16"/>
      <c r="J670" s="3"/>
      <c r="K670" s="17"/>
      <c r="L670" s="16"/>
      <c r="M670" s="3"/>
      <c r="N670" s="3"/>
      <c r="O670" s="2"/>
      <c r="P670" s="3" t="s">
        <v>54</v>
      </c>
      <c r="Q670" s="3"/>
      <c r="R670" s="3"/>
      <c r="S670" s="16"/>
      <c r="T670" s="3"/>
      <c r="U670" s="3"/>
      <c r="V670" s="3"/>
      <c r="W670" s="16"/>
      <c r="X670" s="16"/>
      <c r="Y670" s="3"/>
      <c r="Z670" s="18"/>
      <c r="AA670" s="3"/>
      <c r="AB670" s="16"/>
      <c r="AC670" s="16"/>
      <c r="AD670" s="16"/>
      <c r="AE670" s="9"/>
      <c r="AF670" s="16"/>
      <c r="AG670" s="16"/>
      <c r="AH670" s="16"/>
      <c r="AI670" s="16"/>
      <c r="AJ670" s="16"/>
      <c r="AK670" s="16"/>
      <c r="AL670" s="16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 spans="1:48" hidden="1" x14ac:dyDescent="0.25">
      <c r="A671" s="31"/>
      <c r="B671" s="31"/>
      <c r="C671" s="3"/>
      <c r="D671" s="3"/>
      <c r="E671" s="2"/>
      <c r="F671" s="3"/>
      <c r="G671" s="3"/>
      <c r="H671" s="16"/>
      <c r="I671" s="16"/>
      <c r="J671" s="3"/>
      <c r="K671" s="17"/>
      <c r="L671" s="16"/>
      <c r="M671" s="3"/>
      <c r="N671" s="3"/>
      <c r="O671" s="2"/>
      <c r="P671" s="3" t="s">
        <v>54</v>
      </c>
      <c r="Q671" s="3"/>
      <c r="R671" s="3"/>
      <c r="S671" s="16"/>
      <c r="T671" s="3"/>
      <c r="U671" s="3"/>
      <c r="V671" s="3"/>
      <c r="W671" s="16"/>
      <c r="X671" s="16"/>
      <c r="Y671" s="3"/>
      <c r="Z671" s="18"/>
      <c r="AA671" s="3"/>
      <c r="AB671" s="16"/>
      <c r="AC671" s="16"/>
      <c r="AD671" s="16"/>
      <c r="AE671" s="9"/>
      <c r="AF671" s="16"/>
      <c r="AG671" s="16"/>
      <c r="AH671" s="16"/>
      <c r="AI671" s="16"/>
      <c r="AJ671" s="16"/>
      <c r="AK671" s="16"/>
      <c r="AL671" s="16"/>
      <c r="AM671" s="3"/>
      <c r="AN671" s="3"/>
      <c r="AO671" s="3"/>
      <c r="AP671" s="3"/>
      <c r="AQ671" s="3"/>
      <c r="AR671" s="3"/>
      <c r="AS671" s="3"/>
      <c r="AT671" s="3"/>
      <c r="AU671" s="3"/>
      <c r="AV671" s="3"/>
    </row>
    <row r="672" spans="1:48" hidden="1" x14ac:dyDescent="0.25">
      <c r="A672" s="31"/>
      <c r="B672" s="31"/>
      <c r="C672" s="3"/>
      <c r="D672" s="3"/>
      <c r="E672" s="2"/>
      <c r="F672" s="3"/>
      <c r="G672" s="3"/>
      <c r="H672" s="16"/>
      <c r="I672" s="16"/>
      <c r="J672" s="3"/>
      <c r="K672" s="17"/>
      <c r="L672" s="16"/>
      <c r="M672" s="3"/>
      <c r="N672" s="3"/>
      <c r="O672" s="2"/>
      <c r="P672" s="3" t="s">
        <v>54</v>
      </c>
      <c r="Q672" s="3"/>
      <c r="R672" s="3"/>
      <c r="S672" s="16"/>
      <c r="T672" s="3"/>
      <c r="U672" s="3"/>
      <c r="V672" s="3"/>
      <c r="W672" s="16"/>
      <c r="X672" s="16"/>
      <c r="Y672" s="3"/>
      <c r="Z672" s="18"/>
      <c r="AA672" s="3"/>
      <c r="AB672" s="16"/>
      <c r="AC672" s="16"/>
      <c r="AD672" s="16"/>
      <c r="AE672" s="9"/>
      <c r="AF672" s="16"/>
      <c r="AG672" s="16"/>
      <c r="AH672" s="16"/>
      <c r="AI672" s="16"/>
      <c r="AJ672" s="16"/>
      <c r="AK672" s="16"/>
      <c r="AL672" s="16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 spans="1:48" hidden="1" x14ac:dyDescent="0.25">
      <c r="A673" s="31"/>
      <c r="B673" s="31"/>
      <c r="C673" s="3"/>
      <c r="D673" s="3"/>
      <c r="E673" s="2"/>
      <c r="F673" s="3"/>
      <c r="G673" s="3"/>
      <c r="H673" s="16"/>
      <c r="I673" s="16"/>
      <c r="J673" s="3"/>
      <c r="K673" s="17"/>
      <c r="L673" s="16"/>
      <c r="M673" s="3"/>
      <c r="N673" s="3"/>
      <c r="O673" s="2"/>
      <c r="P673" s="3" t="s">
        <v>54</v>
      </c>
      <c r="Q673" s="3"/>
      <c r="R673" s="3"/>
      <c r="S673" s="16"/>
      <c r="T673" s="3"/>
      <c r="U673" s="3"/>
      <c r="V673" s="3"/>
      <c r="W673" s="16"/>
      <c r="X673" s="16"/>
      <c r="Y673" s="3"/>
      <c r="Z673" s="18"/>
      <c r="AA673" s="3"/>
      <c r="AB673" s="16"/>
      <c r="AC673" s="16"/>
      <c r="AD673" s="16"/>
      <c r="AE673" s="9"/>
      <c r="AF673" s="16"/>
      <c r="AG673" s="16"/>
      <c r="AH673" s="16"/>
      <c r="AI673" s="16"/>
      <c r="AJ673" s="16"/>
      <c r="AK673" s="16"/>
      <c r="AL673" s="16"/>
      <c r="AM673" s="3"/>
      <c r="AN673" s="3"/>
      <c r="AO673" s="3"/>
      <c r="AP673" s="3"/>
      <c r="AQ673" s="3"/>
      <c r="AR673" s="3"/>
      <c r="AS673" s="3"/>
      <c r="AT673" s="3"/>
      <c r="AU673" s="3"/>
      <c r="AV673" s="3"/>
    </row>
    <row r="674" spans="1:48" hidden="1" x14ac:dyDescent="0.25">
      <c r="A674" s="31"/>
      <c r="B674" s="31"/>
      <c r="C674" s="3"/>
      <c r="D674" s="3"/>
      <c r="E674" s="2"/>
      <c r="F674" s="3"/>
      <c r="G674" s="3"/>
      <c r="H674" s="16"/>
      <c r="I674" s="16"/>
      <c r="J674" s="3"/>
      <c r="K674" s="17"/>
      <c r="L674" s="16"/>
      <c r="M674" s="3"/>
      <c r="N674" s="3"/>
      <c r="O674" s="2"/>
      <c r="P674" s="3" t="s">
        <v>54</v>
      </c>
      <c r="Q674" s="3"/>
      <c r="R674" s="3"/>
      <c r="S674" s="16"/>
      <c r="T674" s="3"/>
      <c r="U674" s="3"/>
      <c r="V674" s="3"/>
      <c r="W674" s="16"/>
      <c r="X674" s="16"/>
      <c r="Y674" s="3"/>
      <c r="Z674" s="18"/>
      <c r="AA674" s="3"/>
      <c r="AB674" s="16"/>
      <c r="AC674" s="16"/>
      <c r="AD674" s="16"/>
      <c r="AE674" s="9"/>
      <c r="AF674" s="16"/>
      <c r="AG674" s="16"/>
      <c r="AH674" s="16"/>
      <c r="AI674" s="16"/>
      <c r="AJ674" s="16"/>
      <c r="AK674" s="16"/>
      <c r="AL674" s="16"/>
      <c r="AM674" s="3"/>
      <c r="AN674" s="3"/>
      <c r="AO674" s="3"/>
      <c r="AP674" s="3"/>
      <c r="AQ674" s="3"/>
      <c r="AR674" s="3"/>
      <c r="AS674" s="3"/>
      <c r="AT674" s="3"/>
      <c r="AU674" s="3"/>
      <c r="AV674" s="3"/>
    </row>
    <row r="675" spans="1:48" hidden="1" x14ac:dyDescent="0.25">
      <c r="A675" s="31"/>
      <c r="B675" s="31"/>
      <c r="C675" s="3"/>
      <c r="D675" s="3"/>
      <c r="E675" s="2"/>
      <c r="F675" s="3"/>
      <c r="G675" s="3"/>
      <c r="H675" s="16"/>
      <c r="I675" s="16"/>
      <c r="J675" s="3"/>
      <c r="K675" s="17"/>
      <c r="L675" s="16"/>
      <c r="M675" s="3"/>
      <c r="N675" s="3"/>
      <c r="O675" s="2"/>
      <c r="P675" s="3" t="s">
        <v>54</v>
      </c>
      <c r="Q675" s="3"/>
      <c r="R675" s="3"/>
      <c r="S675" s="16"/>
      <c r="T675" s="3"/>
      <c r="U675" s="3"/>
      <c r="V675" s="3"/>
      <c r="W675" s="16"/>
      <c r="X675" s="16"/>
      <c r="Y675" s="3"/>
      <c r="Z675" s="18"/>
      <c r="AA675" s="3"/>
      <c r="AB675" s="16"/>
      <c r="AC675" s="16"/>
      <c r="AD675" s="16"/>
      <c r="AE675" s="9"/>
      <c r="AF675" s="16"/>
      <c r="AG675" s="16"/>
      <c r="AH675" s="16"/>
      <c r="AI675" s="16"/>
      <c r="AJ675" s="16"/>
      <c r="AK675" s="16"/>
      <c r="AL675" s="16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 spans="1:48" hidden="1" x14ac:dyDescent="0.25">
      <c r="A676" s="31"/>
      <c r="B676" s="31"/>
      <c r="C676" s="3"/>
      <c r="D676" s="3"/>
      <c r="E676" s="2"/>
      <c r="F676" s="3"/>
      <c r="G676" s="3"/>
      <c r="H676" s="16"/>
      <c r="I676" s="16"/>
      <c r="J676" s="3"/>
      <c r="K676" s="17"/>
      <c r="L676" s="16"/>
      <c r="M676" s="3"/>
      <c r="N676" s="3"/>
      <c r="O676" s="2"/>
      <c r="P676" s="3" t="s">
        <v>54</v>
      </c>
      <c r="Q676" s="3"/>
      <c r="R676" s="3"/>
      <c r="S676" s="16"/>
      <c r="T676" s="3"/>
      <c r="U676" s="3"/>
      <c r="V676" s="3"/>
      <c r="W676" s="16"/>
      <c r="X676" s="16"/>
      <c r="Y676" s="3"/>
      <c r="Z676" s="18"/>
      <c r="AA676" s="3"/>
      <c r="AB676" s="16"/>
      <c r="AC676" s="16"/>
      <c r="AD676" s="16"/>
      <c r="AE676" s="9"/>
      <c r="AF676" s="16"/>
      <c r="AG676" s="16"/>
      <c r="AH676" s="16"/>
      <c r="AI676" s="16"/>
      <c r="AJ676" s="16"/>
      <c r="AK676" s="16"/>
      <c r="AL676" s="16"/>
      <c r="AM676" s="3"/>
      <c r="AN676" s="3"/>
      <c r="AO676" s="3"/>
      <c r="AP676" s="3"/>
      <c r="AQ676" s="3"/>
      <c r="AR676" s="3"/>
      <c r="AS676" s="3"/>
      <c r="AT676" s="3"/>
      <c r="AU676" s="3"/>
      <c r="AV676" s="3"/>
    </row>
    <row r="677" spans="1:48" hidden="1" x14ac:dyDescent="0.25">
      <c r="A677" s="31"/>
      <c r="B677" s="31"/>
      <c r="C677" s="3"/>
      <c r="D677" s="3"/>
      <c r="E677" s="2"/>
      <c r="F677" s="3"/>
      <c r="G677" s="3"/>
      <c r="H677" s="16"/>
      <c r="I677" s="16"/>
      <c r="J677" s="3"/>
      <c r="K677" s="17"/>
      <c r="L677" s="16"/>
      <c r="M677" s="3"/>
      <c r="N677" s="3"/>
      <c r="O677" s="2"/>
      <c r="P677" s="3" t="s">
        <v>54</v>
      </c>
      <c r="Q677" s="3"/>
      <c r="R677" s="3"/>
      <c r="S677" s="16"/>
      <c r="T677" s="3"/>
      <c r="U677" s="3"/>
      <c r="V677" s="3"/>
      <c r="W677" s="16"/>
      <c r="X677" s="16"/>
      <c r="Y677" s="3"/>
      <c r="Z677" s="18"/>
      <c r="AA677" s="3"/>
      <c r="AB677" s="16"/>
      <c r="AC677" s="16"/>
      <c r="AD677" s="16"/>
      <c r="AE677" s="9"/>
      <c r="AF677" s="16"/>
      <c r="AG677" s="16"/>
      <c r="AH677" s="16"/>
      <c r="AI677" s="16"/>
      <c r="AJ677" s="16"/>
      <c r="AK677" s="16"/>
      <c r="AL677" s="16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 spans="1:48" hidden="1" x14ac:dyDescent="0.25">
      <c r="A678" s="31"/>
      <c r="B678" s="31"/>
      <c r="C678" s="3"/>
      <c r="D678" s="3"/>
      <c r="E678" s="2"/>
      <c r="F678" s="3"/>
      <c r="G678" s="3"/>
      <c r="H678" s="16"/>
      <c r="I678" s="16"/>
      <c r="J678" s="3"/>
      <c r="K678" s="17"/>
      <c r="L678" s="16"/>
      <c r="M678" s="3"/>
      <c r="N678" s="3"/>
      <c r="O678" s="2"/>
      <c r="P678" s="3" t="s">
        <v>54</v>
      </c>
      <c r="Q678" s="3"/>
      <c r="R678" s="3"/>
      <c r="S678" s="16"/>
      <c r="T678" s="3"/>
      <c r="U678" s="3"/>
      <c r="V678" s="3"/>
      <c r="W678" s="16"/>
      <c r="X678" s="16"/>
      <c r="Y678" s="3"/>
      <c r="Z678" s="18"/>
      <c r="AA678" s="3"/>
      <c r="AB678" s="16"/>
      <c r="AC678" s="16"/>
      <c r="AD678" s="16"/>
      <c r="AE678" s="9"/>
      <c r="AF678" s="16"/>
      <c r="AG678" s="16"/>
      <c r="AH678" s="16"/>
      <c r="AI678" s="16"/>
      <c r="AJ678" s="16"/>
      <c r="AK678" s="16"/>
      <c r="AL678" s="16"/>
      <c r="AM678" s="3"/>
      <c r="AN678" s="3"/>
      <c r="AO678" s="3"/>
      <c r="AP678" s="3"/>
      <c r="AQ678" s="3"/>
      <c r="AR678" s="3"/>
      <c r="AS678" s="3"/>
      <c r="AT678" s="3"/>
      <c r="AU678" s="3"/>
      <c r="AV678" s="3"/>
    </row>
    <row r="679" spans="1:48" hidden="1" x14ac:dyDescent="0.25">
      <c r="A679" s="31"/>
      <c r="B679" s="31"/>
      <c r="C679" s="3"/>
      <c r="D679" s="3"/>
      <c r="E679" s="2"/>
      <c r="F679" s="3"/>
      <c r="G679" s="3"/>
      <c r="H679" s="16"/>
      <c r="I679" s="16"/>
      <c r="J679" s="3"/>
      <c r="K679" s="17"/>
      <c r="L679" s="16"/>
      <c r="M679" s="3"/>
      <c r="N679" s="3"/>
      <c r="O679" s="2"/>
      <c r="P679" s="3" t="s">
        <v>54</v>
      </c>
      <c r="Q679" s="3"/>
      <c r="R679" s="3"/>
      <c r="S679" s="16"/>
      <c r="T679" s="3"/>
      <c r="U679" s="3"/>
      <c r="V679" s="3"/>
      <c r="W679" s="16"/>
      <c r="X679" s="16"/>
      <c r="Y679" s="3"/>
      <c r="Z679" s="18"/>
      <c r="AA679" s="3"/>
      <c r="AB679" s="16"/>
      <c r="AC679" s="16"/>
      <c r="AD679" s="16"/>
      <c r="AE679" s="9"/>
      <c r="AF679" s="16"/>
      <c r="AG679" s="16"/>
      <c r="AH679" s="16"/>
      <c r="AI679" s="16"/>
      <c r="AJ679" s="16"/>
      <c r="AK679" s="16"/>
      <c r="AL679" s="16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 spans="1:48" hidden="1" x14ac:dyDescent="0.25">
      <c r="A680" s="31"/>
      <c r="B680" s="31"/>
      <c r="C680" s="3"/>
      <c r="D680" s="3"/>
      <c r="E680" s="2"/>
      <c r="F680" s="3"/>
      <c r="G680" s="3"/>
      <c r="H680" s="16"/>
      <c r="I680" s="16"/>
      <c r="J680" s="3"/>
      <c r="K680" s="17"/>
      <c r="L680" s="16"/>
      <c r="M680" s="3"/>
      <c r="N680" s="3"/>
      <c r="O680" s="2"/>
      <c r="P680" s="3" t="s">
        <v>54</v>
      </c>
      <c r="Q680" s="3"/>
      <c r="R680" s="3"/>
      <c r="S680" s="16"/>
      <c r="T680" s="3"/>
      <c r="U680" s="3"/>
      <c r="V680" s="3"/>
      <c r="W680" s="16"/>
      <c r="X680" s="16"/>
      <c r="Y680" s="3"/>
      <c r="Z680" s="18"/>
      <c r="AA680" s="3"/>
      <c r="AB680" s="16"/>
      <c r="AC680" s="16"/>
      <c r="AD680" s="16"/>
      <c r="AE680" s="9"/>
      <c r="AF680" s="16"/>
      <c r="AG680" s="16"/>
      <c r="AH680" s="16"/>
      <c r="AI680" s="16"/>
      <c r="AJ680" s="16"/>
      <c r="AK680" s="16"/>
      <c r="AL680" s="16"/>
      <c r="AM680" s="3"/>
      <c r="AN680" s="3"/>
      <c r="AO680" s="3"/>
      <c r="AP680" s="3"/>
      <c r="AQ680" s="3"/>
      <c r="AR680" s="3"/>
      <c r="AS680" s="3"/>
      <c r="AT680" s="3"/>
      <c r="AU680" s="3"/>
      <c r="AV680" s="3"/>
    </row>
    <row r="681" spans="1:48" hidden="1" x14ac:dyDescent="0.25">
      <c r="A681" s="31"/>
      <c r="B681" s="31"/>
      <c r="C681" s="3"/>
      <c r="D681" s="3"/>
      <c r="E681" s="2"/>
      <c r="F681" s="3"/>
      <c r="G681" s="3"/>
      <c r="H681" s="16"/>
      <c r="I681" s="16"/>
      <c r="J681" s="3"/>
      <c r="K681" s="17"/>
      <c r="L681" s="16"/>
      <c r="M681" s="3"/>
      <c r="N681" s="3"/>
      <c r="O681" s="2"/>
      <c r="P681" s="3" t="s">
        <v>54</v>
      </c>
      <c r="Q681" s="3"/>
      <c r="R681" s="3"/>
      <c r="S681" s="16"/>
      <c r="T681" s="3"/>
      <c r="U681" s="3"/>
      <c r="V681" s="3"/>
      <c r="W681" s="16"/>
      <c r="X681" s="16"/>
      <c r="Y681" s="3"/>
      <c r="Z681" s="18"/>
      <c r="AA681" s="3"/>
      <c r="AB681" s="16"/>
      <c r="AC681" s="16"/>
      <c r="AD681" s="16"/>
      <c r="AE681" s="9"/>
      <c r="AF681" s="16"/>
      <c r="AG681" s="16"/>
      <c r="AH681" s="16"/>
      <c r="AI681" s="16"/>
      <c r="AJ681" s="16"/>
      <c r="AK681" s="16"/>
      <c r="AL681" s="16"/>
      <c r="AM681" s="3"/>
      <c r="AN681" s="3"/>
      <c r="AO681" s="3"/>
      <c r="AP681" s="3"/>
      <c r="AQ681" s="3"/>
      <c r="AR681" s="3"/>
      <c r="AS681" s="3"/>
      <c r="AT681" s="3"/>
      <c r="AU681" s="3"/>
      <c r="AV681" s="3"/>
    </row>
    <row r="682" spans="1:48" hidden="1" x14ac:dyDescent="0.25">
      <c r="A682" s="31"/>
      <c r="B682" s="31"/>
      <c r="C682" s="3"/>
      <c r="D682" s="3"/>
      <c r="E682" s="2"/>
      <c r="F682" s="3"/>
      <c r="G682" s="3"/>
      <c r="H682" s="16"/>
      <c r="I682" s="16"/>
      <c r="J682" s="3"/>
      <c r="K682" s="17"/>
      <c r="L682" s="16"/>
      <c r="M682" s="3"/>
      <c r="N682" s="3"/>
      <c r="O682" s="2"/>
      <c r="P682" s="3" t="s">
        <v>54</v>
      </c>
      <c r="Q682" s="3"/>
      <c r="R682" s="3"/>
      <c r="S682" s="16"/>
      <c r="T682" s="3"/>
      <c r="U682" s="3"/>
      <c r="V682" s="3"/>
      <c r="W682" s="16"/>
      <c r="X682" s="16"/>
      <c r="Y682" s="3"/>
      <c r="Z682" s="18"/>
      <c r="AA682" s="3"/>
      <c r="AB682" s="16"/>
      <c r="AC682" s="16"/>
      <c r="AD682" s="16"/>
      <c r="AE682" s="9"/>
      <c r="AF682" s="16"/>
      <c r="AG682" s="16"/>
      <c r="AH682" s="16"/>
      <c r="AI682" s="16"/>
      <c r="AJ682" s="16"/>
      <c r="AK682" s="16"/>
      <c r="AL682" s="16"/>
      <c r="AM682" s="3"/>
      <c r="AN682" s="3"/>
      <c r="AO682" s="3"/>
      <c r="AP682" s="3"/>
      <c r="AQ682" s="3"/>
      <c r="AR682" s="3"/>
      <c r="AS682" s="3"/>
      <c r="AT682" s="3"/>
      <c r="AU682" s="3"/>
      <c r="AV682" s="3"/>
    </row>
    <row r="683" spans="1:48" hidden="1" x14ac:dyDescent="0.25">
      <c r="A683" s="31"/>
      <c r="B683" s="31"/>
      <c r="C683" s="3"/>
      <c r="D683" s="3"/>
      <c r="E683" s="2"/>
      <c r="F683" s="3"/>
      <c r="G683" s="3"/>
      <c r="H683" s="16"/>
      <c r="I683" s="16"/>
      <c r="J683" s="3"/>
      <c r="K683" s="17"/>
      <c r="L683" s="16"/>
      <c r="M683" s="3"/>
      <c r="N683" s="3"/>
      <c r="O683" s="2"/>
      <c r="P683" s="3" t="s">
        <v>54</v>
      </c>
      <c r="Q683" s="3"/>
      <c r="R683" s="3"/>
      <c r="S683" s="16"/>
      <c r="T683" s="3"/>
      <c r="U683" s="3"/>
      <c r="V683" s="3"/>
      <c r="W683" s="16"/>
      <c r="X683" s="16"/>
      <c r="Y683" s="3"/>
      <c r="Z683" s="18"/>
      <c r="AA683" s="3"/>
      <c r="AB683" s="16"/>
      <c r="AC683" s="16"/>
      <c r="AD683" s="16"/>
      <c r="AE683" s="9"/>
      <c r="AF683" s="16"/>
      <c r="AG683" s="16"/>
      <c r="AH683" s="16"/>
      <c r="AI683" s="16"/>
      <c r="AJ683" s="16"/>
      <c r="AK683" s="16"/>
      <c r="AL683" s="16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 spans="1:48" hidden="1" x14ac:dyDescent="0.25">
      <c r="A684" s="31"/>
      <c r="B684" s="31"/>
      <c r="C684" s="3"/>
      <c r="D684" s="3"/>
      <c r="E684" s="2"/>
      <c r="F684" s="3"/>
      <c r="G684" s="3"/>
      <c r="H684" s="16"/>
      <c r="I684" s="16"/>
      <c r="J684" s="3"/>
      <c r="K684" s="17"/>
      <c r="L684" s="16"/>
      <c r="M684" s="3"/>
      <c r="N684" s="3"/>
      <c r="O684" s="2"/>
      <c r="P684" s="3" t="s">
        <v>54</v>
      </c>
      <c r="Q684" s="3"/>
      <c r="R684" s="3"/>
      <c r="S684" s="16"/>
      <c r="T684" s="3"/>
      <c r="U684" s="3"/>
      <c r="V684" s="3"/>
      <c r="W684" s="16"/>
      <c r="X684" s="16"/>
      <c r="Y684" s="3"/>
      <c r="Z684" s="18"/>
      <c r="AA684" s="3"/>
      <c r="AB684" s="16"/>
      <c r="AC684" s="16"/>
      <c r="AD684" s="16"/>
      <c r="AE684" s="9"/>
      <c r="AF684" s="16"/>
      <c r="AG684" s="16"/>
      <c r="AH684" s="16"/>
      <c r="AI684" s="16"/>
      <c r="AJ684" s="16"/>
      <c r="AK684" s="16"/>
      <c r="AL684" s="16"/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 spans="1:48" hidden="1" x14ac:dyDescent="0.25">
      <c r="A685" s="31"/>
      <c r="B685" s="31"/>
      <c r="C685" s="3"/>
      <c r="D685" s="3"/>
      <c r="E685" s="2"/>
      <c r="F685" s="3"/>
      <c r="G685" s="3"/>
      <c r="H685" s="16"/>
      <c r="I685" s="16"/>
      <c r="J685" s="3"/>
      <c r="K685" s="17"/>
      <c r="L685" s="16"/>
      <c r="M685" s="3"/>
      <c r="N685" s="3"/>
      <c r="O685" s="2"/>
      <c r="P685" s="3" t="s">
        <v>54</v>
      </c>
      <c r="Q685" s="3"/>
      <c r="R685" s="3"/>
      <c r="S685" s="16"/>
      <c r="T685" s="3"/>
      <c r="U685" s="3"/>
      <c r="V685" s="3"/>
      <c r="W685" s="16"/>
      <c r="X685" s="16"/>
      <c r="Y685" s="3"/>
      <c r="Z685" s="18"/>
      <c r="AA685" s="3"/>
      <c r="AB685" s="16"/>
      <c r="AC685" s="16"/>
      <c r="AD685" s="16"/>
      <c r="AE685" s="9"/>
      <c r="AF685" s="16"/>
      <c r="AG685" s="16"/>
      <c r="AH685" s="16"/>
      <c r="AI685" s="16"/>
      <c r="AJ685" s="16"/>
      <c r="AK685" s="16"/>
      <c r="AL685" s="16"/>
      <c r="AM685" s="3"/>
      <c r="AN685" s="3"/>
      <c r="AO685" s="3"/>
      <c r="AP685" s="3"/>
      <c r="AQ685" s="3"/>
      <c r="AR685" s="3"/>
      <c r="AS685" s="3"/>
      <c r="AT685" s="3"/>
      <c r="AU685" s="3"/>
      <c r="AV685" s="3"/>
    </row>
    <row r="686" spans="1:48" hidden="1" x14ac:dyDescent="0.25">
      <c r="A686" s="31"/>
      <c r="B686" s="31"/>
      <c r="C686" s="3"/>
      <c r="D686" s="3"/>
      <c r="E686" s="2"/>
      <c r="F686" s="3"/>
      <c r="G686" s="3"/>
      <c r="H686" s="16"/>
      <c r="I686" s="16"/>
      <c r="J686" s="3"/>
      <c r="K686" s="17"/>
      <c r="L686" s="16"/>
      <c r="M686" s="3"/>
      <c r="N686" s="3"/>
      <c r="O686" s="2"/>
      <c r="P686" s="3" t="s">
        <v>54</v>
      </c>
      <c r="Q686" s="3"/>
      <c r="R686" s="3"/>
      <c r="S686" s="16"/>
      <c r="T686" s="3"/>
      <c r="U686" s="3"/>
      <c r="V686" s="3"/>
      <c r="W686" s="16"/>
      <c r="X686" s="16"/>
      <c r="Y686" s="3"/>
      <c r="Z686" s="18"/>
      <c r="AA686" s="3"/>
      <c r="AB686" s="16"/>
      <c r="AC686" s="16"/>
      <c r="AD686" s="16"/>
      <c r="AE686" s="9"/>
      <c r="AF686" s="16"/>
      <c r="AG686" s="16"/>
      <c r="AH686" s="16"/>
      <c r="AI686" s="16"/>
      <c r="AJ686" s="16"/>
      <c r="AK686" s="16"/>
      <c r="AL686" s="16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 spans="1:48" hidden="1" x14ac:dyDescent="0.25">
      <c r="A687" s="31"/>
      <c r="B687" s="31"/>
      <c r="C687" s="3"/>
      <c r="D687" s="3"/>
      <c r="E687" s="2"/>
      <c r="F687" s="3"/>
      <c r="G687" s="3"/>
      <c r="H687" s="16"/>
      <c r="I687" s="16"/>
      <c r="J687" s="3"/>
      <c r="K687" s="17"/>
      <c r="L687" s="16"/>
      <c r="M687" s="3"/>
      <c r="N687" s="3"/>
      <c r="O687" s="2"/>
      <c r="P687" s="3" t="s">
        <v>54</v>
      </c>
      <c r="Q687" s="3"/>
      <c r="R687" s="3"/>
      <c r="S687" s="16"/>
      <c r="T687" s="3"/>
      <c r="U687" s="3"/>
      <c r="V687" s="3"/>
      <c r="W687" s="16"/>
      <c r="X687" s="16"/>
      <c r="Y687" s="3"/>
      <c r="Z687" s="18"/>
      <c r="AA687" s="3"/>
      <c r="AB687" s="16"/>
      <c r="AC687" s="16"/>
      <c r="AD687" s="16"/>
      <c r="AE687" s="9"/>
      <c r="AF687" s="16"/>
      <c r="AG687" s="16"/>
      <c r="AH687" s="16"/>
      <c r="AI687" s="16"/>
      <c r="AJ687" s="16"/>
      <c r="AK687" s="16"/>
      <c r="AL687" s="16"/>
      <c r="AM687" s="3"/>
      <c r="AN687" s="3"/>
      <c r="AO687" s="3"/>
      <c r="AP687" s="3"/>
      <c r="AQ687" s="3"/>
      <c r="AR687" s="3"/>
      <c r="AS687" s="3"/>
      <c r="AT687" s="3"/>
      <c r="AU687" s="3"/>
      <c r="AV687" s="3"/>
    </row>
    <row r="688" spans="1:48" hidden="1" x14ac:dyDescent="0.25">
      <c r="A688" s="31"/>
      <c r="B688" s="31"/>
      <c r="C688" s="3"/>
      <c r="D688" s="3"/>
      <c r="E688" s="2"/>
      <c r="F688" s="3"/>
      <c r="G688" s="3"/>
      <c r="H688" s="16"/>
      <c r="I688" s="16"/>
      <c r="J688" s="3"/>
      <c r="K688" s="17"/>
      <c r="L688" s="16"/>
      <c r="M688" s="3"/>
      <c r="N688" s="3"/>
      <c r="O688" s="2"/>
      <c r="P688" s="3" t="s">
        <v>54</v>
      </c>
      <c r="Q688" s="3"/>
      <c r="R688" s="3"/>
      <c r="S688" s="16"/>
      <c r="T688" s="3"/>
      <c r="U688" s="3"/>
      <c r="V688" s="3"/>
      <c r="W688" s="16"/>
      <c r="X688" s="16"/>
      <c r="Y688" s="3"/>
      <c r="Z688" s="18"/>
      <c r="AA688" s="3"/>
      <c r="AB688" s="16"/>
      <c r="AC688" s="16"/>
      <c r="AD688" s="16"/>
      <c r="AE688" s="9"/>
      <c r="AF688" s="16"/>
      <c r="AG688" s="16"/>
      <c r="AH688" s="16"/>
      <c r="AI688" s="16"/>
      <c r="AJ688" s="16"/>
      <c r="AK688" s="16"/>
      <c r="AL688" s="16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 spans="1:48" hidden="1" x14ac:dyDescent="0.25">
      <c r="A689" s="31"/>
      <c r="B689" s="31"/>
      <c r="C689" s="3"/>
      <c r="D689" s="3"/>
      <c r="E689" s="2"/>
      <c r="F689" s="3"/>
      <c r="G689" s="3"/>
      <c r="H689" s="16"/>
      <c r="I689" s="16"/>
      <c r="J689" s="3"/>
      <c r="K689" s="17"/>
      <c r="L689" s="16"/>
      <c r="M689" s="3"/>
      <c r="N689" s="3"/>
      <c r="O689" s="2"/>
      <c r="P689" s="3" t="s">
        <v>54</v>
      </c>
      <c r="Q689" s="3"/>
      <c r="R689" s="3"/>
      <c r="S689" s="16"/>
      <c r="T689" s="3"/>
      <c r="U689" s="3"/>
      <c r="V689" s="3"/>
      <c r="W689" s="16"/>
      <c r="X689" s="16"/>
      <c r="Y689" s="3"/>
      <c r="Z689" s="18"/>
      <c r="AA689" s="3"/>
      <c r="AB689" s="16"/>
      <c r="AC689" s="16"/>
      <c r="AD689" s="16"/>
      <c r="AE689" s="9"/>
      <c r="AF689" s="16"/>
      <c r="AG689" s="16"/>
      <c r="AH689" s="16"/>
      <c r="AI689" s="16"/>
      <c r="AJ689" s="16"/>
      <c r="AK689" s="16"/>
      <c r="AL689" s="16"/>
      <c r="AM689" s="3"/>
      <c r="AN689" s="3"/>
      <c r="AO689" s="3"/>
      <c r="AP689" s="3"/>
      <c r="AQ689" s="3"/>
      <c r="AR689" s="3"/>
      <c r="AS689" s="3"/>
      <c r="AT689" s="3"/>
      <c r="AU689" s="3"/>
      <c r="AV689" s="3"/>
    </row>
    <row r="690" spans="1:48" hidden="1" x14ac:dyDescent="0.25">
      <c r="A690" s="31"/>
      <c r="B690" s="31"/>
      <c r="C690" s="3"/>
      <c r="D690" s="3"/>
      <c r="E690" s="2"/>
      <c r="F690" s="3"/>
      <c r="G690" s="3"/>
      <c r="H690" s="16"/>
      <c r="I690" s="16"/>
      <c r="J690" s="3"/>
      <c r="K690" s="17"/>
      <c r="L690" s="16"/>
      <c r="M690" s="3"/>
      <c r="N690" s="3"/>
      <c r="O690" s="2"/>
      <c r="P690" s="3" t="s">
        <v>54</v>
      </c>
      <c r="Q690" s="3"/>
      <c r="R690" s="3"/>
      <c r="S690" s="16"/>
      <c r="T690" s="3"/>
      <c r="U690" s="3"/>
      <c r="V690" s="3"/>
      <c r="W690" s="16"/>
      <c r="X690" s="16"/>
      <c r="Y690" s="3"/>
      <c r="Z690" s="18"/>
      <c r="AA690" s="3"/>
      <c r="AB690" s="16"/>
      <c r="AC690" s="16"/>
      <c r="AD690" s="16"/>
      <c r="AE690" s="9"/>
      <c r="AF690" s="16"/>
      <c r="AG690" s="16"/>
      <c r="AH690" s="16"/>
      <c r="AI690" s="16"/>
      <c r="AJ690" s="16"/>
      <c r="AK690" s="16"/>
      <c r="AL690" s="16"/>
      <c r="AM690" s="3"/>
      <c r="AN690" s="3"/>
      <c r="AO690" s="3"/>
      <c r="AP690" s="3"/>
      <c r="AQ690" s="3"/>
      <c r="AR690" s="3"/>
      <c r="AS690" s="3"/>
      <c r="AT690" s="3"/>
      <c r="AU690" s="3"/>
      <c r="AV690" s="3"/>
    </row>
    <row r="691" spans="1:48" hidden="1" x14ac:dyDescent="0.25">
      <c r="A691" s="31"/>
      <c r="B691" s="31"/>
      <c r="C691" s="3"/>
      <c r="D691" s="3"/>
      <c r="E691" s="2"/>
      <c r="F691" s="3"/>
      <c r="G691" s="3"/>
      <c r="H691" s="16"/>
      <c r="I691" s="16"/>
      <c r="J691" s="3"/>
      <c r="K691" s="17"/>
      <c r="L691" s="16"/>
      <c r="M691" s="3"/>
      <c r="N691" s="3"/>
      <c r="O691" s="2"/>
      <c r="P691" s="3" t="s">
        <v>54</v>
      </c>
      <c r="Q691" s="3"/>
      <c r="R691" s="3"/>
      <c r="S691" s="16"/>
      <c r="T691" s="3"/>
      <c r="U691" s="3"/>
      <c r="V691" s="3"/>
      <c r="W691" s="16"/>
      <c r="X691" s="16"/>
      <c r="Y691" s="3"/>
      <c r="Z691" s="18"/>
      <c r="AA691" s="3"/>
      <c r="AB691" s="16"/>
      <c r="AC691" s="16"/>
      <c r="AD691" s="16"/>
      <c r="AE691" s="9"/>
      <c r="AF691" s="16"/>
      <c r="AG691" s="16"/>
      <c r="AH691" s="16"/>
      <c r="AI691" s="16"/>
      <c r="AJ691" s="16"/>
      <c r="AK691" s="16"/>
      <c r="AL691" s="16"/>
      <c r="AM691" s="3"/>
      <c r="AN691" s="3"/>
      <c r="AO691" s="3"/>
      <c r="AP691" s="3"/>
      <c r="AQ691" s="3"/>
      <c r="AR691" s="3"/>
      <c r="AS691" s="3"/>
      <c r="AT691" s="3"/>
      <c r="AU691" s="3"/>
      <c r="AV691" s="3"/>
    </row>
    <row r="692" spans="1:48" hidden="1" x14ac:dyDescent="0.25">
      <c r="A692" s="31"/>
      <c r="B692" s="31"/>
      <c r="C692" s="3"/>
      <c r="D692" s="3"/>
      <c r="E692" s="2"/>
      <c r="F692" s="3"/>
      <c r="G692" s="3"/>
      <c r="H692" s="16"/>
      <c r="I692" s="16"/>
      <c r="J692" s="3"/>
      <c r="K692" s="17"/>
      <c r="L692" s="16"/>
      <c r="M692" s="3"/>
      <c r="N692" s="3"/>
      <c r="O692" s="2"/>
      <c r="P692" s="3" t="s">
        <v>54</v>
      </c>
      <c r="Q692" s="3"/>
      <c r="R692" s="3"/>
      <c r="S692" s="16"/>
      <c r="T692" s="3"/>
      <c r="U692" s="3"/>
      <c r="V692" s="3"/>
      <c r="W692" s="16"/>
      <c r="X692" s="16"/>
      <c r="Y692" s="3"/>
      <c r="Z692" s="18"/>
      <c r="AA692" s="3"/>
      <c r="AB692" s="16"/>
      <c r="AC692" s="16"/>
      <c r="AD692" s="16"/>
      <c r="AE692" s="9"/>
      <c r="AF692" s="16"/>
      <c r="AG692" s="16"/>
      <c r="AH692" s="16"/>
      <c r="AI692" s="16"/>
      <c r="AJ692" s="16"/>
      <c r="AK692" s="16"/>
      <c r="AL692" s="16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 spans="1:48" hidden="1" x14ac:dyDescent="0.25">
      <c r="A693" s="31"/>
      <c r="B693" s="31"/>
      <c r="C693" s="3"/>
      <c r="D693" s="3"/>
      <c r="E693" s="2"/>
      <c r="F693" s="3"/>
      <c r="G693" s="3"/>
      <c r="H693" s="16"/>
      <c r="I693" s="16"/>
      <c r="J693" s="3"/>
      <c r="K693" s="17"/>
      <c r="L693" s="16"/>
      <c r="M693" s="3"/>
      <c r="N693" s="3"/>
      <c r="O693" s="2"/>
      <c r="P693" s="3" t="s">
        <v>54</v>
      </c>
      <c r="Q693" s="3"/>
      <c r="R693" s="3"/>
      <c r="S693" s="16"/>
      <c r="T693" s="3"/>
      <c r="U693" s="3"/>
      <c r="V693" s="3"/>
      <c r="W693" s="16"/>
      <c r="X693" s="16"/>
      <c r="Y693" s="3"/>
      <c r="Z693" s="18"/>
      <c r="AA693" s="3"/>
      <c r="AB693" s="16"/>
      <c r="AC693" s="16"/>
      <c r="AD693" s="16"/>
      <c r="AE693" s="9"/>
      <c r="AF693" s="16"/>
      <c r="AG693" s="16"/>
      <c r="AH693" s="16"/>
      <c r="AI693" s="16"/>
      <c r="AJ693" s="16"/>
      <c r="AK693" s="16"/>
      <c r="AL693" s="16"/>
      <c r="AM693" s="3"/>
      <c r="AN693" s="3"/>
      <c r="AO693" s="3"/>
      <c r="AP693" s="3"/>
      <c r="AQ693" s="3"/>
      <c r="AR693" s="3"/>
      <c r="AS693" s="3"/>
      <c r="AT693" s="3"/>
      <c r="AU693" s="3"/>
      <c r="AV693" s="3"/>
    </row>
    <row r="694" spans="1:48" hidden="1" x14ac:dyDescent="0.25">
      <c r="A694" s="31"/>
      <c r="B694" s="31"/>
      <c r="C694" s="3"/>
      <c r="D694" s="3"/>
      <c r="E694" s="2"/>
      <c r="F694" s="3"/>
      <c r="G694" s="3"/>
      <c r="H694" s="16"/>
      <c r="I694" s="16"/>
      <c r="J694" s="3"/>
      <c r="K694" s="17"/>
      <c r="L694" s="16"/>
      <c r="M694" s="3"/>
      <c r="N694" s="3"/>
      <c r="O694" s="2"/>
      <c r="P694" s="3" t="s">
        <v>54</v>
      </c>
      <c r="Q694" s="3"/>
      <c r="R694" s="3"/>
      <c r="S694" s="16"/>
      <c r="T694" s="3"/>
      <c r="U694" s="3"/>
      <c r="V694" s="3"/>
      <c r="W694" s="16"/>
      <c r="X694" s="16"/>
      <c r="Y694" s="3"/>
      <c r="Z694" s="18"/>
      <c r="AA694" s="3"/>
      <c r="AB694" s="16"/>
      <c r="AC694" s="16"/>
      <c r="AD694" s="16"/>
      <c r="AE694" s="9"/>
      <c r="AF694" s="16"/>
      <c r="AG694" s="16"/>
      <c r="AH694" s="16"/>
      <c r="AI694" s="16"/>
      <c r="AJ694" s="16"/>
      <c r="AK694" s="16"/>
      <c r="AL694" s="16"/>
      <c r="AM694" s="3"/>
      <c r="AN694" s="3"/>
      <c r="AO694" s="3"/>
      <c r="AP694" s="3"/>
      <c r="AQ694" s="3"/>
      <c r="AR694" s="3"/>
      <c r="AS694" s="3"/>
      <c r="AT694" s="3"/>
      <c r="AU694" s="3"/>
      <c r="AV694" s="3"/>
    </row>
    <row r="695" spans="1:48" hidden="1" x14ac:dyDescent="0.25">
      <c r="A695" s="31"/>
      <c r="B695" s="31"/>
      <c r="C695" s="3"/>
      <c r="D695" s="3"/>
      <c r="E695" s="2"/>
      <c r="F695" s="3"/>
      <c r="G695" s="3"/>
      <c r="H695" s="16"/>
      <c r="I695" s="16"/>
      <c r="J695" s="3"/>
      <c r="K695" s="17"/>
      <c r="L695" s="16"/>
      <c r="M695" s="3"/>
      <c r="N695" s="3"/>
      <c r="O695" s="2"/>
      <c r="P695" s="3" t="s">
        <v>54</v>
      </c>
      <c r="Q695" s="3"/>
      <c r="R695" s="3"/>
      <c r="S695" s="16"/>
      <c r="T695" s="3"/>
      <c r="U695" s="3"/>
      <c r="V695" s="3"/>
      <c r="W695" s="16"/>
      <c r="X695" s="16"/>
      <c r="Y695" s="3"/>
      <c r="Z695" s="18"/>
      <c r="AA695" s="3"/>
      <c r="AB695" s="16"/>
      <c r="AC695" s="16"/>
      <c r="AD695" s="16"/>
      <c r="AE695" s="9"/>
      <c r="AF695" s="16"/>
      <c r="AG695" s="16"/>
      <c r="AH695" s="16"/>
      <c r="AI695" s="16"/>
      <c r="AJ695" s="16"/>
      <c r="AK695" s="16"/>
      <c r="AL695" s="16"/>
      <c r="AM695" s="3"/>
      <c r="AN695" s="3"/>
      <c r="AO695" s="3"/>
      <c r="AP695" s="3"/>
      <c r="AQ695" s="3"/>
      <c r="AR695" s="3"/>
      <c r="AS695" s="3"/>
      <c r="AT695" s="3"/>
      <c r="AU695" s="3"/>
      <c r="AV695" s="3"/>
    </row>
    <row r="696" spans="1:48" hidden="1" x14ac:dyDescent="0.25">
      <c r="A696" s="31"/>
      <c r="B696" s="31"/>
      <c r="C696" s="3"/>
      <c r="D696" s="3"/>
      <c r="E696" s="2"/>
      <c r="F696" s="3"/>
      <c r="G696" s="3"/>
      <c r="H696" s="16"/>
      <c r="I696" s="16"/>
      <c r="J696" s="3"/>
      <c r="K696" s="17"/>
      <c r="L696" s="16"/>
      <c r="M696" s="3"/>
      <c r="N696" s="3"/>
      <c r="O696" s="2"/>
      <c r="P696" s="3" t="s">
        <v>54</v>
      </c>
      <c r="Q696" s="3"/>
      <c r="R696" s="3"/>
      <c r="S696" s="16"/>
      <c r="T696" s="3"/>
      <c r="U696" s="3"/>
      <c r="V696" s="3"/>
      <c r="W696" s="16"/>
      <c r="X696" s="16"/>
      <c r="Y696" s="3"/>
      <c r="Z696" s="18"/>
      <c r="AA696" s="3"/>
      <c r="AB696" s="16"/>
      <c r="AC696" s="16"/>
      <c r="AD696" s="16"/>
      <c r="AE696" s="9"/>
      <c r="AF696" s="16"/>
      <c r="AG696" s="16"/>
      <c r="AH696" s="16"/>
      <c r="AI696" s="16"/>
      <c r="AJ696" s="16"/>
      <c r="AK696" s="16"/>
      <c r="AL696" s="16"/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 spans="1:48" hidden="1" x14ac:dyDescent="0.25">
      <c r="A697" s="31"/>
      <c r="B697" s="31"/>
      <c r="C697" s="3"/>
      <c r="D697" s="3"/>
      <c r="E697" s="2"/>
      <c r="F697" s="3"/>
      <c r="G697" s="3"/>
      <c r="H697" s="16"/>
      <c r="I697" s="16"/>
      <c r="J697" s="3"/>
      <c r="K697" s="17"/>
      <c r="L697" s="16"/>
      <c r="M697" s="3"/>
      <c r="N697" s="3"/>
      <c r="O697" s="2"/>
      <c r="P697" s="3" t="s">
        <v>54</v>
      </c>
      <c r="Q697" s="3"/>
      <c r="R697" s="3"/>
      <c r="S697" s="16"/>
      <c r="T697" s="3"/>
      <c r="U697" s="3"/>
      <c r="V697" s="3"/>
      <c r="W697" s="16"/>
      <c r="X697" s="16"/>
      <c r="Y697" s="3"/>
      <c r="Z697" s="18"/>
      <c r="AA697" s="3"/>
      <c r="AB697" s="16"/>
      <c r="AC697" s="16"/>
      <c r="AD697" s="16"/>
      <c r="AE697" s="9"/>
      <c r="AF697" s="16"/>
      <c r="AG697" s="16"/>
      <c r="AH697" s="16"/>
      <c r="AI697" s="16"/>
      <c r="AJ697" s="16"/>
      <c r="AK697" s="16"/>
      <c r="AL697" s="16"/>
      <c r="AM697" s="3"/>
      <c r="AN697" s="3"/>
      <c r="AO697" s="3"/>
      <c r="AP697" s="3"/>
      <c r="AQ697" s="3"/>
      <c r="AR697" s="3"/>
      <c r="AS697" s="3"/>
      <c r="AT697" s="3"/>
      <c r="AU697" s="3"/>
      <c r="AV697" s="3"/>
    </row>
    <row r="698" spans="1:48" hidden="1" x14ac:dyDescent="0.25">
      <c r="A698" s="31"/>
      <c r="B698" s="31"/>
      <c r="C698" s="3"/>
      <c r="D698" s="3"/>
      <c r="E698" s="2"/>
      <c r="F698" s="3"/>
      <c r="G698" s="3"/>
      <c r="H698" s="16"/>
      <c r="I698" s="16"/>
      <c r="J698" s="3"/>
      <c r="K698" s="17"/>
      <c r="L698" s="16"/>
      <c r="M698" s="3"/>
      <c r="N698" s="3"/>
      <c r="O698" s="2"/>
      <c r="P698" s="3" t="s">
        <v>54</v>
      </c>
      <c r="Q698" s="3"/>
      <c r="R698" s="3"/>
      <c r="S698" s="16"/>
      <c r="T698" s="3"/>
      <c r="U698" s="3"/>
      <c r="V698" s="3"/>
      <c r="W698" s="16"/>
      <c r="X698" s="16"/>
      <c r="Y698" s="3"/>
      <c r="Z698" s="18"/>
      <c r="AA698" s="3"/>
      <c r="AB698" s="16"/>
      <c r="AC698" s="16"/>
      <c r="AD698" s="16"/>
      <c r="AE698" s="9"/>
      <c r="AF698" s="16"/>
      <c r="AG698" s="16"/>
      <c r="AH698" s="16"/>
      <c r="AI698" s="16"/>
      <c r="AJ698" s="16"/>
      <c r="AK698" s="16"/>
      <c r="AL698" s="16"/>
      <c r="AM698" s="3"/>
      <c r="AN698" s="3"/>
      <c r="AO698" s="3"/>
      <c r="AP698" s="3"/>
      <c r="AQ698" s="3"/>
      <c r="AR698" s="3"/>
      <c r="AS698" s="3"/>
      <c r="AT698" s="3"/>
      <c r="AU698" s="3"/>
      <c r="AV698" s="3"/>
    </row>
    <row r="699" spans="1:48" hidden="1" x14ac:dyDescent="0.25">
      <c r="A699" s="31"/>
      <c r="B699" s="31"/>
      <c r="C699" s="3"/>
      <c r="D699" s="3"/>
      <c r="E699" s="2"/>
      <c r="F699" s="3"/>
      <c r="G699" s="3"/>
      <c r="H699" s="16"/>
      <c r="I699" s="16"/>
      <c r="J699" s="3"/>
      <c r="K699" s="17"/>
      <c r="L699" s="16"/>
      <c r="M699" s="3"/>
      <c r="N699" s="3"/>
      <c r="O699" s="2"/>
      <c r="P699" s="3" t="s">
        <v>54</v>
      </c>
      <c r="Q699" s="3"/>
      <c r="R699" s="3"/>
      <c r="S699" s="16"/>
      <c r="T699" s="3"/>
      <c r="U699" s="3"/>
      <c r="V699" s="3"/>
      <c r="W699" s="16"/>
      <c r="X699" s="16"/>
      <c r="Y699" s="3"/>
      <c r="Z699" s="18"/>
      <c r="AA699" s="3"/>
      <c r="AB699" s="16"/>
      <c r="AC699" s="16"/>
      <c r="AD699" s="16"/>
      <c r="AE699" s="9"/>
      <c r="AF699" s="16"/>
      <c r="AG699" s="16"/>
      <c r="AH699" s="16"/>
      <c r="AI699" s="16"/>
      <c r="AJ699" s="16"/>
      <c r="AK699" s="16"/>
      <c r="AL699" s="16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 spans="1:48" hidden="1" x14ac:dyDescent="0.25">
      <c r="A700" s="31"/>
      <c r="B700" s="31"/>
      <c r="C700" s="3"/>
      <c r="D700" s="3"/>
      <c r="E700" s="2"/>
      <c r="F700" s="3"/>
      <c r="G700" s="3"/>
      <c r="H700" s="16"/>
      <c r="I700" s="16"/>
      <c r="J700" s="3"/>
      <c r="K700" s="17"/>
      <c r="L700" s="16"/>
      <c r="M700" s="3"/>
      <c r="N700" s="3"/>
      <c r="O700" s="2"/>
      <c r="P700" s="3" t="s">
        <v>54</v>
      </c>
      <c r="Q700" s="3"/>
      <c r="R700" s="3"/>
      <c r="S700" s="16"/>
      <c r="T700" s="3"/>
      <c r="U700" s="3"/>
      <c r="V700" s="3"/>
      <c r="W700" s="16"/>
      <c r="X700" s="16"/>
      <c r="Y700" s="3"/>
      <c r="Z700" s="18"/>
      <c r="AA700" s="3"/>
      <c r="AB700" s="16"/>
      <c r="AC700" s="16"/>
      <c r="AD700" s="16"/>
      <c r="AE700" s="9"/>
      <c r="AF700" s="16"/>
      <c r="AG700" s="16"/>
      <c r="AH700" s="16"/>
      <c r="AI700" s="16"/>
      <c r="AJ700" s="16"/>
      <c r="AK700" s="16"/>
      <c r="AL700" s="16"/>
      <c r="AM700" s="3"/>
      <c r="AN700" s="3"/>
      <c r="AO700" s="3"/>
      <c r="AP700" s="3"/>
      <c r="AQ700" s="3"/>
      <c r="AR700" s="3"/>
      <c r="AS700" s="3"/>
      <c r="AT700" s="3"/>
      <c r="AU700" s="3"/>
      <c r="AV700" s="3"/>
    </row>
    <row r="701" spans="1:48" hidden="1" x14ac:dyDescent="0.25">
      <c r="A701" s="31"/>
      <c r="B701" s="31"/>
      <c r="C701" s="3"/>
      <c r="D701" s="3"/>
      <c r="E701" s="2"/>
      <c r="F701" s="3"/>
      <c r="G701" s="3"/>
      <c r="H701" s="16"/>
      <c r="I701" s="16"/>
      <c r="J701" s="3"/>
      <c r="K701" s="17"/>
      <c r="L701" s="16"/>
      <c r="M701" s="3"/>
      <c r="N701" s="3"/>
      <c r="O701" s="2"/>
      <c r="P701" s="3" t="s">
        <v>54</v>
      </c>
      <c r="Q701" s="3"/>
      <c r="R701" s="3"/>
      <c r="S701" s="16"/>
      <c r="T701" s="3"/>
      <c r="U701" s="3"/>
      <c r="V701" s="3"/>
      <c r="W701" s="16"/>
      <c r="X701" s="16"/>
      <c r="Y701" s="3"/>
      <c r="Z701" s="18"/>
      <c r="AA701" s="3"/>
      <c r="AB701" s="16"/>
      <c r="AC701" s="16"/>
      <c r="AD701" s="16"/>
      <c r="AE701" s="9"/>
      <c r="AF701" s="16"/>
      <c r="AG701" s="16"/>
      <c r="AH701" s="16"/>
      <c r="AI701" s="16"/>
      <c r="AJ701" s="16"/>
      <c r="AK701" s="16"/>
      <c r="AL701" s="16"/>
      <c r="AM701" s="3"/>
      <c r="AN701" s="3"/>
      <c r="AO701" s="3"/>
      <c r="AP701" s="3"/>
      <c r="AQ701" s="3"/>
      <c r="AR701" s="3"/>
      <c r="AS701" s="3"/>
      <c r="AT701" s="3"/>
      <c r="AU701" s="3"/>
      <c r="AV701" s="3"/>
    </row>
    <row r="702" spans="1:48" hidden="1" x14ac:dyDescent="0.25">
      <c r="A702" s="31"/>
      <c r="B702" s="31"/>
      <c r="C702" s="3"/>
      <c r="D702" s="3"/>
      <c r="E702" s="2"/>
      <c r="F702" s="3"/>
      <c r="G702" s="3"/>
      <c r="H702" s="16"/>
      <c r="I702" s="16"/>
      <c r="J702" s="3"/>
      <c r="K702" s="17"/>
      <c r="L702" s="16"/>
      <c r="M702" s="3"/>
      <c r="N702" s="3"/>
      <c r="O702" s="2"/>
      <c r="P702" s="3" t="s">
        <v>54</v>
      </c>
      <c r="Q702" s="3"/>
      <c r="R702" s="3"/>
      <c r="S702" s="16"/>
      <c r="T702" s="3"/>
      <c r="U702" s="3"/>
      <c r="V702" s="3"/>
      <c r="W702" s="16"/>
      <c r="X702" s="16"/>
      <c r="Y702" s="3"/>
      <c r="Z702" s="18"/>
      <c r="AA702" s="3"/>
      <c r="AB702" s="16"/>
      <c r="AC702" s="16"/>
      <c r="AD702" s="16"/>
      <c r="AE702" s="9"/>
      <c r="AF702" s="16"/>
      <c r="AG702" s="16"/>
      <c r="AH702" s="16"/>
      <c r="AI702" s="16"/>
      <c r="AJ702" s="16"/>
      <c r="AK702" s="16"/>
      <c r="AL702" s="16"/>
      <c r="AM702" s="3"/>
      <c r="AN702" s="3"/>
      <c r="AO702" s="3"/>
      <c r="AP702" s="3"/>
      <c r="AQ702" s="3"/>
      <c r="AR702" s="3"/>
      <c r="AS702" s="3"/>
      <c r="AT702" s="3"/>
      <c r="AU702" s="3"/>
      <c r="AV702" s="3"/>
    </row>
    <row r="703" spans="1:48" hidden="1" x14ac:dyDescent="0.25">
      <c r="A703" s="31"/>
      <c r="B703" s="31"/>
      <c r="C703" s="3"/>
      <c r="D703" s="3"/>
      <c r="E703" s="2"/>
      <c r="F703" s="3"/>
      <c r="G703" s="3"/>
      <c r="H703" s="16"/>
      <c r="I703" s="16"/>
      <c r="J703" s="3"/>
      <c r="K703" s="17"/>
      <c r="L703" s="16"/>
      <c r="M703" s="3"/>
      <c r="N703" s="3"/>
      <c r="O703" s="2"/>
      <c r="P703" s="3" t="s">
        <v>54</v>
      </c>
      <c r="Q703" s="3"/>
      <c r="R703" s="3"/>
      <c r="S703" s="16"/>
      <c r="T703" s="3"/>
      <c r="U703" s="3"/>
      <c r="V703" s="3"/>
      <c r="W703" s="16"/>
      <c r="X703" s="16"/>
      <c r="Y703" s="3"/>
      <c r="Z703" s="18"/>
      <c r="AA703" s="3"/>
      <c r="AB703" s="16"/>
      <c r="AC703" s="16"/>
      <c r="AD703" s="16"/>
      <c r="AE703" s="9"/>
      <c r="AF703" s="16"/>
      <c r="AG703" s="16"/>
      <c r="AH703" s="16"/>
      <c r="AI703" s="16"/>
      <c r="AJ703" s="16"/>
      <c r="AK703" s="16"/>
      <c r="AL703" s="16"/>
      <c r="AM703" s="3"/>
      <c r="AN703" s="3"/>
      <c r="AO703" s="3"/>
      <c r="AP703" s="3"/>
      <c r="AQ703" s="3"/>
      <c r="AR703" s="3"/>
      <c r="AS703" s="3"/>
      <c r="AT703" s="3"/>
      <c r="AU703" s="3"/>
      <c r="AV703" s="3"/>
    </row>
    <row r="704" spans="1:48" hidden="1" x14ac:dyDescent="0.25">
      <c r="A704" s="31"/>
      <c r="B704" s="31"/>
      <c r="C704" s="3"/>
      <c r="D704" s="3"/>
      <c r="E704" s="2"/>
      <c r="F704" s="3"/>
      <c r="G704" s="3"/>
      <c r="H704" s="16"/>
      <c r="I704" s="16"/>
      <c r="J704" s="3"/>
      <c r="K704" s="17"/>
      <c r="L704" s="16"/>
      <c r="M704" s="3"/>
      <c r="N704" s="3"/>
      <c r="O704" s="2"/>
      <c r="P704" s="3" t="s">
        <v>54</v>
      </c>
      <c r="Q704" s="3"/>
      <c r="R704" s="3"/>
      <c r="S704" s="16"/>
      <c r="T704" s="3"/>
      <c r="U704" s="3"/>
      <c r="V704" s="3"/>
      <c r="W704" s="16"/>
      <c r="X704" s="16"/>
      <c r="Y704" s="3"/>
      <c r="Z704" s="18"/>
      <c r="AA704" s="3"/>
      <c r="AB704" s="16"/>
      <c r="AC704" s="16"/>
      <c r="AD704" s="16"/>
      <c r="AE704" s="9"/>
      <c r="AF704" s="16"/>
      <c r="AG704" s="16"/>
      <c r="AH704" s="16"/>
      <c r="AI704" s="16"/>
      <c r="AJ704" s="16"/>
      <c r="AK704" s="16"/>
      <c r="AL704" s="16"/>
      <c r="AM704" s="3"/>
      <c r="AN704" s="3"/>
      <c r="AO704" s="3"/>
      <c r="AP704" s="3"/>
      <c r="AQ704" s="3"/>
      <c r="AR704" s="3"/>
      <c r="AS704" s="3"/>
      <c r="AT704" s="3"/>
      <c r="AU704" s="3"/>
      <c r="AV704" s="3"/>
    </row>
    <row r="705" spans="1:48" hidden="1" x14ac:dyDescent="0.25">
      <c r="A705" s="31"/>
      <c r="B705" s="31"/>
      <c r="C705" s="3"/>
      <c r="D705" s="3"/>
      <c r="E705" s="2"/>
      <c r="F705" s="3"/>
      <c r="G705" s="3"/>
      <c r="H705" s="16"/>
      <c r="I705" s="16"/>
      <c r="J705" s="3"/>
      <c r="K705" s="17"/>
      <c r="L705" s="16"/>
      <c r="M705" s="3"/>
      <c r="N705" s="3"/>
      <c r="O705" s="2"/>
      <c r="P705" s="3" t="s">
        <v>54</v>
      </c>
      <c r="Q705" s="3"/>
      <c r="R705" s="3"/>
      <c r="S705" s="16"/>
      <c r="T705" s="3"/>
      <c r="U705" s="3"/>
      <c r="V705" s="3"/>
      <c r="W705" s="16"/>
      <c r="X705" s="16"/>
      <c r="Y705" s="3"/>
      <c r="Z705" s="18"/>
      <c r="AA705" s="3"/>
      <c r="AB705" s="16"/>
      <c r="AC705" s="16"/>
      <c r="AD705" s="16"/>
      <c r="AE705" s="9"/>
      <c r="AF705" s="16"/>
      <c r="AG705" s="16"/>
      <c r="AH705" s="16"/>
      <c r="AI705" s="16"/>
      <c r="AJ705" s="16"/>
      <c r="AK705" s="16"/>
      <c r="AL705" s="16"/>
      <c r="AM705" s="3"/>
      <c r="AN705" s="3"/>
      <c r="AO705" s="3"/>
      <c r="AP705" s="3"/>
      <c r="AQ705" s="3"/>
      <c r="AR705" s="3"/>
      <c r="AS705" s="3"/>
      <c r="AT705" s="3"/>
      <c r="AU705" s="3"/>
      <c r="AV705" s="3"/>
    </row>
    <row r="706" spans="1:48" hidden="1" x14ac:dyDescent="0.25">
      <c r="A706" s="31"/>
      <c r="B706" s="31"/>
      <c r="C706" s="3"/>
      <c r="D706" s="3"/>
      <c r="E706" s="2"/>
      <c r="F706" s="3"/>
      <c r="G706" s="3"/>
      <c r="H706" s="16"/>
      <c r="I706" s="16"/>
      <c r="J706" s="3"/>
      <c r="K706" s="17"/>
      <c r="L706" s="16"/>
      <c r="M706" s="3"/>
      <c r="N706" s="3"/>
      <c r="O706" s="2"/>
      <c r="P706" s="3" t="s">
        <v>54</v>
      </c>
      <c r="Q706" s="3"/>
      <c r="R706" s="3"/>
      <c r="S706" s="16"/>
      <c r="T706" s="3"/>
      <c r="U706" s="3"/>
      <c r="V706" s="3"/>
      <c r="W706" s="16"/>
      <c r="X706" s="16"/>
      <c r="Y706" s="3"/>
      <c r="Z706" s="18"/>
      <c r="AA706" s="3"/>
      <c r="AB706" s="16"/>
      <c r="AC706" s="16"/>
      <c r="AD706" s="16"/>
      <c r="AE706" s="9"/>
      <c r="AF706" s="16"/>
      <c r="AG706" s="16"/>
      <c r="AH706" s="16"/>
      <c r="AI706" s="16"/>
      <c r="AJ706" s="16"/>
      <c r="AK706" s="16"/>
      <c r="AL706" s="16"/>
      <c r="AM706" s="3"/>
      <c r="AN706" s="3"/>
      <c r="AO706" s="3"/>
      <c r="AP706" s="3"/>
      <c r="AQ706" s="3"/>
      <c r="AR706" s="3"/>
      <c r="AS706" s="3"/>
      <c r="AT706" s="3"/>
      <c r="AU706" s="3"/>
      <c r="AV706" s="3"/>
    </row>
    <row r="707" spans="1:48" hidden="1" x14ac:dyDescent="0.25">
      <c r="A707" s="31"/>
      <c r="B707" s="31"/>
      <c r="C707" s="3"/>
      <c r="D707" s="3"/>
      <c r="E707" s="2"/>
      <c r="F707" s="3"/>
      <c r="G707" s="3"/>
      <c r="H707" s="16"/>
      <c r="I707" s="16"/>
      <c r="J707" s="3"/>
      <c r="K707" s="17"/>
      <c r="L707" s="16"/>
      <c r="M707" s="3"/>
      <c r="N707" s="3"/>
      <c r="O707" s="2"/>
      <c r="P707" s="3" t="s">
        <v>54</v>
      </c>
      <c r="Q707" s="3"/>
      <c r="R707" s="3"/>
      <c r="S707" s="16"/>
      <c r="T707" s="3"/>
      <c r="U707" s="3"/>
      <c r="V707" s="3"/>
      <c r="W707" s="16"/>
      <c r="X707" s="16"/>
      <c r="Y707" s="3"/>
      <c r="Z707" s="18"/>
      <c r="AA707" s="3"/>
      <c r="AB707" s="16"/>
      <c r="AC707" s="16"/>
      <c r="AD707" s="16"/>
      <c r="AE707" s="9"/>
      <c r="AF707" s="16"/>
      <c r="AG707" s="16"/>
      <c r="AH707" s="16"/>
      <c r="AI707" s="16"/>
      <c r="AJ707" s="16"/>
      <c r="AK707" s="16"/>
      <c r="AL707" s="16"/>
      <c r="AM707" s="3"/>
      <c r="AN707" s="3"/>
      <c r="AO707" s="3"/>
      <c r="AP707" s="3"/>
      <c r="AQ707" s="3"/>
      <c r="AR707" s="3"/>
      <c r="AS707" s="3"/>
      <c r="AT707" s="3"/>
      <c r="AU707" s="3"/>
      <c r="AV707" s="3"/>
    </row>
    <row r="708" spans="1:48" hidden="1" x14ac:dyDescent="0.25">
      <c r="A708" s="31"/>
      <c r="B708" s="31"/>
      <c r="C708" s="3"/>
      <c r="D708" s="3"/>
      <c r="E708" s="2"/>
      <c r="F708" s="3"/>
      <c r="G708" s="3"/>
      <c r="H708" s="16"/>
      <c r="I708" s="16"/>
      <c r="J708" s="3"/>
      <c r="K708" s="17"/>
      <c r="L708" s="16"/>
      <c r="M708" s="3"/>
      <c r="N708" s="3"/>
      <c r="O708" s="2"/>
      <c r="P708" s="3" t="s">
        <v>54</v>
      </c>
      <c r="Q708" s="3"/>
      <c r="R708" s="3"/>
      <c r="S708" s="16"/>
      <c r="T708" s="3"/>
      <c r="U708" s="3"/>
      <c r="V708" s="3"/>
      <c r="W708" s="16"/>
      <c r="X708" s="16"/>
      <c r="Y708" s="3"/>
      <c r="Z708" s="18"/>
      <c r="AA708" s="3"/>
      <c r="AB708" s="16"/>
      <c r="AC708" s="16"/>
      <c r="AD708" s="16"/>
      <c r="AE708" s="9"/>
      <c r="AF708" s="16"/>
      <c r="AG708" s="16"/>
      <c r="AH708" s="16"/>
      <c r="AI708" s="16"/>
      <c r="AJ708" s="16"/>
      <c r="AK708" s="16"/>
      <c r="AL708" s="16"/>
      <c r="AM708" s="3"/>
      <c r="AN708" s="3"/>
      <c r="AO708" s="3"/>
      <c r="AP708" s="3"/>
      <c r="AQ708" s="3"/>
      <c r="AR708" s="3"/>
      <c r="AS708" s="3"/>
      <c r="AT708" s="3"/>
      <c r="AU708" s="3"/>
      <c r="AV708" s="3"/>
    </row>
    <row r="709" spans="1:48" hidden="1" x14ac:dyDescent="0.25">
      <c r="A709" s="31"/>
      <c r="B709" s="31"/>
      <c r="C709" s="3"/>
      <c r="D709" s="3"/>
      <c r="E709" s="2"/>
      <c r="F709" s="3"/>
      <c r="G709" s="3"/>
      <c r="H709" s="16"/>
      <c r="I709" s="16"/>
      <c r="J709" s="3"/>
      <c r="K709" s="17"/>
      <c r="L709" s="16"/>
      <c r="M709" s="3"/>
      <c r="N709" s="3"/>
      <c r="O709" s="2"/>
      <c r="P709" s="3" t="s">
        <v>54</v>
      </c>
      <c r="Q709" s="3"/>
      <c r="R709" s="3"/>
      <c r="S709" s="16"/>
      <c r="T709" s="3"/>
      <c r="U709" s="3"/>
      <c r="V709" s="3"/>
      <c r="W709" s="16"/>
      <c r="X709" s="16"/>
      <c r="Y709" s="3"/>
      <c r="Z709" s="18"/>
      <c r="AA709" s="3"/>
      <c r="AB709" s="16"/>
      <c r="AC709" s="16"/>
      <c r="AD709" s="16"/>
      <c r="AE709" s="9"/>
      <c r="AF709" s="16"/>
      <c r="AG709" s="16"/>
      <c r="AH709" s="16"/>
      <c r="AI709" s="16"/>
      <c r="AJ709" s="16"/>
      <c r="AK709" s="16"/>
      <c r="AL709" s="16"/>
      <c r="AM709" s="3"/>
      <c r="AN709" s="3"/>
      <c r="AO709" s="3"/>
      <c r="AP709" s="3"/>
      <c r="AQ709" s="3"/>
      <c r="AR709" s="3"/>
      <c r="AS709" s="3"/>
      <c r="AT709" s="3"/>
      <c r="AU709" s="3"/>
      <c r="AV709" s="3"/>
    </row>
    <row r="710" spans="1:48" hidden="1" x14ac:dyDescent="0.25">
      <c r="A710" s="31"/>
      <c r="B710" s="31"/>
      <c r="C710" s="3"/>
      <c r="D710" s="3"/>
      <c r="E710" s="2"/>
      <c r="F710" s="3"/>
      <c r="G710" s="3"/>
      <c r="H710" s="16"/>
      <c r="I710" s="16"/>
      <c r="J710" s="3"/>
      <c r="K710" s="17"/>
      <c r="L710" s="16"/>
      <c r="M710" s="3"/>
      <c r="N710" s="3"/>
      <c r="O710" s="2"/>
      <c r="P710" s="3" t="s">
        <v>54</v>
      </c>
      <c r="Q710" s="3"/>
      <c r="R710" s="3"/>
      <c r="S710" s="16"/>
      <c r="T710" s="3"/>
      <c r="U710" s="3"/>
      <c r="V710" s="3"/>
      <c r="W710" s="16"/>
      <c r="X710" s="16"/>
      <c r="Y710" s="3"/>
      <c r="Z710" s="18"/>
      <c r="AA710" s="3"/>
      <c r="AB710" s="16"/>
      <c r="AC710" s="16"/>
      <c r="AD710" s="16"/>
      <c r="AE710" s="9"/>
      <c r="AF710" s="16"/>
      <c r="AG710" s="16"/>
      <c r="AH710" s="16"/>
      <c r="AI710" s="16"/>
      <c r="AJ710" s="16"/>
      <c r="AK710" s="16"/>
      <c r="AL710" s="16"/>
      <c r="AM710" s="3"/>
      <c r="AN710" s="3"/>
      <c r="AO710" s="3"/>
      <c r="AP710" s="3"/>
      <c r="AQ710" s="3"/>
      <c r="AR710" s="3"/>
      <c r="AS710" s="3"/>
      <c r="AT710" s="3"/>
      <c r="AU710" s="3"/>
      <c r="AV710" s="3"/>
    </row>
    <row r="711" spans="1:48" hidden="1" x14ac:dyDescent="0.25">
      <c r="A711" s="31"/>
      <c r="B711" s="31"/>
      <c r="C711" s="3"/>
      <c r="D711" s="3"/>
      <c r="E711" s="2"/>
      <c r="F711" s="3"/>
      <c r="G711" s="3"/>
      <c r="H711" s="16"/>
      <c r="I711" s="16"/>
      <c r="J711" s="3"/>
      <c r="K711" s="17"/>
      <c r="L711" s="16"/>
      <c r="M711" s="3"/>
      <c r="N711" s="3"/>
      <c r="O711" s="2"/>
      <c r="P711" s="3" t="s">
        <v>54</v>
      </c>
      <c r="Q711" s="3"/>
      <c r="R711" s="3"/>
      <c r="S711" s="16"/>
      <c r="T711" s="3"/>
      <c r="U711" s="3"/>
      <c r="V711" s="3"/>
      <c r="W711" s="16"/>
      <c r="X711" s="16"/>
      <c r="Y711" s="3"/>
      <c r="Z711" s="18"/>
      <c r="AA711" s="3"/>
      <c r="AB711" s="16"/>
      <c r="AC711" s="16"/>
      <c r="AD711" s="16"/>
      <c r="AE711" s="9"/>
      <c r="AF711" s="16"/>
      <c r="AG711" s="16"/>
      <c r="AH711" s="16"/>
      <c r="AI711" s="16"/>
      <c r="AJ711" s="16"/>
      <c r="AK711" s="16"/>
      <c r="AL711" s="16"/>
      <c r="AM711" s="3"/>
      <c r="AN711" s="3"/>
      <c r="AO711" s="3"/>
      <c r="AP711" s="3"/>
      <c r="AQ711" s="3"/>
      <c r="AR711" s="3"/>
      <c r="AS711" s="3"/>
      <c r="AT711" s="3"/>
      <c r="AU711" s="3"/>
      <c r="AV711" s="3"/>
    </row>
    <row r="712" spans="1:48" hidden="1" x14ac:dyDescent="0.25">
      <c r="A712" s="31"/>
      <c r="B712" s="31"/>
      <c r="C712" s="3"/>
      <c r="D712" s="3"/>
      <c r="E712" s="2"/>
      <c r="F712" s="3"/>
      <c r="G712" s="3"/>
      <c r="H712" s="16"/>
      <c r="I712" s="16"/>
      <c r="J712" s="3"/>
      <c r="K712" s="17"/>
      <c r="L712" s="16"/>
      <c r="M712" s="3"/>
      <c r="N712" s="3"/>
      <c r="O712" s="2"/>
      <c r="P712" s="3" t="s">
        <v>54</v>
      </c>
      <c r="Q712" s="3"/>
      <c r="R712" s="3"/>
      <c r="S712" s="16"/>
      <c r="T712" s="3"/>
      <c r="U712" s="3"/>
      <c r="V712" s="3"/>
      <c r="W712" s="16"/>
      <c r="X712" s="16"/>
      <c r="Y712" s="3"/>
      <c r="Z712" s="18"/>
      <c r="AA712" s="3"/>
      <c r="AB712" s="16"/>
      <c r="AC712" s="16"/>
      <c r="AD712" s="16"/>
      <c r="AE712" s="9"/>
      <c r="AF712" s="16"/>
      <c r="AG712" s="16"/>
      <c r="AH712" s="16"/>
      <c r="AI712" s="16"/>
      <c r="AJ712" s="16"/>
      <c r="AK712" s="16"/>
      <c r="AL712" s="16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 spans="1:48" hidden="1" x14ac:dyDescent="0.25">
      <c r="A713" s="31"/>
      <c r="B713" s="31"/>
      <c r="C713" s="3"/>
      <c r="D713" s="3"/>
      <c r="E713" s="2"/>
      <c r="F713" s="3"/>
      <c r="G713" s="3"/>
      <c r="H713" s="16"/>
      <c r="I713" s="16"/>
      <c r="J713" s="3"/>
      <c r="K713" s="17"/>
      <c r="L713" s="16"/>
      <c r="M713" s="3"/>
      <c r="N713" s="3"/>
      <c r="O713" s="2"/>
      <c r="P713" s="3" t="s">
        <v>54</v>
      </c>
      <c r="Q713" s="3"/>
      <c r="R713" s="3"/>
      <c r="S713" s="16"/>
      <c r="T713" s="3"/>
      <c r="U713" s="3"/>
      <c r="V713" s="3"/>
      <c r="W713" s="16"/>
      <c r="X713" s="16"/>
      <c r="Y713" s="3"/>
      <c r="Z713" s="18"/>
      <c r="AA713" s="3"/>
      <c r="AB713" s="16"/>
      <c r="AC713" s="16"/>
      <c r="AD713" s="16"/>
      <c r="AE713" s="9"/>
      <c r="AF713" s="16"/>
      <c r="AG713" s="16"/>
      <c r="AH713" s="16"/>
      <c r="AI713" s="16"/>
      <c r="AJ713" s="16"/>
      <c r="AK713" s="16"/>
      <c r="AL713" s="16"/>
      <c r="AM713" s="3"/>
      <c r="AN713" s="3"/>
      <c r="AO713" s="3"/>
      <c r="AP713" s="3"/>
      <c r="AQ713" s="3"/>
      <c r="AR713" s="3"/>
      <c r="AS713" s="3"/>
      <c r="AT713" s="3"/>
      <c r="AU713" s="3"/>
      <c r="AV713" s="3"/>
    </row>
    <row r="714" spans="1:48" hidden="1" x14ac:dyDescent="0.25">
      <c r="A714" s="31"/>
      <c r="B714" s="31"/>
      <c r="C714" s="3"/>
      <c r="D714" s="3"/>
      <c r="E714" s="2"/>
      <c r="F714" s="3"/>
      <c r="G714" s="3"/>
      <c r="H714" s="16"/>
      <c r="I714" s="16"/>
      <c r="J714" s="3"/>
      <c r="K714" s="17"/>
      <c r="L714" s="16"/>
      <c r="M714" s="3"/>
      <c r="N714" s="3"/>
      <c r="O714" s="2"/>
      <c r="P714" s="3" t="s">
        <v>54</v>
      </c>
      <c r="Q714" s="3"/>
      <c r="R714" s="3"/>
      <c r="S714" s="16"/>
      <c r="T714" s="3"/>
      <c r="U714" s="3"/>
      <c r="V714" s="3"/>
      <c r="W714" s="16"/>
      <c r="X714" s="16"/>
      <c r="Y714" s="3"/>
      <c r="Z714" s="18"/>
      <c r="AA714" s="3"/>
      <c r="AB714" s="16"/>
      <c r="AC714" s="16"/>
      <c r="AD714" s="16"/>
      <c r="AE714" s="9"/>
      <c r="AF714" s="16"/>
      <c r="AG714" s="16"/>
      <c r="AH714" s="16"/>
      <c r="AI714" s="16"/>
      <c r="AJ714" s="16"/>
      <c r="AK714" s="16"/>
      <c r="AL714" s="16"/>
      <c r="AM714" s="3"/>
      <c r="AN714" s="3"/>
      <c r="AO714" s="3"/>
      <c r="AP714" s="3"/>
      <c r="AQ714" s="3"/>
      <c r="AR714" s="3"/>
      <c r="AS714" s="3"/>
      <c r="AT714" s="3"/>
      <c r="AU714" s="3"/>
      <c r="AV714" s="3"/>
    </row>
    <row r="715" spans="1:48" hidden="1" x14ac:dyDescent="0.25">
      <c r="A715" s="31"/>
      <c r="B715" s="31"/>
      <c r="C715" s="3"/>
      <c r="D715" s="3"/>
      <c r="E715" s="2"/>
      <c r="F715" s="3"/>
      <c r="G715" s="3"/>
      <c r="H715" s="16"/>
      <c r="I715" s="16"/>
      <c r="J715" s="3"/>
      <c r="K715" s="17"/>
      <c r="L715" s="16"/>
      <c r="M715" s="3"/>
      <c r="N715" s="3"/>
      <c r="O715" s="2"/>
      <c r="P715" s="3" t="s">
        <v>54</v>
      </c>
      <c r="Q715" s="3"/>
      <c r="R715" s="3"/>
      <c r="S715" s="16"/>
      <c r="T715" s="3"/>
      <c r="U715" s="3"/>
      <c r="V715" s="3"/>
      <c r="W715" s="16"/>
      <c r="X715" s="16"/>
      <c r="Y715" s="3"/>
      <c r="Z715" s="18"/>
      <c r="AA715" s="3"/>
      <c r="AB715" s="16"/>
      <c r="AC715" s="16"/>
      <c r="AD715" s="16"/>
      <c r="AE715" s="9"/>
      <c r="AF715" s="16"/>
      <c r="AG715" s="16"/>
      <c r="AH715" s="16"/>
      <c r="AI715" s="16"/>
      <c r="AJ715" s="16"/>
      <c r="AK715" s="16"/>
      <c r="AL715" s="16"/>
      <c r="AM715" s="3"/>
      <c r="AN715" s="3"/>
      <c r="AO715" s="3"/>
      <c r="AP715" s="3"/>
      <c r="AQ715" s="3"/>
      <c r="AR715" s="3"/>
      <c r="AS715" s="3"/>
      <c r="AT715" s="3"/>
      <c r="AU715" s="3"/>
      <c r="AV715" s="3"/>
    </row>
    <row r="716" spans="1:48" hidden="1" x14ac:dyDescent="0.25">
      <c r="A716" s="31"/>
      <c r="B716" s="31"/>
      <c r="C716" s="3"/>
      <c r="D716" s="3"/>
      <c r="E716" s="2"/>
      <c r="F716" s="3"/>
      <c r="G716" s="3"/>
      <c r="H716" s="16"/>
      <c r="I716" s="16"/>
      <c r="J716" s="3"/>
      <c r="K716" s="17"/>
      <c r="L716" s="16"/>
      <c r="M716" s="3"/>
      <c r="N716" s="3"/>
      <c r="O716" s="2"/>
      <c r="P716" s="3" t="s">
        <v>54</v>
      </c>
      <c r="Q716" s="3"/>
      <c r="R716" s="3"/>
      <c r="S716" s="16"/>
      <c r="T716" s="3"/>
      <c r="U716" s="3"/>
      <c r="V716" s="3"/>
      <c r="W716" s="16"/>
      <c r="X716" s="16"/>
      <c r="Y716" s="3"/>
      <c r="Z716" s="18"/>
      <c r="AA716" s="3"/>
      <c r="AB716" s="16"/>
      <c r="AC716" s="16"/>
      <c r="AD716" s="16"/>
      <c r="AE716" s="9"/>
      <c r="AF716" s="16"/>
      <c r="AG716" s="16"/>
      <c r="AH716" s="16"/>
      <c r="AI716" s="16"/>
      <c r="AJ716" s="16"/>
      <c r="AK716" s="16"/>
      <c r="AL716" s="16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 spans="1:48" hidden="1" x14ac:dyDescent="0.25">
      <c r="A717" s="31"/>
      <c r="B717" s="31"/>
      <c r="C717" s="3"/>
      <c r="D717" s="3"/>
      <c r="E717" s="2"/>
      <c r="F717" s="3"/>
      <c r="G717" s="3"/>
      <c r="H717" s="16"/>
      <c r="I717" s="16"/>
      <c r="J717" s="3"/>
      <c r="K717" s="17"/>
      <c r="L717" s="16"/>
      <c r="M717" s="3"/>
      <c r="N717" s="3"/>
      <c r="O717" s="2"/>
      <c r="P717" s="3" t="s">
        <v>54</v>
      </c>
      <c r="Q717" s="3"/>
      <c r="R717" s="3"/>
      <c r="S717" s="16"/>
      <c r="T717" s="3"/>
      <c r="U717" s="3"/>
      <c r="V717" s="3"/>
      <c r="W717" s="16"/>
      <c r="X717" s="16"/>
      <c r="Y717" s="3"/>
      <c r="Z717" s="18"/>
      <c r="AA717" s="3"/>
      <c r="AB717" s="16"/>
      <c r="AC717" s="16"/>
      <c r="AD717" s="16"/>
      <c r="AE717" s="9"/>
      <c r="AF717" s="16"/>
      <c r="AG717" s="16"/>
      <c r="AH717" s="16"/>
      <c r="AI717" s="16"/>
      <c r="AJ717" s="16"/>
      <c r="AK717" s="16"/>
      <c r="AL717" s="16"/>
      <c r="AM717" s="3"/>
      <c r="AN717" s="3"/>
      <c r="AO717" s="3"/>
      <c r="AP717" s="3"/>
      <c r="AQ717" s="3"/>
      <c r="AR717" s="3"/>
      <c r="AS717" s="3"/>
      <c r="AT717" s="3"/>
      <c r="AU717" s="3"/>
      <c r="AV717" s="3"/>
    </row>
    <row r="718" spans="1:48" hidden="1" x14ac:dyDescent="0.25">
      <c r="A718" s="31"/>
      <c r="B718" s="31"/>
      <c r="C718" s="3"/>
      <c r="D718" s="3"/>
      <c r="E718" s="2"/>
      <c r="F718" s="3"/>
      <c r="G718" s="3"/>
      <c r="H718" s="16"/>
      <c r="I718" s="16"/>
      <c r="J718" s="3"/>
      <c r="K718" s="17"/>
      <c r="L718" s="16"/>
      <c r="M718" s="3"/>
      <c r="N718" s="3"/>
      <c r="O718" s="2"/>
      <c r="P718" s="3" t="s">
        <v>54</v>
      </c>
      <c r="Q718" s="3"/>
      <c r="R718" s="3"/>
      <c r="S718" s="16"/>
      <c r="T718" s="3"/>
      <c r="U718" s="3"/>
      <c r="V718" s="3"/>
      <c r="W718" s="16"/>
      <c r="X718" s="16"/>
      <c r="Y718" s="3"/>
      <c r="Z718" s="18"/>
      <c r="AA718" s="3"/>
      <c r="AB718" s="16"/>
      <c r="AC718" s="16"/>
      <c r="AD718" s="16"/>
      <c r="AE718" s="9"/>
      <c r="AF718" s="16"/>
      <c r="AG718" s="16"/>
      <c r="AH718" s="16"/>
      <c r="AI718" s="16"/>
      <c r="AJ718" s="16"/>
      <c r="AK718" s="16"/>
      <c r="AL718" s="16"/>
      <c r="AM718" s="3"/>
      <c r="AN718" s="3"/>
      <c r="AO718" s="3"/>
      <c r="AP718" s="3"/>
      <c r="AQ718" s="3"/>
      <c r="AR718" s="3"/>
      <c r="AS718" s="3"/>
      <c r="AT718" s="3"/>
      <c r="AU718" s="3"/>
      <c r="AV718" s="3"/>
    </row>
    <row r="719" spans="1:48" hidden="1" x14ac:dyDescent="0.25">
      <c r="A719" s="31"/>
      <c r="B719" s="31"/>
      <c r="C719" s="3"/>
      <c r="D719" s="3"/>
      <c r="E719" s="2"/>
      <c r="F719" s="3"/>
      <c r="G719" s="3"/>
      <c r="H719" s="16"/>
      <c r="I719" s="16"/>
      <c r="J719" s="3"/>
      <c r="K719" s="17"/>
      <c r="L719" s="16"/>
      <c r="M719" s="3"/>
      <c r="N719" s="3"/>
      <c r="O719" s="2"/>
      <c r="P719" s="3" t="s">
        <v>54</v>
      </c>
      <c r="Q719" s="3"/>
      <c r="R719" s="3"/>
      <c r="S719" s="16"/>
      <c r="T719" s="3"/>
      <c r="U719" s="3"/>
      <c r="V719" s="3"/>
      <c r="W719" s="16"/>
      <c r="X719" s="16"/>
      <c r="Y719" s="3"/>
      <c r="Z719" s="18"/>
      <c r="AA719" s="3"/>
      <c r="AB719" s="16"/>
      <c r="AC719" s="16"/>
      <c r="AD719" s="16"/>
      <c r="AE719" s="9"/>
      <c r="AF719" s="16"/>
      <c r="AG719" s="16"/>
      <c r="AH719" s="16"/>
      <c r="AI719" s="16"/>
      <c r="AJ719" s="16"/>
      <c r="AK719" s="16"/>
      <c r="AL719" s="16"/>
      <c r="AM719" s="3"/>
      <c r="AN719" s="3"/>
      <c r="AO719" s="3"/>
      <c r="AP719" s="3"/>
      <c r="AQ719" s="3"/>
      <c r="AR719" s="3"/>
      <c r="AS719" s="3"/>
      <c r="AT719" s="3"/>
      <c r="AU719" s="3"/>
      <c r="AV719" s="3"/>
    </row>
    <row r="720" spans="1:48" hidden="1" x14ac:dyDescent="0.25">
      <c r="A720" s="31"/>
      <c r="B720" s="31"/>
      <c r="C720" s="3"/>
      <c r="D720" s="3"/>
      <c r="E720" s="2"/>
      <c r="F720" s="3"/>
      <c r="G720" s="3"/>
      <c r="H720" s="16"/>
      <c r="I720" s="16"/>
      <c r="J720" s="3"/>
      <c r="K720" s="17"/>
      <c r="L720" s="16"/>
      <c r="M720" s="3"/>
      <c r="N720" s="3"/>
      <c r="O720" s="2"/>
      <c r="P720" s="3" t="s">
        <v>54</v>
      </c>
      <c r="Q720" s="3"/>
      <c r="R720" s="3"/>
      <c r="S720" s="16"/>
      <c r="T720" s="3"/>
      <c r="U720" s="3"/>
      <c r="V720" s="3"/>
      <c r="W720" s="16"/>
      <c r="X720" s="16"/>
      <c r="Y720" s="3"/>
      <c r="Z720" s="18"/>
      <c r="AA720" s="3"/>
      <c r="AB720" s="16"/>
      <c r="AC720" s="16"/>
      <c r="AD720" s="16"/>
      <c r="AE720" s="9"/>
      <c r="AF720" s="16"/>
      <c r="AG720" s="16"/>
      <c r="AH720" s="16"/>
      <c r="AI720" s="16"/>
      <c r="AJ720" s="16"/>
      <c r="AK720" s="16"/>
      <c r="AL720" s="16"/>
      <c r="AM720" s="3"/>
      <c r="AN720" s="3"/>
      <c r="AO720" s="3"/>
      <c r="AP720" s="3"/>
      <c r="AQ720" s="3"/>
      <c r="AR720" s="3"/>
      <c r="AS720" s="3"/>
      <c r="AT720" s="3"/>
      <c r="AU720" s="3"/>
      <c r="AV720" s="3"/>
    </row>
    <row r="721" spans="1:48" hidden="1" x14ac:dyDescent="0.25">
      <c r="A721" s="31"/>
      <c r="B721" s="31"/>
      <c r="C721" s="3"/>
      <c r="D721" s="3"/>
      <c r="E721" s="2"/>
      <c r="F721" s="3"/>
      <c r="G721" s="3"/>
      <c r="H721" s="16"/>
      <c r="I721" s="16"/>
      <c r="J721" s="3"/>
      <c r="K721" s="17"/>
      <c r="L721" s="16"/>
      <c r="M721" s="3"/>
      <c r="N721" s="3"/>
      <c r="O721" s="2"/>
      <c r="P721" s="3" t="s">
        <v>54</v>
      </c>
      <c r="Q721" s="3"/>
      <c r="R721" s="3"/>
      <c r="S721" s="16"/>
      <c r="T721" s="3"/>
      <c r="U721" s="3"/>
      <c r="V721" s="3"/>
      <c r="W721" s="16"/>
      <c r="X721" s="16"/>
      <c r="Y721" s="3"/>
      <c r="Z721" s="18"/>
      <c r="AA721" s="3"/>
      <c r="AB721" s="16"/>
      <c r="AC721" s="16"/>
      <c r="AD721" s="16"/>
      <c r="AE721" s="9"/>
      <c r="AF721" s="16"/>
      <c r="AG721" s="16"/>
      <c r="AH721" s="16"/>
      <c r="AI721" s="16"/>
      <c r="AJ721" s="16"/>
      <c r="AK721" s="16"/>
      <c r="AL721" s="16"/>
      <c r="AM721" s="3"/>
      <c r="AN721" s="3"/>
      <c r="AO721" s="3"/>
      <c r="AP721" s="3"/>
      <c r="AQ721" s="3"/>
      <c r="AR721" s="3"/>
      <c r="AS721" s="3"/>
      <c r="AT721" s="3"/>
      <c r="AU721" s="3"/>
      <c r="AV721" s="3"/>
    </row>
    <row r="722" spans="1:48" hidden="1" x14ac:dyDescent="0.25">
      <c r="A722" s="31"/>
      <c r="B722" s="31"/>
      <c r="C722" s="3"/>
      <c r="D722" s="3"/>
      <c r="E722" s="2"/>
      <c r="F722" s="3"/>
      <c r="G722" s="3"/>
      <c r="H722" s="16"/>
      <c r="I722" s="16"/>
      <c r="J722" s="3"/>
      <c r="K722" s="17"/>
      <c r="L722" s="16"/>
      <c r="M722" s="3"/>
      <c r="N722" s="3"/>
      <c r="O722" s="2"/>
      <c r="P722" s="3" t="s">
        <v>54</v>
      </c>
      <c r="Q722" s="3"/>
      <c r="R722" s="3"/>
      <c r="S722" s="16"/>
      <c r="T722" s="3"/>
      <c r="U722" s="3"/>
      <c r="V722" s="3"/>
      <c r="W722" s="16"/>
      <c r="X722" s="16"/>
      <c r="Y722" s="3"/>
      <c r="Z722" s="18"/>
      <c r="AA722" s="3"/>
      <c r="AB722" s="16"/>
      <c r="AC722" s="16"/>
      <c r="AD722" s="16"/>
      <c r="AE722" s="9"/>
      <c r="AF722" s="16"/>
      <c r="AG722" s="16"/>
      <c r="AH722" s="16"/>
      <c r="AI722" s="16"/>
      <c r="AJ722" s="16"/>
      <c r="AK722" s="16"/>
      <c r="AL722" s="16"/>
      <c r="AM722" s="3"/>
      <c r="AN722" s="3"/>
      <c r="AO722" s="3"/>
      <c r="AP722" s="3"/>
      <c r="AQ722" s="3"/>
      <c r="AR722" s="3"/>
      <c r="AS722" s="3"/>
      <c r="AT722" s="3"/>
      <c r="AU722" s="3"/>
      <c r="AV722" s="3"/>
    </row>
    <row r="723" spans="1:48" hidden="1" x14ac:dyDescent="0.25">
      <c r="A723" s="31"/>
      <c r="B723" s="31"/>
      <c r="C723" s="3"/>
      <c r="D723" s="3"/>
      <c r="E723" s="2"/>
      <c r="F723" s="3"/>
      <c r="G723" s="3"/>
      <c r="H723" s="16"/>
      <c r="I723" s="16"/>
      <c r="J723" s="3"/>
      <c r="K723" s="17"/>
      <c r="L723" s="16"/>
      <c r="M723" s="3"/>
      <c r="N723" s="3"/>
      <c r="O723" s="2"/>
      <c r="P723" s="3" t="s">
        <v>54</v>
      </c>
      <c r="Q723" s="3"/>
      <c r="R723" s="3"/>
      <c r="S723" s="16"/>
      <c r="T723" s="3"/>
      <c r="U723" s="3"/>
      <c r="V723" s="3"/>
      <c r="W723" s="16"/>
      <c r="X723" s="16"/>
      <c r="Y723" s="3"/>
      <c r="Z723" s="18"/>
      <c r="AA723" s="3"/>
      <c r="AB723" s="16"/>
      <c r="AC723" s="16"/>
      <c r="AD723" s="16"/>
      <c r="AE723" s="9"/>
      <c r="AF723" s="16"/>
      <c r="AG723" s="16"/>
      <c r="AH723" s="16"/>
      <c r="AI723" s="16"/>
      <c r="AJ723" s="16"/>
      <c r="AK723" s="16"/>
      <c r="AL723" s="16"/>
      <c r="AM723" s="3"/>
      <c r="AN723" s="3"/>
      <c r="AO723" s="3"/>
      <c r="AP723" s="3"/>
      <c r="AQ723" s="3"/>
      <c r="AR723" s="3"/>
      <c r="AS723" s="3"/>
      <c r="AT723" s="3"/>
      <c r="AU723" s="3"/>
      <c r="AV723" s="3"/>
    </row>
    <row r="724" spans="1:48" hidden="1" x14ac:dyDescent="0.25">
      <c r="A724" s="31"/>
      <c r="B724" s="31"/>
      <c r="C724" s="3"/>
      <c r="D724" s="3"/>
      <c r="E724" s="2"/>
      <c r="F724" s="3"/>
      <c r="G724" s="3"/>
      <c r="H724" s="16"/>
      <c r="I724" s="16"/>
      <c r="J724" s="3"/>
      <c r="K724" s="17"/>
      <c r="L724" s="16"/>
      <c r="M724" s="3"/>
      <c r="N724" s="3"/>
      <c r="O724" s="2"/>
      <c r="P724" s="3" t="s">
        <v>54</v>
      </c>
      <c r="Q724" s="3"/>
      <c r="R724" s="3"/>
      <c r="S724" s="16"/>
      <c r="T724" s="3"/>
      <c r="U724" s="3"/>
      <c r="V724" s="3"/>
      <c r="W724" s="16"/>
      <c r="X724" s="16"/>
      <c r="Y724" s="3"/>
      <c r="Z724" s="18"/>
      <c r="AA724" s="3"/>
      <c r="AB724" s="16"/>
      <c r="AC724" s="16"/>
      <c r="AD724" s="16"/>
      <c r="AE724" s="9"/>
      <c r="AF724" s="16"/>
      <c r="AG724" s="16"/>
      <c r="AH724" s="16"/>
      <c r="AI724" s="16"/>
      <c r="AJ724" s="16"/>
      <c r="AK724" s="16"/>
      <c r="AL724" s="16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 spans="1:48" hidden="1" x14ac:dyDescent="0.25">
      <c r="A725" s="31"/>
      <c r="B725" s="31"/>
      <c r="C725" s="3"/>
      <c r="D725" s="3"/>
      <c r="E725" s="2"/>
      <c r="F725" s="3"/>
      <c r="G725" s="3"/>
      <c r="H725" s="16"/>
      <c r="I725" s="16"/>
      <c r="J725" s="3"/>
      <c r="K725" s="17"/>
      <c r="L725" s="16"/>
      <c r="M725" s="3"/>
      <c r="N725" s="3"/>
      <c r="O725" s="2"/>
      <c r="P725" s="3" t="s">
        <v>54</v>
      </c>
      <c r="Q725" s="3"/>
      <c r="R725" s="3"/>
      <c r="S725" s="16"/>
      <c r="T725" s="3"/>
      <c r="U725" s="3"/>
      <c r="V725" s="3"/>
      <c r="W725" s="16"/>
      <c r="X725" s="16"/>
      <c r="Y725" s="3"/>
      <c r="Z725" s="18"/>
      <c r="AA725" s="3"/>
      <c r="AB725" s="16"/>
      <c r="AC725" s="16"/>
      <c r="AD725" s="16"/>
      <c r="AE725" s="9"/>
      <c r="AF725" s="16"/>
      <c r="AG725" s="16"/>
      <c r="AH725" s="16"/>
      <c r="AI725" s="16"/>
      <c r="AJ725" s="16"/>
      <c r="AK725" s="16"/>
      <c r="AL725" s="16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 spans="1:48" hidden="1" x14ac:dyDescent="0.25">
      <c r="A726" s="31"/>
      <c r="B726" s="31"/>
      <c r="C726" s="3"/>
      <c r="D726" s="3"/>
      <c r="E726" s="2"/>
      <c r="F726" s="3"/>
      <c r="G726" s="3"/>
      <c r="H726" s="16"/>
      <c r="I726" s="16"/>
      <c r="J726" s="3"/>
      <c r="K726" s="17"/>
      <c r="L726" s="16"/>
      <c r="M726" s="3"/>
      <c r="N726" s="3"/>
      <c r="O726" s="2"/>
      <c r="P726" s="3" t="s">
        <v>54</v>
      </c>
      <c r="Q726" s="3"/>
      <c r="R726" s="3"/>
      <c r="S726" s="16"/>
      <c r="T726" s="3"/>
      <c r="U726" s="3"/>
      <c r="V726" s="3"/>
      <c r="W726" s="16"/>
      <c r="X726" s="16"/>
      <c r="Y726" s="3"/>
      <c r="Z726" s="18"/>
      <c r="AA726" s="3"/>
      <c r="AB726" s="16"/>
      <c r="AC726" s="16"/>
      <c r="AD726" s="16"/>
      <c r="AE726" s="9"/>
      <c r="AF726" s="16"/>
      <c r="AG726" s="16"/>
      <c r="AH726" s="16"/>
      <c r="AI726" s="16"/>
      <c r="AJ726" s="16"/>
      <c r="AK726" s="16"/>
      <c r="AL726" s="16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 spans="1:48" hidden="1" x14ac:dyDescent="0.25">
      <c r="A727" s="31"/>
      <c r="B727" s="31"/>
      <c r="C727" s="3"/>
      <c r="D727" s="3"/>
      <c r="E727" s="2"/>
      <c r="F727" s="3"/>
      <c r="G727" s="3"/>
      <c r="H727" s="16"/>
      <c r="I727" s="16"/>
      <c r="J727" s="3"/>
      <c r="K727" s="17"/>
      <c r="L727" s="16"/>
      <c r="M727" s="3"/>
      <c r="N727" s="3"/>
      <c r="O727" s="2"/>
      <c r="P727" s="3" t="s">
        <v>54</v>
      </c>
      <c r="Q727" s="3"/>
      <c r="R727" s="3"/>
      <c r="S727" s="16"/>
      <c r="T727" s="3"/>
      <c r="U727" s="3"/>
      <c r="V727" s="3"/>
      <c r="W727" s="16"/>
      <c r="X727" s="16"/>
      <c r="Y727" s="3"/>
      <c r="Z727" s="18"/>
      <c r="AA727" s="3"/>
      <c r="AB727" s="16"/>
      <c r="AC727" s="16"/>
      <c r="AD727" s="16"/>
      <c r="AE727" s="9"/>
      <c r="AF727" s="16"/>
      <c r="AG727" s="16"/>
      <c r="AH727" s="16"/>
      <c r="AI727" s="16"/>
      <c r="AJ727" s="16"/>
      <c r="AK727" s="16"/>
      <c r="AL727" s="16"/>
      <c r="AM727" s="3"/>
      <c r="AN727" s="3"/>
      <c r="AO727" s="3"/>
      <c r="AP727" s="3"/>
      <c r="AQ727" s="3"/>
      <c r="AR727" s="3"/>
      <c r="AS727" s="3"/>
      <c r="AT727" s="3"/>
      <c r="AU727" s="3"/>
      <c r="AV727" s="3"/>
    </row>
    <row r="728" spans="1:48" hidden="1" x14ac:dyDescent="0.25">
      <c r="A728" s="31"/>
      <c r="B728" s="31"/>
      <c r="C728" s="3"/>
      <c r="D728" s="3"/>
      <c r="E728" s="2"/>
      <c r="F728" s="3"/>
      <c r="G728" s="3"/>
      <c r="H728" s="16"/>
      <c r="I728" s="16"/>
      <c r="J728" s="3"/>
      <c r="K728" s="17"/>
      <c r="L728" s="16"/>
      <c r="M728" s="3"/>
      <c r="N728" s="3"/>
      <c r="O728" s="2"/>
      <c r="P728" s="3" t="s">
        <v>54</v>
      </c>
      <c r="Q728" s="3"/>
      <c r="R728" s="3"/>
      <c r="S728" s="16"/>
      <c r="T728" s="3"/>
      <c r="U728" s="3"/>
      <c r="V728" s="3"/>
      <c r="W728" s="16"/>
      <c r="X728" s="16"/>
      <c r="Y728" s="3"/>
      <c r="Z728" s="18"/>
      <c r="AA728" s="3"/>
      <c r="AB728" s="16"/>
      <c r="AC728" s="16"/>
      <c r="AD728" s="16"/>
      <c r="AE728" s="9"/>
      <c r="AF728" s="16"/>
      <c r="AG728" s="16"/>
      <c r="AH728" s="16"/>
      <c r="AI728" s="16"/>
      <c r="AJ728" s="16"/>
      <c r="AK728" s="16"/>
      <c r="AL728" s="16"/>
      <c r="AM728" s="3"/>
      <c r="AN728" s="3"/>
      <c r="AO728" s="3"/>
      <c r="AP728" s="3"/>
      <c r="AQ728" s="3"/>
      <c r="AR728" s="3"/>
      <c r="AS728" s="3"/>
      <c r="AT728" s="3"/>
      <c r="AU728" s="3"/>
      <c r="AV728" s="3"/>
    </row>
    <row r="729" spans="1:48" hidden="1" x14ac:dyDescent="0.25">
      <c r="A729" s="31"/>
      <c r="B729" s="31"/>
      <c r="C729" s="3"/>
      <c r="D729" s="3"/>
      <c r="E729" s="2"/>
      <c r="F729" s="3"/>
      <c r="G729" s="3"/>
      <c r="H729" s="16"/>
      <c r="I729" s="16"/>
      <c r="J729" s="3"/>
      <c r="K729" s="17"/>
      <c r="L729" s="16"/>
      <c r="M729" s="3"/>
      <c r="N729" s="3"/>
      <c r="O729" s="2"/>
      <c r="P729" s="3" t="s">
        <v>54</v>
      </c>
      <c r="Q729" s="3"/>
      <c r="R729" s="3"/>
      <c r="S729" s="16"/>
      <c r="T729" s="3"/>
      <c r="U729" s="3"/>
      <c r="V729" s="3"/>
      <c r="W729" s="16"/>
      <c r="X729" s="16"/>
      <c r="Y729" s="3"/>
      <c r="Z729" s="18"/>
      <c r="AA729" s="3"/>
      <c r="AB729" s="16"/>
      <c r="AC729" s="16"/>
      <c r="AD729" s="16"/>
      <c r="AE729" s="9"/>
      <c r="AF729" s="16"/>
      <c r="AG729" s="16"/>
      <c r="AH729" s="16"/>
      <c r="AI729" s="16"/>
      <c r="AJ729" s="16"/>
      <c r="AK729" s="16"/>
      <c r="AL729" s="16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 spans="1:48" hidden="1" x14ac:dyDescent="0.25">
      <c r="A730" s="31"/>
      <c r="B730" s="31"/>
      <c r="C730" s="3"/>
      <c r="D730" s="3"/>
      <c r="E730" s="2"/>
      <c r="F730" s="3"/>
      <c r="G730" s="3"/>
      <c r="H730" s="16"/>
      <c r="I730" s="16"/>
      <c r="J730" s="3"/>
      <c r="K730" s="17"/>
      <c r="L730" s="16"/>
      <c r="M730" s="3"/>
      <c r="N730" s="3"/>
      <c r="O730" s="2"/>
      <c r="P730" s="3" t="s">
        <v>54</v>
      </c>
      <c r="Q730" s="3"/>
      <c r="R730" s="3"/>
      <c r="S730" s="16"/>
      <c r="T730" s="3"/>
      <c r="U730" s="3"/>
      <c r="V730" s="3"/>
      <c r="W730" s="16"/>
      <c r="X730" s="16"/>
      <c r="Y730" s="3"/>
      <c r="Z730" s="18"/>
      <c r="AA730" s="3"/>
      <c r="AB730" s="16"/>
      <c r="AC730" s="16"/>
      <c r="AD730" s="16"/>
      <c r="AE730" s="9"/>
      <c r="AF730" s="16"/>
      <c r="AG730" s="16"/>
      <c r="AH730" s="16"/>
      <c r="AI730" s="16"/>
      <c r="AJ730" s="16"/>
      <c r="AK730" s="16"/>
      <c r="AL730" s="16"/>
      <c r="AM730" s="3"/>
      <c r="AN730" s="3"/>
      <c r="AO730" s="3"/>
      <c r="AP730" s="3"/>
      <c r="AQ730" s="3"/>
      <c r="AR730" s="3"/>
      <c r="AS730" s="3"/>
      <c r="AT730" s="3"/>
      <c r="AU730" s="3"/>
      <c r="AV730" s="3"/>
    </row>
    <row r="731" spans="1:48" hidden="1" x14ac:dyDescent="0.25">
      <c r="A731" s="31"/>
      <c r="B731" s="31"/>
      <c r="C731" s="3"/>
      <c r="D731" s="3"/>
      <c r="E731" s="2"/>
      <c r="F731" s="3"/>
      <c r="G731" s="3"/>
      <c r="H731" s="16"/>
      <c r="I731" s="16"/>
      <c r="J731" s="3"/>
      <c r="K731" s="17"/>
      <c r="L731" s="16"/>
      <c r="M731" s="3"/>
      <c r="N731" s="3"/>
      <c r="O731" s="2"/>
      <c r="P731" s="3" t="s">
        <v>54</v>
      </c>
      <c r="Q731" s="3"/>
      <c r="R731" s="3"/>
      <c r="S731" s="16"/>
      <c r="T731" s="3"/>
      <c r="U731" s="3"/>
      <c r="V731" s="3"/>
      <c r="W731" s="16"/>
      <c r="X731" s="16"/>
      <c r="Y731" s="3"/>
      <c r="Z731" s="18"/>
      <c r="AA731" s="3"/>
      <c r="AB731" s="16"/>
      <c r="AC731" s="16"/>
      <c r="AD731" s="16"/>
      <c r="AE731" s="9"/>
      <c r="AF731" s="16"/>
      <c r="AG731" s="16"/>
      <c r="AH731" s="16"/>
      <c r="AI731" s="16"/>
      <c r="AJ731" s="16"/>
      <c r="AK731" s="16"/>
      <c r="AL731" s="16"/>
      <c r="AM731" s="3"/>
      <c r="AN731" s="3"/>
      <c r="AO731" s="3"/>
      <c r="AP731" s="3"/>
      <c r="AQ731" s="3"/>
      <c r="AR731" s="3"/>
      <c r="AS731" s="3"/>
      <c r="AT731" s="3"/>
      <c r="AU731" s="3"/>
      <c r="AV731" s="3"/>
    </row>
    <row r="732" spans="1:48" hidden="1" x14ac:dyDescent="0.25">
      <c r="A732" s="31"/>
      <c r="B732" s="31"/>
      <c r="C732" s="3"/>
      <c r="D732" s="3"/>
      <c r="E732" s="2"/>
      <c r="F732" s="3"/>
      <c r="G732" s="3"/>
      <c r="H732" s="16"/>
      <c r="I732" s="16"/>
      <c r="J732" s="3"/>
      <c r="K732" s="17"/>
      <c r="L732" s="16"/>
      <c r="M732" s="3"/>
      <c r="N732" s="3"/>
      <c r="O732" s="2"/>
      <c r="P732" s="3" t="s">
        <v>54</v>
      </c>
      <c r="Q732" s="3"/>
      <c r="R732" s="3"/>
      <c r="S732" s="16"/>
      <c r="T732" s="3"/>
      <c r="U732" s="3"/>
      <c r="V732" s="3"/>
      <c r="W732" s="16"/>
      <c r="X732" s="16"/>
      <c r="Y732" s="3"/>
      <c r="Z732" s="18"/>
      <c r="AA732" s="3"/>
      <c r="AB732" s="16"/>
      <c r="AC732" s="16"/>
      <c r="AD732" s="16"/>
      <c r="AE732" s="9"/>
      <c r="AF732" s="16"/>
      <c r="AG732" s="16"/>
      <c r="AH732" s="16"/>
      <c r="AI732" s="16"/>
      <c r="AJ732" s="16"/>
      <c r="AK732" s="16"/>
      <c r="AL732" s="16"/>
      <c r="AM732" s="3"/>
      <c r="AN732" s="3"/>
      <c r="AO732" s="3"/>
      <c r="AP732" s="3"/>
      <c r="AQ732" s="3"/>
      <c r="AR732" s="3"/>
      <c r="AS732" s="3"/>
      <c r="AT732" s="3"/>
      <c r="AU732" s="3"/>
      <c r="AV732" s="3"/>
    </row>
    <row r="733" spans="1:48" hidden="1" x14ac:dyDescent="0.25">
      <c r="A733" s="31"/>
      <c r="B733" s="31"/>
      <c r="C733" s="3"/>
      <c r="D733" s="3"/>
      <c r="E733" s="2"/>
      <c r="F733" s="3"/>
      <c r="G733" s="3"/>
      <c r="H733" s="16"/>
      <c r="I733" s="16"/>
      <c r="J733" s="3"/>
      <c r="K733" s="17"/>
      <c r="L733" s="16"/>
      <c r="M733" s="3"/>
      <c r="N733" s="3"/>
      <c r="O733" s="2"/>
      <c r="P733" s="3" t="s">
        <v>54</v>
      </c>
      <c r="Q733" s="3"/>
      <c r="R733" s="3"/>
      <c r="S733" s="16"/>
      <c r="T733" s="3"/>
      <c r="U733" s="3"/>
      <c r="V733" s="3"/>
      <c r="W733" s="16"/>
      <c r="X733" s="16"/>
      <c r="Y733" s="3"/>
      <c r="Z733" s="18"/>
      <c r="AA733" s="3"/>
      <c r="AB733" s="16"/>
      <c r="AC733" s="16"/>
      <c r="AD733" s="16"/>
      <c r="AE733" s="9"/>
      <c r="AF733" s="16"/>
      <c r="AG733" s="16"/>
      <c r="AH733" s="16"/>
      <c r="AI733" s="16"/>
      <c r="AJ733" s="16"/>
      <c r="AK733" s="16"/>
      <c r="AL733" s="16"/>
      <c r="AM733" s="3"/>
      <c r="AN733" s="3"/>
      <c r="AO733" s="3"/>
      <c r="AP733" s="3"/>
      <c r="AQ733" s="3"/>
      <c r="AR733" s="3"/>
      <c r="AS733" s="3"/>
      <c r="AT733" s="3"/>
      <c r="AU733" s="3"/>
      <c r="AV733" s="3"/>
    </row>
    <row r="734" spans="1:48" hidden="1" x14ac:dyDescent="0.25">
      <c r="A734" s="31"/>
      <c r="B734" s="31"/>
      <c r="C734" s="3"/>
      <c r="D734" s="3"/>
      <c r="E734" s="2"/>
      <c r="F734" s="3"/>
      <c r="G734" s="3"/>
      <c r="H734" s="16"/>
      <c r="I734" s="16"/>
      <c r="J734" s="3"/>
      <c r="K734" s="17"/>
      <c r="L734" s="16"/>
      <c r="M734" s="3"/>
      <c r="N734" s="3"/>
      <c r="O734" s="2"/>
      <c r="P734" s="3" t="s">
        <v>54</v>
      </c>
      <c r="Q734" s="3"/>
      <c r="R734" s="3"/>
      <c r="S734" s="16"/>
      <c r="T734" s="3"/>
      <c r="U734" s="3"/>
      <c r="V734" s="3"/>
      <c r="W734" s="16"/>
      <c r="X734" s="16"/>
      <c r="Y734" s="3"/>
      <c r="Z734" s="18"/>
      <c r="AA734" s="3"/>
      <c r="AB734" s="16"/>
      <c r="AC734" s="16"/>
      <c r="AD734" s="16"/>
      <c r="AE734" s="9"/>
      <c r="AF734" s="16"/>
      <c r="AG734" s="16"/>
      <c r="AH734" s="16"/>
      <c r="AI734" s="16"/>
      <c r="AJ734" s="16"/>
      <c r="AK734" s="16"/>
      <c r="AL734" s="16"/>
      <c r="AM734" s="3"/>
      <c r="AN734" s="3"/>
      <c r="AO734" s="3"/>
      <c r="AP734" s="3"/>
      <c r="AQ734" s="3"/>
      <c r="AR734" s="3"/>
      <c r="AS734" s="3"/>
      <c r="AT734" s="3"/>
      <c r="AU734" s="3"/>
      <c r="AV734" s="3"/>
    </row>
    <row r="735" spans="1:48" hidden="1" x14ac:dyDescent="0.25">
      <c r="A735" s="31"/>
      <c r="B735" s="31"/>
      <c r="C735" s="3"/>
      <c r="D735" s="3"/>
      <c r="E735" s="2"/>
      <c r="F735" s="3"/>
      <c r="G735" s="3"/>
      <c r="H735" s="16"/>
      <c r="I735" s="16"/>
      <c r="J735" s="3"/>
      <c r="K735" s="17"/>
      <c r="L735" s="16"/>
      <c r="M735" s="3"/>
      <c r="N735" s="3"/>
      <c r="O735" s="2"/>
      <c r="P735" s="3" t="s">
        <v>54</v>
      </c>
      <c r="Q735" s="3"/>
      <c r="R735" s="3"/>
      <c r="S735" s="16"/>
      <c r="T735" s="3"/>
      <c r="U735" s="3"/>
      <c r="V735" s="3"/>
      <c r="W735" s="16"/>
      <c r="X735" s="16"/>
      <c r="Y735" s="3"/>
      <c r="Z735" s="18"/>
      <c r="AA735" s="3"/>
      <c r="AB735" s="16"/>
      <c r="AC735" s="16"/>
      <c r="AD735" s="16"/>
      <c r="AE735" s="9"/>
      <c r="AF735" s="16"/>
      <c r="AG735" s="16"/>
      <c r="AH735" s="16"/>
      <c r="AI735" s="16"/>
      <c r="AJ735" s="16"/>
      <c r="AK735" s="16"/>
      <c r="AL735" s="16"/>
      <c r="AM735" s="3"/>
      <c r="AN735" s="3"/>
      <c r="AO735" s="3"/>
      <c r="AP735" s="3"/>
      <c r="AQ735" s="3"/>
      <c r="AR735" s="3"/>
      <c r="AS735" s="3"/>
      <c r="AT735" s="3"/>
      <c r="AU735" s="3"/>
      <c r="AV735" s="3"/>
    </row>
    <row r="736" spans="1:48" hidden="1" x14ac:dyDescent="0.25">
      <c r="A736" s="31"/>
      <c r="B736" s="31"/>
      <c r="C736" s="3"/>
      <c r="D736" s="3"/>
      <c r="E736" s="2"/>
      <c r="F736" s="3"/>
      <c r="G736" s="3"/>
      <c r="H736" s="16"/>
      <c r="I736" s="16"/>
      <c r="J736" s="3"/>
      <c r="K736" s="17"/>
      <c r="L736" s="16"/>
      <c r="M736" s="3"/>
      <c r="N736" s="3"/>
      <c r="O736" s="2"/>
      <c r="P736" s="3" t="s">
        <v>54</v>
      </c>
      <c r="Q736" s="3"/>
      <c r="R736" s="3"/>
      <c r="S736" s="16"/>
      <c r="T736" s="3"/>
      <c r="U736" s="3"/>
      <c r="V736" s="3"/>
      <c r="W736" s="16"/>
      <c r="X736" s="16"/>
      <c r="Y736" s="3"/>
      <c r="Z736" s="18"/>
      <c r="AA736" s="3"/>
      <c r="AB736" s="16"/>
      <c r="AC736" s="16"/>
      <c r="AD736" s="16"/>
      <c r="AE736" s="9"/>
      <c r="AF736" s="16"/>
      <c r="AG736" s="16"/>
      <c r="AH736" s="16"/>
      <c r="AI736" s="16"/>
      <c r="AJ736" s="16"/>
      <c r="AK736" s="16"/>
      <c r="AL736" s="16"/>
      <c r="AM736" s="3"/>
      <c r="AN736" s="3"/>
      <c r="AO736" s="3"/>
      <c r="AP736" s="3"/>
      <c r="AQ736" s="3"/>
      <c r="AR736" s="3"/>
      <c r="AS736" s="3"/>
      <c r="AT736" s="3"/>
      <c r="AU736" s="3"/>
      <c r="AV736" s="3"/>
    </row>
    <row r="737" spans="1:48" hidden="1" x14ac:dyDescent="0.25">
      <c r="A737" s="31"/>
      <c r="B737" s="31"/>
      <c r="C737" s="3"/>
      <c r="D737" s="3"/>
      <c r="E737" s="2"/>
      <c r="F737" s="3"/>
      <c r="G737" s="3"/>
      <c r="H737" s="16"/>
      <c r="I737" s="16"/>
      <c r="J737" s="3"/>
      <c r="K737" s="17"/>
      <c r="L737" s="16"/>
      <c r="M737" s="3"/>
      <c r="N737" s="3"/>
      <c r="O737" s="2"/>
      <c r="P737" s="3" t="s">
        <v>54</v>
      </c>
      <c r="Q737" s="3"/>
      <c r="R737" s="3"/>
      <c r="S737" s="16"/>
      <c r="T737" s="3"/>
      <c r="U737" s="3"/>
      <c r="V737" s="3"/>
      <c r="W737" s="16"/>
      <c r="X737" s="16"/>
      <c r="Y737" s="3"/>
      <c r="Z737" s="18"/>
      <c r="AA737" s="3"/>
      <c r="AB737" s="16"/>
      <c r="AC737" s="16"/>
      <c r="AD737" s="16"/>
      <c r="AE737" s="9"/>
      <c r="AF737" s="16"/>
      <c r="AG737" s="16"/>
      <c r="AH737" s="16"/>
      <c r="AI737" s="16"/>
      <c r="AJ737" s="16"/>
      <c r="AK737" s="16"/>
      <c r="AL737" s="16"/>
      <c r="AM737" s="3"/>
      <c r="AN737" s="3"/>
      <c r="AO737" s="3"/>
      <c r="AP737" s="3"/>
      <c r="AQ737" s="3"/>
      <c r="AR737" s="3"/>
      <c r="AS737" s="3"/>
      <c r="AT737" s="3"/>
      <c r="AU737" s="3"/>
      <c r="AV737" s="3"/>
    </row>
    <row r="738" spans="1:48" hidden="1" x14ac:dyDescent="0.25">
      <c r="A738" s="31"/>
      <c r="B738" s="31"/>
      <c r="C738" s="3"/>
      <c r="D738" s="3"/>
      <c r="E738" s="2"/>
      <c r="F738" s="3"/>
      <c r="G738" s="3"/>
      <c r="H738" s="16"/>
      <c r="I738" s="16"/>
      <c r="J738" s="3"/>
      <c r="K738" s="17"/>
      <c r="L738" s="16"/>
      <c r="M738" s="3"/>
      <c r="N738" s="3"/>
      <c r="O738" s="2"/>
      <c r="P738" s="3" t="s">
        <v>54</v>
      </c>
      <c r="Q738" s="3"/>
      <c r="R738" s="3"/>
      <c r="S738" s="16"/>
      <c r="T738" s="3"/>
      <c r="U738" s="3"/>
      <c r="V738" s="3"/>
      <c r="W738" s="16"/>
      <c r="X738" s="16"/>
      <c r="Y738" s="3"/>
      <c r="Z738" s="18"/>
      <c r="AA738" s="3"/>
      <c r="AB738" s="16"/>
      <c r="AC738" s="16"/>
      <c r="AD738" s="16"/>
      <c r="AE738" s="9"/>
      <c r="AF738" s="16"/>
      <c r="AG738" s="16"/>
      <c r="AH738" s="16"/>
      <c r="AI738" s="16"/>
      <c r="AJ738" s="16"/>
      <c r="AK738" s="16"/>
      <c r="AL738" s="16"/>
      <c r="AM738" s="3"/>
      <c r="AN738" s="3"/>
      <c r="AO738" s="3"/>
      <c r="AP738" s="3"/>
      <c r="AQ738" s="3"/>
      <c r="AR738" s="3"/>
      <c r="AS738" s="3"/>
      <c r="AT738" s="3"/>
      <c r="AU738" s="3"/>
      <c r="AV738" s="3"/>
    </row>
    <row r="739" spans="1:48" hidden="1" x14ac:dyDescent="0.25">
      <c r="A739" s="31"/>
      <c r="B739" s="31"/>
      <c r="C739" s="3"/>
      <c r="D739" s="3"/>
      <c r="E739" s="2"/>
      <c r="F739" s="3"/>
      <c r="G739" s="3"/>
      <c r="H739" s="16"/>
      <c r="I739" s="16"/>
      <c r="J739" s="3"/>
      <c r="K739" s="17"/>
      <c r="L739" s="16"/>
      <c r="M739" s="3"/>
      <c r="N739" s="3"/>
      <c r="O739" s="2"/>
      <c r="P739" s="3" t="s">
        <v>54</v>
      </c>
      <c r="Q739" s="3"/>
      <c r="R739" s="3"/>
      <c r="S739" s="16"/>
      <c r="T739" s="3"/>
      <c r="U739" s="3"/>
      <c r="V739" s="3"/>
      <c r="W739" s="16"/>
      <c r="X739" s="16"/>
      <c r="Y739" s="3"/>
      <c r="Z739" s="18"/>
      <c r="AA739" s="3"/>
      <c r="AB739" s="16"/>
      <c r="AC739" s="16"/>
      <c r="AD739" s="16"/>
      <c r="AE739" s="9"/>
      <c r="AF739" s="16"/>
      <c r="AG739" s="16"/>
      <c r="AH739" s="16"/>
      <c r="AI739" s="16"/>
      <c r="AJ739" s="16"/>
      <c r="AK739" s="16"/>
      <c r="AL739" s="16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 spans="1:48" hidden="1" x14ac:dyDescent="0.25">
      <c r="A740" s="31"/>
      <c r="B740" s="31"/>
      <c r="C740" s="3"/>
      <c r="D740" s="3"/>
      <c r="E740" s="2"/>
      <c r="F740" s="3"/>
      <c r="G740" s="3"/>
      <c r="H740" s="16"/>
      <c r="I740" s="16"/>
      <c r="J740" s="3"/>
      <c r="K740" s="17"/>
      <c r="L740" s="16"/>
      <c r="M740" s="3"/>
      <c r="N740" s="3"/>
      <c r="O740" s="2"/>
      <c r="P740" s="3" t="s">
        <v>54</v>
      </c>
      <c r="Q740" s="3"/>
      <c r="R740" s="3"/>
      <c r="S740" s="16"/>
      <c r="T740" s="3"/>
      <c r="U740" s="3"/>
      <c r="V740" s="3"/>
      <c r="W740" s="16"/>
      <c r="X740" s="16"/>
      <c r="Y740" s="3"/>
      <c r="Z740" s="18"/>
      <c r="AA740" s="3"/>
      <c r="AB740" s="16"/>
      <c r="AC740" s="16"/>
      <c r="AD740" s="16"/>
      <c r="AE740" s="9"/>
      <c r="AF740" s="16"/>
      <c r="AG740" s="16"/>
      <c r="AH740" s="16"/>
      <c r="AI740" s="16"/>
      <c r="AJ740" s="16"/>
      <c r="AK740" s="16"/>
      <c r="AL740" s="16"/>
      <c r="AM740" s="3"/>
      <c r="AN740" s="3"/>
      <c r="AO740" s="3"/>
      <c r="AP740" s="3"/>
      <c r="AQ740" s="3"/>
      <c r="AR740" s="3"/>
      <c r="AS740" s="3"/>
      <c r="AT740" s="3"/>
      <c r="AU740" s="3"/>
      <c r="AV740" s="3"/>
    </row>
    <row r="741" spans="1:48" hidden="1" x14ac:dyDescent="0.25">
      <c r="A741" s="31"/>
      <c r="B741" s="31"/>
      <c r="C741" s="3"/>
      <c r="D741" s="3"/>
      <c r="E741" s="2"/>
      <c r="F741" s="3"/>
      <c r="G741" s="3"/>
      <c r="H741" s="16"/>
      <c r="I741" s="16"/>
      <c r="J741" s="3"/>
      <c r="K741" s="17"/>
      <c r="L741" s="16"/>
      <c r="M741" s="3"/>
      <c r="N741" s="3"/>
      <c r="O741" s="2"/>
      <c r="P741" s="3" t="s">
        <v>54</v>
      </c>
      <c r="Q741" s="3"/>
      <c r="R741" s="3"/>
      <c r="S741" s="16"/>
      <c r="T741" s="3"/>
      <c r="U741" s="3"/>
      <c r="V741" s="3"/>
      <c r="W741" s="16"/>
      <c r="X741" s="16"/>
      <c r="Y741" s="3"/>
      <c r="Z741" s="18"/>
      <c r="AA741" s="3"/>
      <c r="AB741" s="16"/>
      <c r="AC741" s="16"/>
      <c r="AD741" s="16"/>
      <c r="AE741" s="9"/>
      <c r="AF741" s="16"/>
      <c r="AG741" s="16"/>
      <c r="AH741" s="16"/>
      <c r="AI741" s="16"/>
      <c r="AJ741" s="16"/>
      <c r="AK741" s="16"/>
      <c r="AL741" s="16"/>
      <c r="AM741" s="3"/>
      <c r="AN741" s="3"/>
      <c r="AO741" s="3"/>
      <c r="AP741" s="3"/>
      <c r="AQ741" s="3"/>
      <c r="AR741" s="3"/>
      <c r="AS741" s="3"/>
      <c r="AT741" s="3"/>
      <c r="AU741" s="3"/>
      <c r="AV741" s="3"/>
    </row>
    <row r="742" spans="1:48" hidden="1" x14ac:dyDescent="0.25">
      <c r="A742" s="31"/>
      <c r="B742" s="31"/>
      <c r="C742" s="3"/>
      <c r="D742" s="3"/>
      <c r="E742" s="2"/>
      <c r="F742" s="3"/>
      <c r="G742" s="3"/>
      <c r="H742" s="16"/>
      <c r="I742" s="16"/>
      <c r="J742" s="3"/>
      <c r="K742" s="17"/>
      <c r="L742" s="16"/>
      <c r="M742" s="3"/>
      <c r="N742" s="3"/>
      <c r="O742" s="2"/>
      <c r="P742" s="3" t="s">
        <v>54</v>
      </c>
      <c r="Q742" s="3"/>
      <c r="R742" s="3"/>
      <c r="S742" s="16"/>
      <c r="T742" s="3"/>
      <c r="U742" s="3"/>
      <c r="V742" s="3"/>
      <c r="W742" s="16"/>
      <c r="X742" s="16"/>
      <c r="Y742" s="3"/>
      <c r="Z742" s="18"/>
      <c r="AA742" s="3"/>
      <c r="AB742" s="16"/>
      <c r="AC742" s="16"/>
      <c r="AD742" s="16"/>
      <c r="AE742" s="9"/>
      <c r="AF742" s="16"/>
      <c r="AG742" s="16"/>
      <c r="AH742" s="16"/>
      <c r="AI742" s="16"/>
      <c r="AJ742" s="16"/>
      <c r="AK742" s="16"/>
      <c r="AL742" s="16"/>
      <c r="AM742" s="3"/>
      <c r="AN742" s="3"/>
      <c r="AO742" s="3"/>
      <c r="AP742" s="3"/>
      <c r="AQ742" s="3"/>
      <c r="AR742" s="3"/>
      <c r="AS742" s="3"/>
      <c r="AT742" s="3"/>
      <c r="AU742" s="3"/>
      <c r="AV742" s="3"/>
    </row>
    <row r="743" spans="1:48" hidden="1" x14ac:dyDescent="0.25">
      <c r="A743" s="31"/>
      <c r="B743" s="31"/>
      <c r="C743" s="3"/>
      <c r="D743" s="3"/>
      <c r="E743" s="2"/>
      <c r="F743" s="3"/>
      <c r="G743" s="3"/>
      <c r="H743" s="16"/>
      <c r="I743" s="16"/>
      <c r="J743" s="3"/>
      <c r="K743" s="17"/>
      <c r="L743" s="16"/>
      <c r="M743" s="3"/>
      <c r="N743" s="3"/>
      <c r="O743" s="2"/>
      <c r="P743" s="3" t="s">
        <v>54</v>
      </c>
      <c r="Q743" s="3"/>
      <c r="R743" s="3"/>
      <c r="S743" s="16"/>
      <c r="T743" s="3"/>
      <c r="U743" s="3"/>
      <c r="V743" s="3"/>
      <c r="W743" s="16"/>
      <c r="X743" s="16"/>
      <c r="Y743" s="3"/>
      <c r="Z743" s="18"/>
      <c r="AA743" s="3"/>
      <c r="AB743" s="16"/>
      <c r="AC743" s="16"/>
      <c r="AD743" s="16"/>
      <c r="AE743" s="9"/>
      <c r="AF743" s="16"/>
      <c r="AG743" s="16"/>
      <c r="AH743" s="16"/>
      <c r="AI743" s="16"/>
      <c r="AJ743" s="16"/>
      <c r="AK743" s="16"/>
      <c r="AL743" s="16"/>
      <c r="AM743" s="3"/>
      <c r="AN743" s="3"/>
      <c r="AO743" s="3"/>
      <c r="AP743" s="3"/>
      <c r="AQ743" s="3"/>
      <c r="AR743" s="3"/>
      <c r="AS743" s="3"/>
      <c r="AT743" s="3"/>
      <c r="AU743" s="3"/>
      <c r="AV743" s="3"/>
    </row>
    <row r="744" spans="1:48" hidden="1" x14ac:dyDescent="0.25">
      <c r="A744" s="31"/>
      <c r="B744" s="31"/>
      <c r="C744" s="3"/>
      <c r="D744" s="3"/>
      <c r="E744" s="2"/>
      <c r="F744" s="3"/>
      <c r="G744" s="3"/>
      <c r="H744" s="16"/>
      <c r="I744" s="16"/>
      <c r="J744" s="3"/>
      <c r="K744" s="17"/>
      <c r="L744" s="16"/>
      <c r="M744" s="3"/>
      <c r="N744" s="3"/>
      <c r="O744" s="2"/>
      <c r="P744" s="3" t="s">
        <v>54</v>
      </c>
      <c r="Q744" s="3"/>
      <c r="R744" s="3"/>
      <c r="S744" s="16"/>
      <c r="T744" s="3"/>
      <c r="U744" s="3"/>
      <c r="V744" s="3"/>
      <c r="W744" s="16"/>
      <c r="X744" s="16"/>
      <c r="Y744" s="3"/>
      <c r="Z744" s="18"/>
      <c r="AA744" s="3"/>
      <c r="AB744" s="16"/>
      <c r="AC744" s="16"/>
      <c r="AD744" s="16"/>
      <c r="AE744" s="9"/>
      <c r="AF744" s="16"/>
      <c r="AG744" s="16"/>
      <c r="AH744" s="16"/>
      <c r="AI744" s="16"/>
      <c r="AJ744" s="16"/>
      <c r="AK744" s="16"/>
      <c r="AL744" s="16"/>
      <c r="AM744" s="3"/>
      <c r="AN744" s="3"/>
      <c r="AO744" s="3"/>
      <c r="AP744" s="3"/>
      <c r="AQ744" s="3"/>
      <c r="AR744" s="3"/>
      <c r="AS744" s="3"/>
      <c r="AT744" s="3"/>
      <c r="AU744" s="3"/>
      <c r="AV744" s="3"/>
    </row>
    <row r="745" spans="1:48" hidden="1" x14ac:dyDescent="0.25">
      <c r="A745" s="31"/>
      <c r="B745" s="31"/>
      <c r="C745" s="3"/>
      <c r="D745" s="3"/>
      <c r="E745" s="2"/>
      <c r="F745" s="3"/>
      <c r="G745" s="3"/>
      <c r="H745" s="16"/>
      <c r="I745" s="16"/>
      <c r="J745" s="3"/>
      <c r="K745" s="17"/>
      <c r="L745" s="16"/>
      <c r="M745" s="3"/>
      <c r="N745" s="3"/>
      <c r="O745" s="2"/>
      <c r="P745" s="3" t="s">
        <v>54</v>
      </c>
      <c r="Q745" s="3"/>
      <c r="R745" s="3"/>
      <c r="S745" s="16"/>
      <c r="T745" s="3"/>
      <c r="U745" s="3"/>
      <c r="V745" s="3"/>
      <c r="W745" s="16"/>
      <c r="X745" s="16"/>
      <c r="Y745" s="3"/>
      <c r="Z745" s="18"/>
      <c r="AA745" s="3"/>
      <c r="AB745" s="16"/>
      <c r="AC745" s="16"/>
      <c r="AD745" s="16"/>
      <c r="AE745" s="9"/>
      <c r="AF745" s="16"/>
      <c r="AG745" s="16"/>
      <c r="AH745" s="16"/>
      <c r="AI745" s="16"/>
      <c r="AJ745" s="16"/>
      <c r="AK745" s="16"/>
      <c r="AL745" s="16"/>
      <c r="AM745" s="3"/>
      <c r="AN745" s="3"/>
      <c r="AO745" s="3"/>
      <c r="AP745" s="3"/>
      <c r="AQ745" s="3"/>
      <c r="AR745" s="3"/>
      <c r="AS745" s="3"/>
      <c r="AT745" s="3"/>
      <c r="AU745" s="3"/>
      <c r="AV745" s="3"/>
    </row>
    <row r="746" spans="1:48" hidden="1" x14ac:dyDescent="0.25">
      <c r="A746" s="31"/>
      <c r="B746" s="31"/>
      <c r="C746" s="3"/>
      <c r="D746" s="3"/>
      <c r="E746" s="2"/>
      <c r="F746" s="3"/>
      <c r="G746" s="3"/>
      <c r="H746" s="16"/>
      <c r="I746" s="16"/>
      <c r="J746" s="3"/>
      <c r="K746" s="17"/>
      <c r="L746" s="16"/>
      <c r="M746" s="3"/>
      <c r="N746" s="3"/>
      <c r="O746" s="2"/>
      <c r="P746" s="3" t="s">
        <v>54</v>
      </c>
      <c r="Q746" s="3"/>
      <c r="R746" s="3"/>
      <c r="S746" s="16"/>
      <c r="T746" s="3"/>
      <c r="U746" s="3"/>
      <c r="V746" s="3"/>
      <c r="W746" s="16"/>
      <c r="X746" s="16"/>
      <c r="Y746" s="3"/>
      <c r="Z746" s="18"/>
      <c r="AA746" s="3"/>
      <c r="AB746" s="16"/>
      <c r="AC746" s="16"/>
      <c r="AD746" s="16"/>
      <c r="AE746" s="9"/>
      <c r="AF746" s="16"/>
      <c r="AG746" s="16"/>
      <c r="AH746" s="16"/>
      <c r="AI746" s="16"/>
      <c r="AJ746" s="16"/>
      <c r="AK746" s="16"/>
      <c r="AL746" s="16"/>
      <c r="AM746" s="3"/>
      <c r="AN746" s="3"/>
      <c r="AO746" s="3"/>
      <c r="AP746" s="3"/>
      <c r="AQ746" s="3"/>
      <c r="AR746" s="3"/>
      <c r="AS746" s="3"/>
      <c r="AT746" s="3"/>
      <c r="AU746" s="3"/>
      <c r="AV746" s="3"/>
    </row>
    <row r="747" spans="1:48" hidden="1" x14ac:dyDescent="0.25">
      <c r="A747" s="31"/>
      <c r="B747" s="31"/>
      <c r="C747" s="3"/>
      <c r="D747" s="3"/>
      <c r="E747" s="2"/>
      <c r="F747" s="3"/>
      <c r="G747" s="3"/>
      <c r="H747" s="16"/>
      <c r="I747" s="16"/>
      <c r="J747" s="3"/>
      <c r="K747" s="17"/>
      <c r="L747" s="16"/>
      <c r="M747" s="3"/>
      <c r="N747" s="3"/>
      <c r="O747" s="2"/>
      <c r="P747" s="3" t="s">
        <v>54</v>
      </c>
      <c r="Q747" s="3"/>
      <c r="R747" s="3"/>
      <c r="S747" s="16"/>
      <c r="T747" s="3"/>
      <c r="U747" s="3"/>
      <c r="V747" s="3"/>
      <c r="W747" s="16"/>
      <c r="X747" s="16"/>
      <c r="Y747" s="3"/>
      <c r="Z747" s="18"/>
      <c r="AA747" s="3"/>
      <c r="AB747" s="16"/>
      <c r="AC747" s="16"/>
      <c r="AD747" s="16"/>
      <c r="AE747" s="9"/>
      <c r="AF747" s="16"/>
      <c r="AG747" s="16"/>
      <c r="AH747" s="16"/>
      <c r="AI747" s="16"/>
      <c r="AJ747" s="16"/>
      <c r="AK747" s="16"/>
      <c r="AL747" s="16"/>
      <c r="AM747" s="3"/>
      <c r="AN747" s="3"/>
      <c r="AO747" s="3"/>
      <c r="AP747" s="3"/>
      <c r="AQ747" s="3"/>
      <c r="AR747" s="3"/>
      <c r="AS747" s="3"/>
      <c r="AT747" s="3"/>
      <c r="AU747" s="3"/>
      <c r="AV747" s="3"/>
    </row>
    <row r="748" spans="1:48" hidden="1" x14ac:dyDescent="0.25">
      <c r="A748" s="31"/>
      <c r="B748" s="31"/>
      <c r="C748" s="3"/>
      <c r="D748" s="3"/>
      <c r="E748" s="2"/>
      <c r="F748" s="3"/>
      <c r="G748" s="3"/>
      <c r="H748" s="16"/>
      <c r="I748" s="16"/>
      <c r="J748" s="3"/>
      <c r="K748" s="17"/>
      <c r="L748" s="16"/>
      <c r="M748" s="3"/>
      <c r="N748" s="3"/>
      <c r="O748" s="2"/>
      <c r="P748" s="3" t="s">
        <v>54</v>
      </c>
      <c r="Q748" s="3"/>
      <c r="R748" s="3"/>
      <c r="S748" s="16"/>
      <c r="T748" s="3"/>
      <c r="U748" s="3"/>
      <c r="V748" s="3"/>
      <c r="W748" s="16"/>
      <c r="X748" s="16"/>
      <c r="Y748" s="3"/>
      <c r="Z748" s="18"/>
      <c r="AA748" s="3"/>
      <c r="AB748" s="16"/>
      <c r="AC748" s="16"/>
      <c r="AD748" s="16"/>
      <c r="AE748" s="9"/>
      <c r="AF748" s="16"/>
      <c r="AG748" s="16"/>
      <c r="AH748" s="16"/>
      <c r="AI748" s="16"/>
      <c r="AJ748" s="16"/>
      <c r="AK748" s="16"/>
      <c r="AL748" s="16"/>
      <c r="AM748" s="3"/>
      <c r="AN748" s="3"/>
      <c r="AO748" s="3"/>
      <c r="AP748" s="3"/>
      <c r="AQ748" s="3"/>
      <c r="AR748" s="3"/>
      <c r="AS748" s="3"/>
      <c r="AT748" s="3"/>
      <c r="AU748" s="3"/>
      <c r="AV748" s="3"/>
    </row>
    <row r="749" spans="1:48" hidden="1" x14ac:dyDescent="0.25">
      <c r="A749" s="31"/>
      <c r="B749" s="31"/>
      <c r="C749" s="3"/>
      <c r="D749" s="3"/>
      <c r="E749" s="2"/>
      <c r="F749" s="3"/>
      <c r="G749" s="3"/>
      <c r="H749" s="16"/>
      <c r="I749" s="16"/>
      <c r="J749" s="3"/>
      <c r="K749" s="17"/>
      <c r="L749" s="16"/>
      <c r="M749" s="3"/>
      <c r="N749" s="3"/>
      <c r="O749" s="2"/>
      <c r="P749" s="3" t="s">
        <v>54</v>
      </c>
      <c r="Q749" s="3"/>
      <c r="R749" s="3"/>
      <c r="S749" s="16"/>
      <c r="T749" s="3"/>
      <c r="U749" s="3"/>
      <c r="V749" s="3"/>
      <c r="W749" s="16"/>
      <c r="X749" s="16"/>
      <c r="Y749" s="3"/>
      <c r="Z749" s="18"/>
      <c r="AA749" s="3"/>
      <c r="AB749" s="16"/>
      <c r="AC749" s="16"/>
      <c r="AD749" s="16"/>
      <c r="AE749" s="9"/>
      <c r="AF749" s="16"/>
      <c r="AG749" s="16"/>
      <c r="AH749" s="16"/>
      <c r="AI749" s="16"/>
      <c r="AJ749" s="16"/>
      <c r="AK749" s="16"/>
      <c r="AL749" s="16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 spans="1:48" hidden="1" x14ac:dyDescent="0.25">
      <c r="A750" s="31"/>
      <c r="B750" s="31"/>
      <c r="C750" s="3"/>
      <c r="D750" s="3"/>
      <c r="E750" s="2"/>
      <c r="F750" s="3"/>
      <c r="G750" s="3"/>
      <c r="H750" s="16"/>
      <c r="I750" s="16"/>
      <c r="J750" s="3"/>
      <c r="K750" s="17"/>
      <c r="L750" s="16"/>
      <c r="M750" s="3"/>
      <c r="N750" s="3"/>
      <c r="O750" s="2"/>
      <c r="P750" s="3" t="s">
        <v>54</v>
      </c>
      <c r="Q750" s="3"/>
      <c r="R750" s="3"/>
      <c r="S750" s="16"/>
      <c r="T750" s="3"/>
      <c r="U750" s="3"/>
      <c r="V750" s="3"/>
      <c r="W750" s="16"/>
      <c r="X750" s="16"/>
      <c r="Y750" s="3"/>
      <c r="Z750" s="18"/>
      <c r="AA750" s="3"/>
      <c r="AB750" s="16"/>
      <c r="AC750" s="16"/>
      <c r="AD750" s="16"/>
      <c r="AE750" s="9"/>
      <c r="AF750" s="16"/>
      <c r="AG750" s="16"/>
      <c r="AH750" s="16"/>
      <c r="AI750" s="16"/>
      <c r="AJ750" s="16"/>
      <c r="AK750" s="16"/>
      <c r="AL750" s="16"/>
      <c r="AM750" s="3"/>
      <c r="AN750" s="3"/>
      <c r="AO750" s="3"/>
      <c r="AP750" s="3"/>
      <c r="AQ750" s="3"/>
      <c r="AR750" s="3"/>
      <c r="AS750" s="3"/>
      <c r="AT750" s="3"/>
      <c r="AU750" s="3"/>
      <c r="AV750" s="3"/>
    </row>
    <row r="751" spans="1:48" hidden="1" x14ac:dyDescent="0.25">
      <c r="A751" s="31"/>
      <c r="B751" s="31"/>
      <c r="C751" s="3"/>
      <c r="D751" s="3"/>
      <c r="E751" s="2"/>
      <c r="F751" s="3"/>
      <c r="G751" s="3"/>
      <c r="H751" s="16"/>
      <c r="I751" s="16"/>
      <c r="J751" s="3"/>
      <c r="K751" s="17"/>
      <c r="L751" s="16"/>
      <c r="M751" s="3"/>
      <c r="N751" s="3"/>
      <c r="O751" s="2"/>
      <c r="P751" s="3" t="s">
        <v>54</v>
      </c>
      <c r="Q751" s="3"/>
      <c r="R751" s="3"/>
      <c r="S751" s="16"/>
      <c r="T751" s="3"/>
      <c r="U751" s="3"/>
      <c r="V751" s="3"/>
      <c r="W751" s="16"/>
      <c r="X751" s="16"/>
      <c r="Y751" s="3"/>
      <c r="Z751" s="18"/>
      <c r="AA751" s="3"/>
      <c r="AB751" s="16"/>
      <c r="AC751" s="16"/>
      <c r="AD751" s="16"/>
      <c r="AE751" s="9"/>
      <c r="AF751" s="16"/>
      <c r="AG751" s="16"/>
      <c r="AH751" s="16"/>
      <c r="AI751" s="16"/>
      <c r="AJ751" s="16"/>
      <c r="AK751" s="16"/>
      <c r="AL751" s="16"/>
      <c r="AM751" s="3"/>
      <c r="AN751" s="3"/>
      <c r="AO751" s="3"/>
      <c r="AP751" s="3"/>
      <c r="AQ751" s="3"/>
      <c r="AR751" s="3"/>
      <c r="AS751" s="3"/>
      <c r="AT751" s="3"/>
      <c r="AU751" s="3"/>
      <c r="AV751" s="3"/>
    </row>
    <row r="752" spans="1:48" hidden="1" x14ac:dyDescent="0.25">
      <c r="A752" s="31"/>
      <c r="B752" s="31"/>
      <c r="C752" s="3"/>
      <c r="D752" s="3"/>
      <c r="E752" s="2"/>
      <c r="F752" s="3"/>
      <c r="G752" s="3"/>
      <c r="H752" s="16"/>
      <c r="I752" s="16"/>
      <c r="J752" s="3"/>
      <c r="K752" s="17"/>
      <c r="L752" s="16"/>
      <c r="M752" s="3"/>
      <c r="N752" s="3"/>
      <c r="O752" s="2"/>
      <c r="P752" s="3" t="s">
        <v>54</v>
      </c>
      <c r="Q752" s="3"/>
      <c r="R752" s="3"/>
      <c r="S752" s="16"/>
      <c r="T752" s="3"/>
      <c r="U752" s="3"/>
      <c r="V752" s="3"/>
      <c r="W752" s="16"/>
      <c r="X752" s="16"/>
      <c r="Y752" s="3"/>
      <c r="Z752" s="18"/>
      <c r="AA752" s="3"/>
      <c r="AB752" s="16"/>
      <c r="AC752" s="16"/>
      <c r="AD752" s="16"/>
      <c r="AE752" s="9"/>
      <c r="AF752" s="16"/>
      <c r="AG752" s="16"/>
      <c r="AH752" s="16"/>
      <c r="AI752" s="16"/>
      <c r="AJ752" s="16"/>
      <c r="AK752" s="16"/>
      <c r="AL752" s="16"/>
      <c r="AM752" s="3"/>
      <c r="AN752" s="3"/>
      <c r="AO752" s="3"/>
      <c r="AP752" s="3"/>
      <c r="AQ752" s="3"/>
      <c r="AR752" s="3"/>
      <c r="AS752" s="3"/>
      <c r="AT752" s="3"/>
      <c r="AU752" s="3"/>
      <c r="AV752" s="3"/>
    </row>
    <row r="753" spans="1:48" hidden="1" x14ac:dyDescent="0.25">
      <c r="A753" s="31"/>
      <c r="B753" s="31"/>
      <c r="C753" s="3"/>
      <c r="D753" s="3"/>
      <c r="E753" s="2"/>
      <c r="F753" s="3"/>
      <c r="G753" s="3"/>
      <c r="H753" s="16"/>
      <c r="I753" s="16"/>
      <c r="J753" s="3"/>
      <c r="K753" s="17"/>
      <c r="L753" s="16"/>
      <c r="M753" s="3"/>
      <c r="N753" s="3"/>
      <c r="O753" s="2"/>
      <c r="P753" s="3" t="s">
        <v>54</v>
      </c>
      <c r="Q753" s="3"/>
      <c r="R753" s="3"/>
      <c r="S753" s="16"/>
      <c r="T753" s="3"/>
      <c r="U753" s="3"/>
      <c r="V753" s="3"/>
      <c r="W753" s="16"/>
      <c r="X753" s="16"/>
      <c r="Y753" s="3"/>
      <c r="Z753" s="18"/>
      <c r="AA753" s="3"/>
      <c r="AB753" s="16"/>
      <c r="AC753" s="16"/>
      <c r="AD753" s="16"/>
      <c r="AE753" s="9"/>
      <c r="AF753" s="16"/>
      <c r="AG753" s="16"/>
      <c r="AH753" s="16"/>
      <c r="AI753" s="16"/>
      <c r="AJ753" s="16"/>
      <c r="AK753" s="16"/>
      <c r="AL753" s="16"/>
      <c r="AM753" s="3"/>
      <c r="AN753" s="3"/>
      <c r="AO753" s="3"/>
      <c r="AP753" s="3"/>
      <c r="AQ753" s="3"/>
      <c r="AR753" s="3"/>
      <c r="AS753" s="3"/>
      <c r="AT753" s="3"/>
      <c r="AU753" s="3"/>
      <c r="AV753" s="3"/>
    </row>
    <row r="754" spans="1:48" hidden="1" x14ac:dyDescent="0.25">
      <c r="A754" s="31"/>
      <c r="B754" s="31"/>
      <c r="C754" s="3"/>
      <c r="D754" s="3"/>
      <c r="E754" s="2"/>
      <c r="F754" s="3"/>
      <c r="G754" s="3"/>
      <c r="H754" s="16"/>
      <c r="I754" s="16"/>
      <c r="J754" s="3"/>
      <c r="K754" s="17"/>
      <c r="L754" s="16"/>
      <c r="M754" s="3"/>
      <c r="N754" s="3"/>
      <c r="O754" s="2"/>
      <c r="P754" s="3" t="s">
        <v>54</v>
      </c>
      <c r="Q754" s="3"/>
      <c r="R754" s="3"/>
      <c r="S754" s="16"/>
      <c r="T754" s="3"/>
      <c r="U754" s="3"/>
      <c r="V754" s="3"/>
      <c r="W754" s="16"/>
      <c r="X754" s="16"/>
      <c r="Y754" s="3"/>
      <c r="Z754" s="18"/>
      <c r="AA754" s="3"/>
      <c r="AB754" s="16"/>
      <c r="AC754" s="16"/>
      <c r="AD754" s="16"/>
      <c r="AE754" s="9"/>
      <c r="AF754" s="16"/>
      <c r="AG754" s="16"/>
      <c r="AH754" s="16"/>
      <c r="AI754" s="16"/>
      <c r="AJ754" s="16"/>
      <c r="AK754" s="16"/>
      <c r="AL754" s="16"/>
      <c r="AM754" s="3"/>
      <c r="AN754" s="3"/>
      <c r="AO754" s="3"/>
      <c r="AP754" s="3"/>
      <c r="AQ754" s="3"/>
      <c r="AR754" s="3"/>
      <c r="AS754" s="3"/>
      <c r="AT754" s="3"/>
      <c r="AU754" s="3"/>
      <c r="AV754" s="3"/>
    </row>
    <row r="755" spans="1:48" hidden="1" x14ac:dyDescent="0.25">
      <c r="A755" s="31"/>
      <c r="B755" s="31"/>
      <c r="C755" s="3"/>
      <c r="D755" s="3"/>
      <c r="E755" s="2"/>
      <c r="F755" s="3"/>
      <c r="G755" s="3"/>
      <c r="H755" s="16"/>
      <c r="I755" s="16"/>
      <c r="J755" s="3"/>
      <c r="K755" s="17"/>
      <c r="L755" s="16"/>
      <c r="M755" s="3"/>
      <c r="N755" s="3"/>
      <c r="O755" s="2"/>
      <c r="P755" s="3" t="s">
        <v>54</v>
      </c>
      <c r="Q755" s="3"/>
      <c r="R755" s="3"/>
      <c r="S755" s="16"/>
      <c r="T755" s="3"/>
      <c r="U755" s="3"/>
      <c r="V755" s="3"/>
      <c r="W755" s="16"/>
      <c r="X755" s="16"/>
      <c r="Y755" s="3"/>
      <c r="Z755" s="18"/>
      <c r="AA755" s="3"/>
      <c r="AB755" s="16"/>
      <c r="AC755" s="16"/>
      <c r="AD755" s="16"/>
      <c r="AE755" s="9"/>
      <c r="AF755" s="16"/>
      <c r="AG755" s="16"/>
      <c r="AH755" s="16"/>
      <c r="AI755" s="16"/>
      <c r="AJ755" s="16"/>
      <c r="AK755" s="16"/>
      <c r="AL755" s="16"/>
      <c r="AM755" s="3"/>
      <c r="AN755" s="3"/>
      <c r="AO755" s="3"/>
      <c r="AP755" s="3"/>
      <c r="AQ755" s="3"/>
      <c r="AR755" s="3"/>
      <c r="AS755" s="3"/>
      <c r="AT755" s="3"/>
      <c r="AU755" s="3"/>
      <c r="AV755" s="3"/>
    </row>
    <row r="756" spans="1:48" hidden="1" x14ac:dyDescent="0.25">
      <c r="A756" s="31"/>
      <c r="B756" s="31"/>
      <c r="C756" s="3"/>
      <c r="D756" s="3"/>
      <c r="E756" s="2"/>
      <c r="F756" s="3"/>
      <c r="G756" s="3"/>
      <c r="H756" s="16"/>
      <c r="I756" s="16"/>
      <c r="J756" s="3"/>
      <c r="K756" s="17"/>
      <c r="L756" s="16"/>
      <c r="M756" s="3"/>
      <c r="N756" s="3"/>
      <c r="O756" s="2"/>
      <c r="P756" s="3" t="s">
        <v>54</v>
      </c>
      <c r="Q756" s="3"/>
      <c r="R756" s="3"/>
      <c r="S756" s="16"/>
      <c r="T756" s="3"/>
      <c r="U756" s="3"/>
      <c r="V756" s="3"/>
      <c r="W756" s="16"/>
      <c r="X756" s="16"/>
      <c r="Y756" s="3"/>
      <c r="Z756" s="18"/>
      <c r="AA756" s="3"/>
      <c r="AB756" s="16"/>
      <c r="AC756" s="16"/>
      <c r="AD756" s="16"/>
      <c r="AE756" s="9"/>
      <c r="AF756" s="16"/>
      <c r="AG756" s="16"/>
      <c r="AH756" s="16"/>
      <c r="AI756" s="16"/>
      <c r="AJ756" s="16"/>
      <c r="AK756" s="16"/>
      <c r="AL756" s="16"/>
      <c r="AM756" s="3"/>
      <c r="AN756" s="3"/>
      <c r="AO756" s="3"/>
      <c r="AP756" s="3"/>
      <c r="AQ756" s="3"/>
      <c r="AR756" s="3"/>
      <c r="AS756" s="3"/>
      <c r="AT756" s="3"/>
      <c r="AU756" s="3"/>
      <c r="AV756" s="3"/>
    </row>
    <row r="757" spans="1:48" hidden="1" x14ac:dyDescent="0.25">
      <c r="A757" s="31"/>
      <c r="B757" s="31"/>
      <c r="C757" s="3"/>
      <c r="D757" s="3"/>
      <c r="E757" s="2"/>
      <c r="F757" s="3"/>
      <c r="G757" s="3"/>
      <c r="H757" s="16"/>
      <c r="I757" s="16"/>
      <c r="J757" s="3"/>
      <c r="K757" s="17"/>
      <c r="L757" s="16"/>
      <c r="M757" s="3"/>
      <c r="N757" s="3"/>
      <c r="O757" s="2"/>
      <c r="P757" s="3" t="s">
        <v>54</v>
      </c>
      <c r="Q757" s="3"/>
      <c r="R757" s="3"/>
      <c r="S757" s="16"/>
      <c r="T757" s="3"/>
      <c r="U757" s="3"/>
      <c r="V757" s="3"/>
      <c r="W757" s="16"/>
      <c r="X757" s="16"/>
      <c r="Y757" s="3"/>
      <c r="Z757" s="18"/>
      <c r="AA757" s="3"/>
      <c r="AB757" s="16"/>
      <c r="AC757" s="16"/>
      <c r="AD757" s="16"/>
      <c r="AE757" s="9"/>
      <c r="AF757" s="16"/>
      <c r="AG757" s="16"/>
      <c r="AH757" s="16"/>
      <c r="AI757" s="16"/>
      <c r="AJ757" s="16"/>
      <c r="AK757" s="16"/>
      <c r="AL757" s="16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 spans="1:48" hidden="1" x14ac:dyDescent="0.25">
      <c r="A758" s="31"/>
      <c r="B758" s="31"/>
      <c r="C758" s="3"/>
      <c r="D758" s="3"/>
      <c r="E758" s="2"/>
      <c r="F758" s="3"/>
      <c r="G758" s="3"/>
      <c r="H758" s="16"/>
      <c r="I758" s="16"/>
      <c r="J758" s="3"/>
      <c r="K758" s="17"/>
      <c r="L758" s="16"/>
      <c r="M758" s="3"/>
      <c r="N758" s="3"/>
      <c r="O758" s="2"/>
      <c r="P758" s="3" t="s">
        <v>54</v>
      </c>
      <c r="Q758" s="3"/>
      <c r="R758" s="3"/>
      <c r="S758" s="16"/>
      <c r="T758" s="3"/>
      <c r="U758" s="3"/>
      <c r="V758" s="3"/>
      <c r="W758" s="16"/>
      <c r="X758" s="16"/>
      <c r="Y758" s="3"/>
      <c r="Z758" s="18"/>
      <c r="AA758" s="3"/>
      <c r="AB758" s="16"/>
      <c r="AC758" s="16"/>
      <c r="AD758" s="16"/>
      <c r="AE758" s="9"/>
      <c r="AF758" s="16"/>
      <c r="AG758" s="16"/>
      <c r="AH758" s="16"/>
      <c r="AI758" s="16"/>
      <c r="AJ758" s="16"/>
      <c r="AK758" s="16"/>
      <c r="AL758" s="16"/>
      <c r="AM758" s="3"/>
      <c r="AN758" s="3"/>
      <c r="AO758" s="3"/>
      <c r="AP758" s="3"/>
      <c r="AQ758" s="3"/>
      <c r="AR758" s="3"/>
      <c r="AS758" s="3"/>
      <c r="AT758" s="3"/>
      <c r="AU758" s="3"/>
      <c r="AV758" s="3"/>
    </row>
    <row r="759" spans="1:48" hidden="1" x14ac:dyDescent="0.25">
      <c r="A759" s="31"/>
      <c r="B759" s="31"/>
      <c r="C759" s="3"/>
      <c r="D759" s="3"/>
      <c r="E759" s="2"/>
      <c r="F759" s="3"/>
      <c r="G759" s="3"/>
      <c r="H759" s="16"/>
      <c r="I759" s="16"/>
      <c r="J759" s="3"/>
      <c r="K759" s="17"/>
      <c r="L759" s="16"/>
      <c r="M759" s="3"/>
      <c r="N759" s="3"/>
      <c r="O759" s="2"/>
      <c r="P759" s="3" t="s">
        <v>54</v>
      </c>
      <c r="Q759" s="3"/>
      <c r="R759" s="3"/>
      <c r="S759" s="16"/>
      <c r="T759" s="3"/>
      <c r="U759" s="3"/>
      <c r="V759" s="3"/>
      <c r="W759" s="16"/>
      <c r="X759" s="16"/>
      <c r="Y759" s="3"/>
      <c r="Z759" s="18"/>
      <c r="AA759" s="3"/>
      <c r="AB759" s="16"/>
      <c r="AC759" s="16"/>
      <c r="AD759" s="16"/>
      <c r="AE759" s="9"/>
      <c r="AF759" s="16"/>
      <c r="AG759" s="16"/>
      <c r="AH759" s="16"/>
      <c r="AI759" s="16"/>
      <c r="AJ759" s="16"/>
      <c r="AK759" s="16"/>
      <c r="AL759" s="16"/>
      <c r="AM759" s="3"/>
      <c r="AN759" s="3"/>
      <c r="AO759" s="3"/>
      <c r="AP759" s="3"/>
      <c r="AQ759" s="3"/>
      <c r="AR759" s="3"/>
      <c r="AS759" s="3"/>
      <c r="AT759" s="3"/>
      <c r="AU759" s="3"/>
      <c r="AV759" s="3"/>
    </row>
    <row r="760" spans="1:48" hidden="1" x14ac:dyDescent="0.25">
      <c r="A760" s="31"/>
      <c r="B760" s="31"/>
      <c r="C760" s="3"/>
      <c r="D760" s="3"/>
      <c r="E760" s="2"/>
      <c r="F760" s="3"/>
      <c r="G760" s="3"/>
      <c r="H760" s="16"/>
      <c r="I760" s="16"/>
      <c r="J760" s="3"/>
      <c r="K760" s="17"/>
      <c r="L760" s="16"/>
      <c r="M760" s="3"/>
      <c r="N760" s="3"/>
      <c r="O760" s="2"/>
      <c r="P760" s="3" t="s">
        <v>54</v>
      </c>
      <c r="Q760" s="3"/>
      <c r="R760" s="3"/>
      <c r="S760" s="16"/>
      <c r="T760" s="3"/>
      <c r="U760" s="3"/>
      <c r="V760" s="3"/>
      <c r="W760" s="16"/>
      <c r="X760" s="16"/>
      <c r="Y760" s="3"/>
      <c r="Z760" s="18"/>
      <c r="AA760" s="3"/>
      <c r="AB760" s="16"/>
      <c r="AC760" s="16"/>
      <c r="AD760" s="16"/>
      <c r="AE760" s="9"/>
      <c r="AF760" s="16"/>
      <c r="AG760" s="16"/>
      <c r="AH760" s="16"/>
      <c r="AI760" s="16"/>
      <c r="AJ760" s="16"/>
      <c r="AK760" s="16"/>
      <c r="AL760" s="16"/>
      <c r="AM760" s="3"/>
      <c r="AN760" s="3"/>
      <c r="AO760" s="3"/>
      <c r="AP760" s="3"/>
      <c r="AQ760" s="3"/>
      <c r="AR760" s="3"/>
      <c r="AS760" s="3"/>
      <c r="AT760" s="3"/>
      <c r="AU760" s="3"/>
      <c r="AV760" s="3"/>
    </row>
    <row r="761" spans="1:48" hidden="1" x14ac:dyDescent="0.25">
      <c r="A761" s="31"/>
      <c r="B761" s="31"/>
      <c r="C761" s="3"/>
      <c r="D761" s="3"/>
      <c r="E761" s="2"/>
      <c r="F761" s="3"/>
      <c r="G761" s="3"/>
      <c r="H761" s="16"/>
      <c r="I761" s="16"/>
      <c r="J761" s="3"/>
      <c r="K761" s="17"/>
      <c r="L761" s="16"/>
      <c r="M761" s="3"/>
      <c r="N761" s="3"/>
      <c r="O761" s="2"/>
      <c r="P761" s="3" t="s">
        <v>54</v>
      </c>
      <c r="Q761" s="3"/>
      <c r="R761" s="3"/>
      <c r="S761" s="16"/>
      <c r="T761" s="3"/>
      <c r="U761" s="3"/>
      <c r="V761" s="3"/>
      <c r="W761" s="16"/>
      <c r="X761" s="16"/>
      <c r="Y761" s="3"/>
      <c r="Z761" s="18"/>
      <c r="AA761" s="3"/>
      <c r="AB761" s="16"/>
      <c r="AC761" s="16"/>
      <c r="AD761" s="16"/>
      <c r="AE761" s="9"/>
      <c r="AF761" s="16"/>
      <c r="AG761" s="16"/>
      <c r="AH761" s="16"/>
      <c r="AI761" s="16"/>
      <c r="AJ761" s="16"/>
      <c r="AK761" s="16"/>
      <c r="AL761" s="16"/>
      <c r="AM761" s="3"/>
      <c r="AN761" s="3"/>
      <c r="AO761" s="3"/>
      <c r="AP761" s="3"/>
      <c r="AQ761" s="3"/>
      <c r="AR761" s="3"/>
      <c r="AS761" s="3"/>
      <c r="AT761" s="3"/>
      <c r="AU761" s="3"/>
      <c r="AV761" s="3"/>
    </row>
    <row r="762" spans="1:48" hidden="1" x14ac:dyDescent="0.25">
      <c r="A762" s="31"/>
      <c r="B762" s="31"/>
      <c r="C762" s="3"/>
      <c r="D762" s="3"/>
      <c r="E762" s="2"/>
      <c r="F762" s="3"/>
      <c r="G762" s="3"/>
      <c r="H762" s="16"/>
      <c r="I762" s="16"/>
      <c r="J762" s="3"/>
      <c r="K762" s="17"/>
      <c r="L762" s="16"/>
      <c r="M762" s="3"/>
      <c r="N762" s="3"/>
      <c r="O762" s="2"/>
      <c r="P762" s="3" t="s">
        <v>54</v>
      </c>
      <c r="Q762" s="3"/>
      <c r="R762" s="3"/>
      <c r="S762" s="16"/>
      <c r="T762" s="3"/>
      <c r="U762" s="3"/>
      <c r="V762" s="3"/>
      <c r="W762" s="16"/>
      <c r="X762" s="16"/>
      <c r="Y762" s="3"/>
      <c r="Z762" s="18"/>
      <c r="AA762" s="3"/>
      <c r="AB762" s="16"/>
      <c r="AC762" s="16"/>
      <c r="AD762" s="16"/>
      <c r="AE762" s="9"/>
      <c r="AF762" s="16"/>
      <c r="AG762" s="16"/>
      <c r="AH762" s="16"/>
      <c r="AI762" s="16"/>
      <c r="AJ762" s="16"/>
      <c r="AK762" s="16"/>
      <c r="AL762" s="16"/>
      <c r="AM762" s="3"/>
      <c r="AN762" s="3"/>
      <c r="AO762" s="3"/>
      <c r="AP762" s="3"/>
      <c r="AQ762" s="3"/>
      <c r="AR762" s="3"/>
      <c r="AS762" s="3"/>
      <c r="AT762" s="3"/>
      <c r="AU762" s="3"/>
      <c r="AV762" s="3"/>
    </row>
    <row r="763" spans="1:48" hidden="1" x14ac:dyDescent="0.25">
      <c r="A763" s="31"/>
      <c r="B763" s="31"/>
      <c r="C763" s="3"/>
      <c r="D763" s="3"/>
      <c r="E763" s="2"/>
      <c r="F763" s="3"/>
      <c r="G763" s="3"/>
      <c r="H763" s="16"/>
      <c r="I763" s="16"/>
      <c r="J763" s="3"/>
      <c r="K763" s="17"/>
      <c r="L763" s="16"/>
      <c r="M763" s="3"/>
      <c r="N763" s="3"/>
      <c r="O763" s="2"/>
      <c r="P763" s="3" t="s">
        <v>54</v>
      </c>
      <c r="Q763" s="3"/>
      <c r="R763" s="3"/>
      <c r="S763" s="16"/>
      <c r="T763" s="3"/>
      <c r="U763" s="3"/>
      <c r="V763" s="3"/>
      <c r="W763" s="16"/>
      <c r="X763" s="16"/>
      <c r="Y763" s="3"/>
      <c r="Z763" s="18"/>
      <c r="AA763" s="3"/>
      <c r="AB763" s="16"/>
      <c r="AC763" s="16"/>
      <c r="AD763" s="16"/>
      <c r="AE763" s="9"/>
      <c r="AF763" s="16"/>
      <c r="AG763" s="16"/>
      <c r="AH763" s="16"/>
      <c r="AI763" s="16"/>
      <c r="AJ763" s="16"/>
      <c r="AK763" s="16"/>
      <c r="AL763" s="16"/>
      <c r="AM763" s="3"/>
      <c r="AN763" s="3"/>
      <c r="AO763" s="3"/>
      <c r="AP763" s="3"/>
      <c r="AQ763" s="3"/>
      <c r="AR763" s="3"/>
      <c r="AS763" s="3"/>
      <c r="AT763" s="3"/>
      <c r="AU763" s="3"/>
      <c r="AV763" s="3"/>
    </row>
    <row r="764" spans="1:48" hidden="1" x14ac:dyDescent="0.25">
      <c r="A764" s="31"/>
      <c r="B764" s="31"/>
      <c r="C764" s="3"/>
      <c r="D764" s="3"/>
      <c r="E764" s="2"/>
      <c r="F764" s="3"/>
      <c r="G764" s="3"/>
      <c r="H764" s="16"/>
      <c r="I764" s="16"/>
      <c r="J764" s="3"/>
      <c r="K764" s="17"/>
      <c r="L764" s="16"/>
      <c r="M764" s="3"/>
      <c r="N764" s="3"/>
      <c r="O764" s="2"/>
      <c r="P764" s="3" t="s">
        <v>54</v>
      </c>
      <c r="Q764" s="3"/>
      <c r="R764" s="3"/>
      <c r="S764" s="16"/>
      <c r="T764" s="3"/>
      <c r="U764" s="3"/>
      <c r="V764" s="3"/>
      <c r="W764" s="16"/>
      <c r="X764" s="16"/>
      <c r="Y764" s="3"/>
      <c r="Z764" s="18"/>
      <c r="AA764" s="3"/>
      <c r="AB764" s="16"/>
      <c r="AC764" s="16"/>
      <c r="AD764" s="16"/>
      <c r="AE764" s="9"/>
      <c r="AF764" s="16"/>
      <c r="AG764" s="16"/>
      <c r="AH764" s="16"/>
      <c r="AI764" s="16"/>
      <c r="AJ764" s="16"/>
      <c r="AK764" s="16"/>
      <c r="AL764" s="16"/>
      <c r="AM764" s="3"/>
      <c r="AN764" s="3"/>
      <c r="AO764" s="3"/>
      <c r="AP764" s="3"/>
      <c r="AQ764" s="3"/>
      <c r="AR764" s="3"/>
      <c r="AS764" s="3"/>
      <c r="AT764" s="3"/>
      <c r="AU764" s="3"/>
      <c r="AV764" s="3"/>
    </row>
    <row r="765" spans="1:48" hidden="1" x14ac:dyDescent="0.25">
      <c r="A765" s="31"/>
      <c r="B765" s="31"/>
      <c r="C765" s="3"/>
      <c r="D765" s="3"/>
      <c r="E765" s="2"/>
      <c r="F765" s="3"/>
      <c r="G765" s="3"/>
      <c r="H765" s="16"/>
      <c r="I765" s="16"/>
      <c r="J765" s="3"/>
      <c r="K765" s="17"/>
      <c r="L765" s="16"/>
      <c r="M765" s="3"/>
      <c r="N765" s="3"/>
      <c r="O765" s="2"/>
      <c r="P765" s="3" t="s">
        <v>54</v>
      </c>
      <c r="Q765" s="3"/>
      <c r="R765" s="3"/>
      <c r="S765" s="16"/>
      <c r="T765" s="3"/>
      <c r="U765" s="3"/>
      <c r="V765" s="3"/>
      <c r="W765" s="16"/>
      <c r="X765" s="16"/>
      <c r="Y765" s="3"/>
      <c r="Z765" s="18"/>
      <c r="AA765" s="3"/>
      <c r="AB765" s="16"/>
      <c r="AC765" s="16"/>
      <c r="AD765" s="16"/>
      <c r="AE765" s="9"/>
      <c r="AF765" s="16"/>
      <c r="AG765" s="16"/>
      <c r="AH765" s="16"/>
      <c r="AI765" s="16"/>
      <c r="AJ765" s="16"/>
      <c r="AK765" s="16"/>
      <c r="AL765" s="16"/>
      <c r="AM765" s="3"/>
      <c r="AN765" s="3"/>
      <c r="AO765" s="3"/>
      <c r="AP765" s="3"/>
      <c r="AQ765" s="3"/>
      <c r="AR765" s="3"/>
      <c r="AS765" s="3"/>
      <c r="AT765" s="3"/>
      <c r="AU765" s="3"/>
      <c r="AV765" s="3"/>
    </row>
    <row r="766" spans="1:48" hidden="1" x14ac:dyDescent="0.25">
      <c r="A766" s="31"/>
      <c r="B766" s="31"/>
      <c r="C766" s="3"/>
      <c r="D766" s="3"/>
      <c r="E766" s="2"/>
      <c r="F766" s="3"/>
      <c r="G766" s="3"/>
      <c r="H766" s="16"/>
      <c r="I766" s="16"/>
      <c r="J766" s="3"/>
      <c r="K766" s="17"/>
      <c r="L766" s="16"/>
      <c r="M766" s="3"/>
      <c r="N766" s="3"/>
      <c r="O766" s="2"/>
      <c r="P766" s="3" t="s">
        <v>54</v>
      </c>
      <c r="Q766" s="3"/>
      <c r="R766" s="3"/>
      <c r="S766" s="16"/>
      <c r="T766" s="3"/>
      <c r="U766" s="3"/>
      <c r="V766" s="3"/>
      <c r="W766" s="16"/>
      <c r="X766" s="16"/>
      <c r="Y766" s="3"/>
      <c r="Z766" s="18"/>
      <c r="AA766" s="3"/>
      <c r="AB766" s="16"/>
      <c r="AC766" s="16"/>
      <c r="AD766" s="16"/>
      <c r="AE766" s="9"/>
      <c r="AF766" s="16"/>
      <c r="AG766" s="16"/>
      <c r="AH766" s="16"/>
      <c r="AI766" s="16"/>
      <c r="AJ766" s="16"/>
      <c r="AK766" s="16"/>
      <c r="AL766" s="16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 spans="1:48" hidden="1" x14ac:dyDescent="0.25">
      <c r="A767" s="31"/>
      <c r="B767" s="31"/>
      <c r="C767" s="3"/>
      <c r="D767" s="3"/>
      <c r="E767" s="2"/>
      <c r="F767" s="3"/>
      <c r="G767" s="3"/>
      <c r="H767" s="16"/>
      <c r="I767" s="16"/>
      <c r="J767" s="3"/>
      <c r="K767" s="17"/>
      <c r="L767" s="16"/>
      <c r="M767" s="3"/>
      <c r="N767" s="3"/>
      <c r="O767" s="2"/>
      <c r="P767" s="3" t="s">
        <v>54</v>
      </c>
      <c r="Q767" s="3"/>
      <c r="R767" s="3"/>
      <c r="S767" s="16"/>
      <c r="T767" s="3"/>
      <c r="U767" s="3"/>
      <c r="V767" s="3"/>
      <c r="W767" s="16"/>
      <c r="X767" s="16"/>
      <c r="Y767" s="3"/>
      <c r="Z767" s="18"/>
      <c r="AA767" s="3"/>
      <c r="AB767" s="16"/>
      <c r="AC767" s="16"/>
      <c r="AD767" s="16"/>
      <c r="AE767" s="9"/>
      <c r="AF767" s="16"/>
      <c r="AG767" s="16"/>
      <c r="AH767" s="16"/>
      <c r="AI767" s="16"/>
      <c r="AJ767" s="16"/>
      <c r="AK767" s="16"/>
      <c r="AL767" s="16"/>
      <c r="AM767" s="3"/>
      <c r="AN767" s="3"/>
      <c r="AO767" s="3"/>
      <c r="AP767" s="3"/>
      <c r="AQ767" s="3"/>
      <c r="AR767" s="3"/>
      <c r="AS767" s="3"/>
      <c r="AT767" s="3"/>
      <c r="AU767" s="3"/>
      <c r="AV767" s="3"/>
    </row>
    <row r="768" spans="1:48" hidden="1" x14ac:dyDescent="0.25">
      <c r="A768" s="31"/>
      <c r="B768" s="31"/>
      <c r="C768" s="3"/>
      <c r="D768" s="3"/>
      <c r="E768" s="2"/>
      <c r="F768" s="3"/>
      <c r="G768" s="3"/>
      <c r="H768" s="16"/>
      <c r="I768" s="16"/>
      <c r="J768" s="3"/>
      <c r="K768" s="17"/>
      <c r="L768" s="16"/>
      <c r="M768" s="3"/>
      <c r="N768" s="3"/>
      <c r="O768" s="2"/>
      <c r="P768" s="3" t="s">
        <v>54</v>
      </c>
      <c r="Q768" s="3"/>
      <c r="R768" s="3"/>
      <c r="S768" s="16"/>
      <c r="T768" s="3"/>
      <c r="U768" s="3"/>
      <c r="V768" s="3"/>
      <c r="W768" s="16"/>
      <c r="X768" s="16"/>
      <c r="Y768" s="3"/>
      <c r="Z768" s="18"/>
      <c r="AA768" s="3"/>
      <c r="AB768" s="16"/>
      <c r="AC768" s="16"/>
      <c r="AD768" s="16"/>
      <c r="AE768" s="9"/>
      <c r="AF768" s="16"/>
      <c r="AG768" s="16"/>
      <c r="AH768" s="16"/>
      <c r="AI768" s="16"/>
      <c r="AJ768" s="16"/>
      <c r="AK768" s="16"/>
      <c r="AL768" s="16"/>
      <c r="AM768" s="3"/>
      <c r="AN768" s="3"/>
      <c r="AO768" s="3"/>
      <c r="AP768" s="3"/>
      <c r="AQ768" s="3"/>
      <c r="AR768" s="3"/>
      <c r="AS768" s="3"/>
      <c r="AT768" s="3"/>
      <c r="AU768" s="3"/>
      <c r="AV768" s="3"/>
    </row>
    <row r="769" spans="1:48" hidden="1" x14ac:dyDescent="0.25">
      <c r="A769" s="31"/>
      <c r="B769" s="31"/>
      <c r="C769" s="3"/>
      <c r="D769" s="3"/>
      <c r="E769" s="2"/>
      <c r="F769" s="3"/>
      <c r="G769" s="3"/>
      <c r="H769" s="16"/>
      <c r="I769" s="16"/>
      <c r="J769" s="3"/>
      <c r="K769" s="17"/>
      <c r="L769" s="16"/>
      <c r="M769" s="3"/>
      <c r="N769" s="3"/>
      <c r="O769" s="2"/>
      <c r="P769" s="3" t="s">
        <v>54</v>
      </c>
      <c r="Q769" s="3"/>
      <c r="R769" s="3"/>
      <c r="S769" s="16"/>
      <c r="T769" s="3"/>
      <c r="U769" s="3"/>
      <c r="V769" s="3"/>
      <c r="W769" s="16"/>
      <c r="X769" s="16"/>
      <c r="Y769" s="3"/>
      <c r="Z769" s="18"/>
      <c r="AA769" s="3"/>
      <c r="AB769" s="16"/>
      <c r="AC769" s="16"/>
      <c r="AD769" s="16"/>
      <c r="AE769" s="9"/>
      <c r="AF769" s="16"/>
      <c r="AG769" s="16"/>
      <c r="AH769" s="16"/>
      <c r="AI769" s="16"/>
      <c r="AJ769" s="16"/>
      <c r="AK769" s="16"/>
      <c r="AL769" s="16"/>
      <c r="AM769" s="3"/>
      <c r="AN769" s="3"/>
      <c r="AO769" s="3"/>
      <c r="AP769" s="3"/>
      <c r="AQ769" s="3"/>
      <c r="AR769" s="3"/>
      <c r="AS769" s="3"/>
      <c r="AT769" s="3"/>
      <c r="AU769" s="3"/>
      <c r="AV769" s="3"/>
    </row>
    <row r="770" spans="1:48" hidden="1" x14ac:dyDescent="0.25">
      <c r="A770" s="31"/>
      <c r="B770" s="31"/>
      <c r="C770" s="3"/>
      <c r="D770" s="3"/>
      <c r="E770" s="2"/>
      <c r="F770" s="3"/>
      <c r="G770" s="3"/>
      <c r="H770" s="16"/>
      <c r="I770" s="16"/>
      <c r="J770" s="3"/>
      <c r="K770" s="17"/>
      <c r="L770" s="16"/>
      <c r="M770" s="3"/>
      <c r="N770" s="3"/>
      <c r="O770" s="2"/>
      <c r="P770" s="3" t="s">
        <v>54</v>
      </c>
      <c r="Q770" s="3"/>
      <c r="R770" s="3"/>
      <c r="S770" s="16"/>
      <c r="T770" s="3"/>
      <c r="U770" s="3"/>
      <c r="V770" s="3"/>
      <c r="W770" s="16"/>
      <c r="X770" s="16"/>
      <c r="Y770" s="3"/>
      <c r="Z770" s="18"/>
      <c r="AA770" s="3"/>
      <c r="AB770" s="16"/>
      <c r="AC770" s="16"/>
      <c r="AD770" s="16"/>
      <c r="AE770" s="9"/>
      <c r="AF770" s="16"/>
      <c r="AG770" s="16"/>
      <c r="AH770" s="16"/>
      <c r="AI770" s="16"/>
      <c r="AJ770" s="16"/>
      <c r="AK770" s="16"/>
      <c r="AL770" s="16"/>
      <c r="AM770" s="3"/>
      <c r="AN770" s="3"/>
      <c r="AO770" s="3"/>
      <c r="AP770" s="3"/>
      <c r="AQ770" s="3"/>
      <c r="AR770" s="3"/>
      <c r="AS770" s="3"/>
      <c r="AT770" s="3"/>
      <c r="AU770" s="3"/>
      <c r="AV770" s="3"/>
    </row>
    <row r="771" spans="1:48" hidden="1" x14ac:dyDescent="0.25">
      <c r="A771" s="31"/>
      <c r="B771" s="31"/>
      <c r="C771" s="3"/>
      <c r="D771" s="3"/>
      <c r="E771" s="2"/>
      <c r="F771" s="3"/>
      <c r="G771" s="3"/>
      <c r="H771" s="16"/>
      <c r="I771" s="16"/>
      <c r="J771" s="3"/>
      <c r="K771" s="17"/>
      <c r="L771" s="16"/>
      <c r="M771" s="3"/>
      <c r="N771" s="3"/>
      <c r="O771" s="2"/>
      <c r="P771" s="3" t="s">
        <v>54</v>
      </c>
      <c r="Q771" s="3"/>
      <c r="R771" s="3"/>
      <c r="S771" s="16"/>
      <c r="T771" s="3"/>
      <c r="U771" s="3"/>
      <c r="V771" s="3"/>
      <c r="W771" s="16"/>
      <c r="X771" s="16"/>
      <c r="Y771" s="3"/>
      <c r="Z771" s="18"/>
      <c r="AA771" s="3"/>
      <c r="AB771" s="16"/>
      <c r="AC771" s="16"/>
      <c r="AD771" s="16"/>
      <c r="AE771" s="9"/>
      <c r="AF771" s="16"/>
      <c r="AG771" s="16"/>
      <c r="AH771" s="16"/>
      <c r="AI771" s="16"/>
      <c r="AJ771" s="16"/>
      <c r="AK771" s="16"/>
      <c r="AL771" s="16"/>
      <c r="AM771" s="3"/>
      <c r="AN771" s="3"/>
      <c r="AO771" s="3"/>
      <c r="AP771" s="3"/>
      <c r="AQ771" s="3"/>
      <c r="AR771" s="3"/>
      <c r="AS771" s="3"/>
      <c r="AT771" s="3"/>
      <c r="AU771" s="3"/>
      <c r="AV771" s="3"/>
    </row>
    <row r="772" spans="1:48" hidden="1" x14ac:dyDescent="0.25">
      <c r="A772" s="31"/>
      <c r="B772" s="31"/>
      <c r="C772" s="3"/>
      <c r="D772" s="3"/>
      <c r="E772" s="2"/>
      <c r="F772" s="3"/>
      <c r="G772" s="3"/>
      <c r="H772" s="16"/>
      <c r="I772" s="16"/>
      <c r="J772" s="3"/>
      <c r="K772" s="17"/>
      <c r="L772" s="16"/>
      <c r="M772" s="3"/>
      <c r="N772" s="3"/>
      <c r="O772" s="2"/>
      <c r="P772" s="3" t="s">
        <v>54</v>
      </c>
      <c r="Q772" s="3"/>
      <c r="R772" s="3"/>
      <c r="S772" s="16"/>
      <c r="T772" s="3"/>
      <c r="U772" s="3"/>
      <c r="V772" s="3"/>
      <c r="W772" s="16"/>
      <c r="X772" s="16"/>
      <c r="Y772" s="3"/>
      <c r="Z772" s="18"/>
      <c r="AA772" s="3"/>
      <c r="AB772" s="16"/>
      <c r="AC772" s="16"/>
      <c r="AD772" s="16"/>
      <c r="AE772" s="9"/>
      <c r="AF772" s="16"/>
      <c r="AG772" s="16"/>
      <c r="AH772" s="16"/>
      <c r="AI772" s="16"/>
      <c r="AJ772" s="16"/>
      <c r="AK772" s="16"/>
      <c r="AL772" s="16"/>
      <c r="AM772" s="3"/>
      <c r="AN772" s="3"/>
      <c r="AO772" s="3"/>
      <c r="AP772" s="3"/>
      <c r="AQ772" s="3"/>
      <c r="AR772" s="3"/>
      <c r="AS772" s="3"/>
      <c r="AT772" s="3"/>
      <c r="AU772" s="3"/>
      <c r="AV772" s="3"/>
    </row>
    <row r="773" spans="1:48" hidden="1" x14ac:dyDescent="0.25">
      <c r="A773" s="31"/>
      <c r="B773" s="31"/>
      <c r="C773" s="3"/>
      <c r="D773" s="3"/>
      <c r="E773" s="2"/>
      <c r="F773" s="3"/>
      <c r="G773" s="3"/>
      <c r="H773" s="16"/>
      <c r="I773" s="16"/>
      <c r="J773" s="3"/>
      <c r="K773" s="17"/>
      <c r="L773" s="16"/>
      <c r="M773" s="3"/>
      <c r="N773" s="3"/>
      <c r="O773" s="2"/>
      <c r="P773" s="3" t="s">
        <v>54</v>
      </c>
      <c r="Q773" s="3"/>
      <c r="R773" s="3"/>
      <c r="S773" s="16"/>
      <c r="T773" s="3"/>
      <c r="U773" s="3"/>
      <c r="V773" s="3"/>
      <c r="W773" s="16"/>
      <c r="X773" s="16"/>
      <c r="Y773" s="3"/>
      <c r="Z773" s="18"/>
      <c r="AA773" s="3"/>
      <c r="AB773" s="16"/>
      <c r="AC773" s="16"/>
      <c r="AD773" s="16"/>
      <c r="AE773" s="9"/>
      <c r="AF773" s="16"/>
      <c r="AG773" s="16"/>
      <c r="AH773" s="16"/>
      <c r="AI773" s="16"/>
      <c r="AJ773" s="16"/>
      <c r="AK773" s="16"/>
      <c r="AL773" s="16"/>
      <c r="AM773" s="3"/>
      <c r="AN773" s="3"/>
      <c r="AO773" s="3"/>
      <c r="AP773" s="3"/>
      <c r="AQ773" s="3"/>
      <c r="AR773" s="3"/>
      <c r="AS773" s="3"/>
      <c r="AT773" s="3"/>
      <c r="AU773" s="3"/>
      <c r="AV773" s="3"/>
    </row>
    <row r="774" spans="1:48" hidden="1" x14ac:dyDescent="0.25">
      <c r="A774" s="31"/>
      <c r="B774" s="31"/>
      <c r="C774" s="3"/>
      <c r="D774" s="3"/>
      <c r="E774" s="2"/>
      <c r="F774" s="3"/>
      <c r="G774" s="3"/>
      <c r="H774" s="16"/>
      <c r="I774" s="16"/>
      <c r="J774" s="3"/>
      <c r="K774" s="17"/>
      <c r="L774" s="16"/>
      <c r="M774" s="3"/>
      <c r="N774" s="3"/>
      <c r="O774" s="2"/>
      <c r="P774" s="3" t="s">
        <v>54</v>
      </c>
      <c r="Q774" s="3"/>
      <c r="R774" s="3"/>
      <c r="S774" s="16"/>
      <c r="T774" s="3"/>
      <c r="U774" s="3"/>
      <c r="V774" s="3"/>
      <c r="W774" s="16"/>
      <c r="X774" s="16"/>
      <c r="Y774" s="3"/>
      <c r="Z774" s="18"/>
      <c r="AA774" s="3"/>
      <c r="AB774" s="16"/>
      <c r="AC774" s="16"/>
      <c r="AD774" s="16"/>
      <c r="AE774" s="9"/>
      <c r="AF774" s="16"/>
      <c r="AG774" s="16"/>
      <c r="AH774" s="16"/>
      <c r="AI774" s="16"/>
      <c r="AJ774" s="16"/>
      <c r="AK774" s="16"/>
      <c r="AL774" s="16"/>
      <c r="AM774" s="3"/>
      <c r="AN774" s="3"/>
      <c r="AO774" s="3"/>
      <c r="AP774" s="3"/>
      <c r="AQ774" s="3"/>
      <c r="AR774" s="3"/>
      <c r="AS774" s="3"/>
      <c r="AT774" s="3"/>
      <c r="AU774" s="3"/>
      <c r="AV774" s="3"/>
    </row>
    <row r="775" spans="1:48" hidden="1" x14ac:dyDescent="0.25">
      <c r="A775" s="31"/>
      <c r="B775" s="31"/>
      <c r="C775" s="3"/>
      <c r="D775" s="3"/>
      <c r="E775" s="2"/>
      <c r="F775" s="3"/>
      <c r="G775" s="3"/>
      <c r="H775" s="16"/>
      <c r="I775" s="16"/>
      <c r="J775" s="3"/>
      <c r="K775" s="17"/>
      <c r="L775" s="16"/>
      <c r="M775" s="3"/>
      <c r="N775" s="3"/>
      <c r="O775" s="2"/>
      <c r="P775" s="3" t="s">
        <v>54</v>
      </c>
      <c r="Q775" s="3"/>
      <c r="R775" s="3"/>
      <c r="S775" s="16"/>
      <c r="T775" s="3"/>
      <c r="U775" s="3"/>
      <c r="V775" s="3"/>
      <c r="W775" s="16"/>
      <c r="X775" s="16"/>
      <c r="Y775" s="3"/>
      <c r="Z775" s="18"/>
      <c r="AA775" s="3"/>
      <c r="AB775" s="16"/>
      <c r="AC775" s="16"/>
      <c r="AD775" s="16"/>
      <c r="AE775" s="9"/>
      <c r="AF775" s="16"/>
      <c r="AG775" s="16"/>
      <c r="AH775" s="16"/>
      <c r="AI775" s="16"/>
      <c r="AJ775" s="16"/>
      <c r="AK775" s="16"/>
      <c r="AL775" s="16"/>
      <c r="AM775" s="3"/>
      <c r="AN775" s="3"/>
      <c r="AO775" s="3"/>
      <c r="AP775" s="3"/>
      <c r="AQ775" s="3"/>
      <c r="AR775" s="3"/>
      <c r="AS775" s="3"/>
      <c r="AT775" s="3"/>
      <c r="AU775" s="3"/>
      <c r="AV775" s="3"/>
    </row>
    <row r="776" spans="1:48" hidden="1" x14ac:dyDescent="0.25">
      <c r="A776" s="31"/>
      <c r="B776" s="31"/>
      <c r="C776" s="3"/>
      <c r="D776" s="3"/>
      <c r="E776" s="2"/>
      <c r="F776" s="3"/>
      <c r="G776" s="3"/>
      <c r="H776" s="16"/>
      <c r="I776" s="16"/>
      <c r="J776" s="3"/>
      <c r="K776" s="17"/>
      <c r="L776" s="16"/>
      <c r="M776" s="3"/>
      <c r="N776" s="3"/>
      <c r="O776" s="2"/>
      <c r="P776" s="3" t="s">
        <v>54</v>
      </c>
      <c r="Q776" s="3"/>
      <c r="R776" s="3"/>
      <c r="S776" s="16"/>
      <c r="T776" s="3"/>
      <c r="U776" s="3"/>
      <c r="V776" s="3"/>
      <c r="W776" s="16"/>
      <c r="X776" s="16"/>
      <c r="Y776" s="3"/>
      <c r="Z776" s="18"/>
      <c r="AA776" s="3"/>
      <c r="AB776" s="16"/>
      <c r="AC776" s="16"/>
      <c r="AD776" s="16"/>
      <c r="AE776" s="9"/>
      <c r="AF776" s="16"/>
      <c r="AG776" s="16"/>
      <c r="AH776" s="16"/>
      <c r="AI776" s="16"/>
      <c r="AJ776" s="16"/>
      <c r="AK776" s="16"/>
      <c r="AL776" s="16"/>
      <c r="AM776" s="3"/>
      <c r="AN776" s="3"/>
      <c r="AO776" s="3"/>
      <c r="AP776" s="3"/>
      <c r="AQ776" s="3"/>
      <c r="AR776" s="3"/>
      <c r="AS776" s="3"/>
      <c r="AT776" s="3"/>
      <c r="AU776" s="3"/>
      <c r="AV776" s="3"/>
    </row>
    <row r="777" spans="1:48" hidden="1" x14ac:dyDescent="0.25">
      <c r="A777" s="31"/>
      <c r="B777" s="31"/>
      <c r="C777" s="3"/>
      <c r="D777" s="3"/>
      <c r="E777" s="2"/>
      <c r="F777" s="3"/>
      <c r="G777" s="3"/>
      <c r="H777" s="16"/>
      <c r="I777" s="16"/>
      <c r="J777" s="3"/>
      <c r="K777" s="17"/>
      <c r="L777" s="16"/>
      <c r="M777" s="3"/>
      <c r="N777" s="3"/>
      <c r="O777" s="2"/>
      <c r="P777" s="3" t="s">
        <v>54</v>
      </c>
      <c r="Q777" s="3"/>
      <c r="R777" s="3"/>
      <c r="S777" s="16"/>
      <c r="T777" s="3"/>
      <c r="U777" s="3"/>
      <c r="V777" s="3"/>
      <c r="W777" s="16"/>
      <c r="X777" s="16"/>
      <c r="Y777" s="3"/>
      <c r="Z777" s="18"/>
      <c r="AA777" s="3"/>
      <c r="AB777" s="16"/>
      <c r="AC777" s="16"/>
      <c r="AD777" s="16"/>
      <c r="AE777" s="9"/>
      <c r="AF777" s="16"/>
      <c r="AG777" s="16"/>
      <c r="AH777" s="16"/>
      <c r="AI777" s="16"/>
      <c r="AJ777" s="16"/>
      <c r="AK777" s="16"/>
      <c r="AL777" s="16"/>
      <c r="AM777" s="3"/>
      <c r="AN777" s="3"/>
      <c r="AO777" s="3"/>
      <c r="AP777" s="3"/>
      <c r="AQ777" s="3"/>
      <c r="AR777" s="3"/>
      <c r="AS777" s="3"/>
      <c r="AT777" s="3"/>
      <c r="AU777" s="3"/>
      <c r="AV777" s="3"/>
    </row>
    <row r="778" spans="1:48" hidden="1" x14ac:dyDescent="0.25">
      <c r="A778" s="31"/>
      <c r="B778" s="31"/>
      <c r="C778" s="3"/>
      <c r="D778" s="3"/>
      <c r="E778" s="2"/>
      <c r="F778" s="3"/>
      <c r="G778" s="3"/>
      <c r="H778" s="16"/>
      <c r="I778" s="16"/>
      <c r="J778" s="3"/>
      <c r="K778" s="17"/>
      <c r="L778" s="16"/>
      <c r="M778" s="3"/>
      <c r="N778" s="3"/>
      <c r="O778" s="2"/>
      <c r="P778" s="3" t="s">
        <v>54</v>
      </c>
      <c r="Q778" s="3"/>
      <c r="R778" s="3"/>
      <c r="S778" s="16"/>
      <c r="T778" s="3"/>
      <c r="U778" s="3"/>
      <c r="V778" s="3"/>
      <c r="W778" s="16"/>
      <c r="X778" s="16"/>
      <c r="Y778" s="3"/>
      <c r="Z778" s="18"/>
      <c r="AA778" s="3"/>
      <c r="AB778" s="16"/>
      <c r="AC778" s="16"/>
      <c r="AD778" s="16"/>
      <c r="AE778" s="9"/>
      <c r="AF778" s="16"/>
      <c r="AG778" s="16"/>
      <c r="AH778" s="16"/>
      <c r="AI778" s="16"/>
      <c r="AJ778" s="16"/>
      <c r="AK778" s="16"/>
      <c r="AL778" s="16"/>
      <c r="AM778" s="3"/>
      <c r="AN778" s="3"/>
      <c r="AO778" s="3"/>
      <c r="AP778" s="3"/>
      <c r="AQ778" s="3"/>
      <c r="AR778" s="3"/>
      <c r="AS778" s="3"/>
      <c r="AT778" s="3"/>
      <c r="AU778" s="3"/>
      <c r="AV778" s="3"/>
    </row>
    <row r="779" spans="1:48" hidden="1" x14ac:dyDescent="0.25">
      <c r="A779" s="31"/>
      <c r="B779" s="31"/>
      <c r="C779" s="3"/>
      <c r="D779" s="3"/>
      <c r="E779" s="2"/>
      <c r="F779" s="3"/>
      <c r="G779" s="3"/>
      <c r="H779" s="16"/>
      <c r="I779" s="16"/>
      <c r="J779" s="3"/>
      <c r="K779" s="17"/>
      <c r="L779" s="16"/>
      <c r="M779" s="3"/>
      <c r="N779" s="3"/>
      <c r="O779" s="2"/>
      <c r="P779" s="3" t="s">
        <v>54</v>
      </c>
      <c r="Q779" s="3"/>
      <c r="R779" s="3"/>
      <c r="S779" s="16"/>
      <c r="T779" s="3"/>
      <c r="U779" s="3"/>
      <c r="V779" s="3"/>
      <c r="W779" s="16"/>
      <c r="X779" s="16"/>
      <c r="Y779" s="3"/>
      <c r="Z779" s="18"/>
      <c r="AA779" s="3"/>
      <c r="AB779" s="16"/>
      <c r="AC779" s="16"/>
      <c r="AD779" s="16"/>
      <c r="AE779" s="9"/>
      <c r="AF779" s="16"/>
      <c r="AG779" s="16"/>
      <c r="AH779" s="16"/>
      <c r="AI779" s="16"/>
      <c r="AJ779" s="16"/>
      <c r="AK779" s="16"/>
      <c r="AL779" s="16"/>
      <c r="AM779" s="3"/>
      <c r="AN779" s="3"/>
      <c r="AO779" s="3"/>
      <c r="AP779" s="3"/>
      <c r="AQ779" s="3"/>
      <c r="AR779" s="3"/>
      <c r="AS779" s="3"/>
      <c r="AT779" s="3"/>
      <c r="AU779" s="3"/>
      <c r="AV779" s="3"/>
    </row>
    <row r="780" spans="1:48" hidden="1" x14ac:dyDescent="0.25">
      <c r="A780" s="31"/>
      <c r="B780" s="31"/>
      <c r="C780" s="3"/>
      <c r="D780" s="3"/>
      <c r="E780" s="2"/>
      <c r="F780" s="3"/>
      <c r="G780" s="3"/>
      <c r="H780" s="16"/>
      <c r="I780" s="16"/>
      <c r="J780" s="3"/>
      <c r="K780" s="17"/>
      <c r="L780" s="16"/>
      <c r="M780" s="3"/>
      <c r="N780" s="3"/>
      <c r="O780" s="2"/>
      <c r="P780" s="3" t="s">
        <v>54</v>
      </c>
      <c r="Q780" s="3"/>
      <c r="R780" s="3"/>
      <c r="S780" s="16"/>
      <c r="T780" s="3"/>
      <c r="U780" s="3"/>
      <c r="V780" s="3"/>
      <c r="W780" s="16"/>
      <c r="X780" s="16"/>
      <c r="Y780" s="3"/>
      <c r="Z780" s="18"/>
      <c r="AA780" s="3"/>
      <c r="AB780" s="16"/>
      <c r="AC780" s="16"/>
      <c r="AD780" s="16"/>
      <c r="AE780" s="9"/>
      <c r="AF780" s="16"/>
      <c r="AG780" s="16"/>
      <c r="AH780" s="16"/>
      <c r="AI780" s="16"/>
      <c r="AJ780" s="16"/>
      <c r="AK780" s="16"/>
      <c r="AL780" s="16"/>
      <c r="AM780" s="3"/>
      <c r="AN780" s="3"/>
      <c r="AO780" s="3"/>
      <c r="AP780" s="3"/>
      <c r="AQ780" s="3"/>
      <c r="AR780" s="3"/>
      <c r="AS780" s="3"/>
      <c r="AT780" s="3"/>
      <c r="AU780" s="3"/>
      <c r="AV780" s="3"/>
    </row>
    <row r="781" spans="1:48" hidden="1" x14ac:dyDescent="0.25">
      <c r="A781" s="31"/>
      <c r="B781" s="31"/>
      <c r="C781" s="3"/>
      <c r="D781" s="3"/>
      <c r="E781" s="2"/>
      <c r="F781" s="3"/>
      <c r="G781" s="3"/>
      <c r="H781" s="16"/>
      <c r="I781" s="16"/>
      <c r="J781" s="3"/>
      <c r="K781" s="17"/>
      <c r="L781" s="16"/>
      <c r="M781" s="3"/>
      <c r="N781" s="3"/>
      <c r="O781" s="2"/>
      <c r="P781" s="3" t="s">
        <v>54</v>
      </c>
      <c r="Q781" s="3"/>
      <c r="R781" s="3"/>
      <c r="S781" s="16"/>
      <c r="T781" s="3"/>
      <c r="U781" s="3"/>
      <c r="V781" s="3"/>
      <c r="W781" s="16"/>
      <c r="X781" s="16"/>
      <c r="Y781" s="3"/>
      <c r="Z781" s="18"/>
      <c r="AA781" s="3"/>
      <c r="AB781" s="16"/>
      <c r="AC781" s="16"/>
      <c r="AD781" s="16"/>
      <c r="AE781" s="9"/>
      <c r="AF781" s="16"/>
      <c r="AG781" s="16"/>
      <c r="AH781" s="16"/>
      <c r="AI781" s="16"/>
      <c r="AJ781" s="16"/>
      <c r="AK781" s="16"/>
      <c r="AL781" s="16"/>
      <c r="AM781" s="3"/>
      <c r="AN781" s="3"/>
      <c r="AO781" s="3"/>
      <c r="AP781" s="3"/>
      <c r="AQ781" s="3"/>
      <c r="AR781" s="3"/>
      <c r="AS781" s="3"/>
      <c r="AT781" s="3"/>
      <c r="AU781" s="3"/>
      <c r="AV781" s="3"/>
    </row>
    <row r="782" spans="1:48" hidden="1" x14ac:dyDescent="0.25">
      <c r="A782" s="31"/>
      <c r="B782" s="31"/>
      <c r="C782" s="3"/>
      <c r="D782" s="3"/>
      <c r="E782" s="2"/>
      <c r="F782" s="3"/>
      <c r="G782" s="3"/>
      <c r="H782" s="16"/>
      <c r="I782" s="16"/>
      <c r="J782" s="3"/>
      <c r="K782" s="17"/>
      <c r="L782" s="16"/>
      <c r="M782" s="3"/>
      <c r="N782" s="3"/>
      <c r="O782" s="2"/>
      <c r="P782" s="3" t="s">
        <v>54</v>
      </c>
      <c r="Q782" s="3"/>
      <c r="R782" s="3"/>
      <c r="S782" s="16"/>
      <c r="T782" s="3"/>
      <c r="U782" s="3"/>
      <c r="V782" s="3"/>
      <c r="W782" s="16"/>
      <c r="X782" s="16"/>
      <c r="Y782" s="3"/>
      <c r="Z782" s="18"/>
      <c r="AA782" s="3"/>
      <c r="AB782" s="16"/>
      <c r="AC782" s="16"/>
      <c r="AD782" s="16"/>
      <c r="AE782" s="9"/>
      <c r="AF782" s="16"/>
      <c r="AG782" s="16"/>
      <c r="AH782" s="16"/>
      <c r="AI782" s="16"/>
      <c r="AJ782" s="16"/>
      <c r="AK782" s="16"/>
      <c r="AL782" s="16"/>
      <c r="AM782" s="3"/>
      <c r="AN782" s="3"/>
      <c r="AO782" s="3"/>
      <c r="AP782" s="3"/>
      <c r="AQ782" s="3"/>
      <c r="AR782" s="3"/>
      <c r="AS782" s="3"/>
      <c r="AT782" s="3"/>
      <c r="AU782" s="3"/>
      <c r="AV782" s="3"/>
    </row>
    <row r="783" spans="1:48" hidden="1" x14ac:dyDescent="0.25">
      <c r="A783" s="31"/>
      <c r="B783" s="31"/>
      <c r="C783" s="3"/>
      <c r="D783" s="3"/>
      <c r="E783" s="2"/>
      <c r="F783" s="3"/>
      <c r="G783" s="3"/>
      <c r="H783" s="16"/>
      <c r="I783" s="16"/>
      <c r="J783" s="3"/>
      <c r="K783" s="17"/>
      <c r="L783" s="16"/>
      <c r="M783" s="3"/>
      <c r="N783" s="3"/>
      <c r="O783" s="2"/>
      <c r="P783" s="3" t="s">
        <v>54</v>
      </c>
      <c r="Q783" s="3"/>
      <c r="R783" s="3"/>
      <c r="S783" s="16"/>
      <c r="T783" s="3"/>
      <c r="U783" s="3"/>
      <c r="V783" s="3"/>
      <c r="W783" s="16"/>
      <c r="X783" s="16"/>
      <c r="Y783" s="3"/>
      <c r="Z783" s="18"/>
      <c r="AA783" s="3"/>
      <c r="AB783" s="16"/>
      <c r="AC783" s="16"/>
      <c r="AD783" s="16"/>
      <c r="AE783" s="9"/>
      <c r="AF783" s="16"/>
      <c r="AG783" s="16"/>
      <c r="AH783" s="16"/>
      <c r="AI783" s="16"/>
      <c r="AJ783" s="16"/>
      <c r="AK783" s="16"/>
      <c r="AL783" s="16"/>
      <c r="AM783" s="3"/>
      <c r="AN783" s="3"/>
      <c r="AO783" s="3"/>
      <c r="AP783" s="3"/>
      <c r="AQ783" s="3"/>
      <c r="AR783" s="3"/>
      <c r="AS783" s="3"/>
      <c r="AT783" s="3"/>
      <c r="AU783" s="3"/>
      <c r="AV783" s="3"/>
    </row>
    <row r="784" spans="1:48" hidden="1" x14ac:dyDescent="0.25">
      <c r="A784" s="31"/>
      <c r="B784" s="31"/>
      <c r="C784" s="3"/>
      <c r="D784" s="3"/>
      <c r="E784" s="2"/>
      <c r="F784" s="3"/>
      <c r="G784" s="3"/>
      <c r="H784" s="16"/>
      <c r="I784" s="16"/>
      <c r="J784" s="3"/>
      <c r="K784" s="17"/>
      <c r="L784" s="16"/>
      <c r="M784" s="3"/>
      <c r="N784" s="3"/>
      <c r="O784" s="2"/>
      <c r="P784" s="3" t="s">
        <v>54</v>
      </c>
      <c r="Q784" s="3"/>
      <c r="R784" s="3"/>
      <c r="S784" s="16"/>
      <c r="T784" s="3"/>
      <c r="U784" s="3"/>
      <c r="V784" s="3"/>
      <c r="W784" s="16"/>
      <c r="X784" s="16"/>
      <c r="Y784" s="3"/>
      <c r="Z784" s="18"/>
      <c r="AA784" s="3"/>
      <c r="AB784" s="16"/>
      <c r="AC784" s="16"/>
      <c r="AD784" s="16"/>
      <c r="AE784" s="9"/>
      <c r="AF784" s="16"/>
      <c r="AG784" s="16"/>
      <c r="AH784" s="16"/>
      <c r="AI784" s="16"/>
      <c r="AJ784" s="16"/>
      <c r="AK784" s="16"/>
      <c r="AL784" s="16"/>
      <c r="AM784" s="3"/>
      <c r="AN784" s="3"/>
      <c r="AO784" s="3"/>
      <c r="AP784" s="3"/>
      <c r="AQ784" s="3"/>
      <c r="AR784" s="3"/>
      <c r="AS784" s="3"/>
      <c r="AT784" s="3"/>
      <c r="AU784" s="3"/>
      <c r="AV784" s="3"/>
    </row>
    <row r="785" spans="1:48" hidden="1" x14ac:dyDescent="0.25">
      <c r="A785" s="31"/>
      <c r="B785" s="31"/>
      <c r="C785" s="3"/>
      <c r="D785" s="3"/>
      <c r="E785" s="2"/>
      <c r="F785" s="3"/>
      <c r="G785" s="3"/>
      <c r="H785" s="16"/>
      <c r="I785" s="16"/>
      <c r="J785" s="3"/>
      <c r="K785" s="17"/>
      <c r="L785" s="16"/>
      <c r="M785" s="3"/>
      <c r="N785" s="3"/>
      <c r="O785" s="2"/>
      <c r="P785" s="3" t="s">
        <v>54</v>
      </c>
      <c r="Q785" s="3"/>
      <c r="R785" s="3"/>
      <c r="S785" s="16"/>
      <c r="T785" s="3"/>
      <c r="U785" s="3"/>
      <c r="V785" s="3"/>
      <c r="W785" s="16"/>
      <c r="X785" s="16"/>
      <c r="Y785" s="3"/>
      <c r="Z785" s="18"/>
      <c r="AA785" s="3"/>
      <c r="AB785" s="16"/>
      <c r="AC785" s="16"/>
      <c r="AD785" s="16"/>
      <c r="AE785" s="9"/>
      <c r="AF785" s="16"/>
      <c r="AG785" s="16"/>
      <c r="AH785" s="16"/>
      <c r="AI785" s="16"/>
      <c r="AJ785" s="16"/>
      <c r="AK785" s="16"/>
      <c r="AL785" s="16"/>
      <c r="AM785" s="3"/>
      <c r="AN785" s="3"/>
      <c r="AO785" s="3"/>
      <c r="AP785" s="3"/>
      <c r="AQ785" s="3"/>
      <c r="AR785" s="3"/>
      <c r="AS785" s="3"/>
      <c r="AT785" s="3"/>
      <c r="AU785" s="3"/>
      <c r="AV785" s="3"/>
    </row>
    <row r="786" spans="1:48" hidden="1" x14ac:dyDescent="0.25">
      <c r="A786" s="31"/>
      <c r="B786" s="31"/>
      <c r="C786" s="3"/>
      <c r="D786" s="3"/>
      <c r="E786" s="2"/>
      <c r="F786" s="3"/>
      <c r="G786" s="3"/>
      <c r="H786" s="16"/>
      <c r="I786" s="16"/>
      <c r="J786" s="3"/>
      <c r="K786" s="17"/>
      <c r="L786" s="16"/>
      <c r="M786" s="3"/>
      <c r="N786" s="3"/>
      <c r="O786" s="2"/>
      <c r="P786" s="3" t="s">
        <v>54</v>
      </c>
      <c r="Q786" s="3"/>
      <c r="R786" s="3"/>
      <c r="S786" s="16"/>
      <c r="T786" s="3"/>
      <c r="U786" s="3"/>
      <c r="V786" s="3"/>
      <c r="W786" s="16"/>
      <c r="X786" s="16"/>
      <c r="Y786" s="3"/>
      <c r="Z786" s="18"/>
      <c r="AA786" s="3"/>
      <c r="AB786" s="16"/>
      <c r="AC786" s="16"/>
      <c r="AD786" s="16"/>
      <c r="AE786" s="9"/>
      <c r="AF786" s="16"/>
      <c r="AG786" s="16"/>
      <c r="AH786" s="16"/>
      <c r="AI786" s="16"/>
      <c r="AJ786" s="16"/>
      <c r="AK786" s="16"/>
      <c r="AL786" s="16"/>
      <c r="AM786" s="3"/>
      <c r="AN786" s="3"/>
      <c r="AO786" s="3"/>
      <c r="AP786" s="3"/>
      <c r="AQ786" s="3"/>
      <c r="AR786" s="3"/>
      <c r="AS786" s="3"/>
      <c r="AT786" s="3"/>
      <c r="AU786" s="3"/>
      <c r="AV786" s="3"/>
    </row>
    <row r="787" spans="1:48" hidden="1" x14ac:dyDescent="0.25">
      <c r="A787" s="31"/>
      <c r="B787" s="31"/>
      <c r="C787" s="3"/>
      <c r="D787" s="3"/>
      <c r="E787" s="2"/>
      <c r="F787" s="3"/>
      <c r="G787" s="3"/>
      <c r="H787" s="16"/>
      <c r="I787" s="16"/>
      <c r="J787" s="3"/>
      <c r="K787" s="17"/>
      <c r="L787" s="16"/>
      <c r="M787" s="3"/>
      <c r="N787" s="3"/>
      <c r="O787" s="2"/>
      <c r="P787" s="3" t="s">
        <v>54</v>
      </c>
      <c r="Q787" s="3"/>
      <c r="R787" s="3"/>
      <c r="S787" s="16"/>
      <c r="T787" s="3"/>
      <c r="U787" s="3"/>
      <c r="V787" s="3"/>
      <c r="W787" s="16"/>
      <c r="X787" s="16"/>
      <c r="Y787" s="3"/>
      <c r="Z787" s="18"/>
      <c r="AA787" s="3"/>
      <c r="AB787" s="16"/>
      <c r="AC787" s="16"/>
      <c r="AD787" s="16"/>
      <c r="AE787" s="9"/>
      <c r="AF787" s="16"/>
      <c r="AG787" s="16"/>
      <c r="AH787" s="16"/>
      <c r="AI787" s="16"/>
      <c r="AJ787" s="16"/>
      <c r="AK787" s="16"/>
      <c r="AL787" s="16"/>
      <c r="AM787" s="3"/>
      <c r="AN787" s="3"/>
      <c r="AO787" s="3"/>
      <c r="AP787" s="3"/>
      <c r="AQ787" s="3"/>
      <c r="AR787" s="3"/>
      <c r="AS787" s="3"/>
      <c r="AT787" s="3"/>
      <c r="AU787" s="3"/>
      <c r="AV787" s="3"/>
    </row>
    <row r="788" spans="1:48" hidden="1" x14ac:dyDescent="0.25">
      <c r="A788" s="31"/>
      <c r="B788" s="31"/>
      <c r="C788" s="3"/>
      <c r="D788" s="3"/>
      <c r="E788" s="2"/>
      <c r="F788" s="3"/>
      <c r="G788" s="3"/>
      <c r="H788" s="16"/>
      <c r="I788" s="16"/>
      <c r="J788" s="3"/>
      <c r="K788" s="17"/>
      <c r="L788" s="16"/>
      <c r="M788" s="3"/>
      <c r="N788" s="3"/>
      <c r="O788" s="2"/>
      <c r="P788" s="3" t="s">
        <v>54</v>
      </c>
      <c r="Q788" s="3"/>
      <c r="R788" s="3"/>
      <c r="S788" s="16"/>
      <c r="T788" s="3"/>
      <c r="U788" s="3"/>
      <c r="V788" s="3"/>
      <c r="W788" s="16"/>
      <c r="X788" s="16"/>
      <c r="Y788" s="3"/>
      <c r="Z788" s="18"/>
      <c r="AA788" s="3"/>
      <c r="AB788" s="16"/>
      <c r="AC788" s="16"/>
      <c r="AD788" s="16"/>
      <c r="AE788" s="9"/>
      <c r="AF788" s="16"/>
      <c r="AG788" s="16"/>
      <c r="AH788" s="16"/>
      <c r="AI788" s="16"/>
      <c r="AJ788" s="16"/>
      <c r="AK788" s="16"/>
      <c r="AL788" s="16"/>
      <c r="AM788" s="3"/>
      <c r="AN788" s="3"/>
      <c r="AO788" s="3"/>
      <c r="AP788" s="3"/>
      <c r="AQ788" s="3"/>
      <c r="AR788" s="3"/>
      <c r="AS788" s="3"/>
      <c r="AT788" s="3"/>
      <c r="AU788" s="3"/>
      <c r="AV788" s="3"/>
    </row>
    <row r="789" spans="1:48" hidden="1" x14ac:dyDescent="0.25">
      <c r="A789" s="31"/>
      <c r="B789" s="31"/>
      <c r="C789" s="3"/>
      <c r="D789" s="3"/>
      <c r="E789" s="2"/>
      <c r="F789" s="3"/>
      <c r="G789" s="3"/>
      <c r="H789" s="16"/>
      <c r="I789" s="16"/>
      <c r="J789" s="3"/>
      <c r="K789" s="17"/>
      <c r="L789" s="16"/>
      <c r="M789" s="3"/>
      <c r="N789" s="3"/>
      <c r="O789" s="2"/>
      <c r="P789" s="3" t="s">
        <v>54</v>
      </c>
      <c r="Q789" s="3"/>
      <c r="R789" s="3"/>
      <c r="S789" s="16"/>
      <c r="T789" s="3"/>
      <c r="U789" s="3"/>
      <c r="V789" s="3"/>
      <c r="W789" s="16"/>
      <c r="X789" s="16"/>
      <c r="Y789" s="3"/>
      <c r="Z789" s="18"/>
      <c r="AA789" s="3"/>
      <c r="AB789" s="16"/>
      <c r="AC789" s="16"/>
      <c r="AD789" s="16"/>
      <c r="AE789" s="9"/>
      <c r="AF789" s="16"/>
      <c r="AG789" s="16"/>
      <c r="AH789" s="16"/>
      <c r="AI789" s="16"/>
      <c r="AJ789" s="16"/>
      <c r="AK789" s="16"/>
      <c r="AL789" s="16"/>
      <c r="AM789" s="3"/>
      <c r="AN789" s="3"/>
      <c r="AO789" s="3"/>
      <c r="AP789" s="3"/>
      <c r="AQ789" s="3"/>
      <c r="AR789" s="3"/>
      <c r="AS789" s="3"/>
      <c r="AT789" s="3"/>
      <c r="AU789" s="3"/>
      <c r="AV789" s="3"/>
    </row>
    <row r="790" spans="1:48" hidden="1" x14ac:dyDescent="0.25">
      <c r="A790" s="31"/>
      <c r="B790" s="31"/>
      <c r="C790" s="3"/>
      <c r="D790" s="3"/>
      <c r="E790" s="2"/>
      <c r="F790" s="3"/>
      <c r="G790" s="3"/>
      <c r="H790" s="16"/>
      <c r="I790" s="16"/>
      <c r="J790" s="3"/>
      <c r="K790" s="17"/>
      <c r="L790" s="16"/>
      <c r="M790" s="3"/>
      <c r="N790" s="3"/>
      <c r="O790" s="2"/>
      <c r="P790" s="3" t="s">
        <v>54</v>
      </c>
      <c r="Q790" s="3"/>
      <c r="R790" s="3"/>
      <c r="S790" s="16"/>
      <c r="T790" s="3"/>
      <c r="U790" s="3"/>
      <c r="V790" s="3"/>
      <c r="W790" s="16"/>
      <c r="X790" s="16"/>
      <c r="Y790" s="3"/>
      <c r="Z790" s="18"/>
      <c r="AA790" s="3"/>
      <c r="AB790" s="16"/>
      <c r="AC790" s="16"/>
      <c r="AD790" s="16"/>
      <c r="AE790" s="9"/>
      <c r="AF790" s="16"/>
      <c r="AG790" s="16"/>
      <c r="AH790" s="16"/>
      <c r="AI790" s="16"/>
      <c r="AJ790" s="16"/>
      <c r="AK790" s="16"/>
      <c r="AL790" s="16"/>
      <c r="AM790" s="3"/>
      <c r="AN790" s="3"/>
      <c r="AO790" s="3"/>
      <c r="AP790" s="3"/>
      <c r="AQ790" s="3"/>
      <c r="AR790" s="3"/>
      <c r="AS790" s="3"/>
      <c r="AT790" s="3"/>
      <c r="AU790" s="3"/>
      <c r="AV790" s="3"/>
    </row>
    <row r="791" spans="1:48" hidden="1" x14ac:dyDescent="0.25">
      <c r="A791" s="31"/>
      <c r="B791" s="31"/>
      <c r="C791" s="3"/>
      <c r="D791" s="3"/>
      <c r="E791" s="2"/>
      <c r="F791" s="3"/>
      <c r="G791" s="3"/>
      <c r="H791" s="16"/>
      <c r="I791" s="16"/>
      <c r="J791" s="3"/>
      <c r="K791" s="17"/>
      <c r="L791" s="16"/>
      <c r="M791" s="3"/>
      <c r="N791" s="3"/>
      <c r="O791" s="2"/>
      <c r="P791" s="3" t="s">
        <v>54</v>
      </c>
      <c r="Q791" s="3"/>
      <c r="R791" s="3"/>
      <c r="S791" s="16"/>
      <c r="T791" s="3"/>
      <c r="U791" s="3"/>
      <c r="V791" s="3"/>
      <c r="W791" s="16"/>
      <c r="X791" s="16"/>
      <c r="Y791" s="3"/>
      <c r="Z791" s="18"/>
      <c r="AA791" s="3"/>
      <c r="AB791" s="16"/>
      <c r="AC791" s="16"/>
      <c r="AD791" s="16"/>
      <c r="AE791" s="9"/>
      <c r="AF791" s="16"/>
      <c r="AG791" s="16"/>
      <c r="AH791" s="16"/>
      <c r="AI791" s="16"/>
      <c r="AJ791" s="16"/>
      <c r="AK791" s="16"/>
      <c r="AL791" s="16"/>
      <c r="AM791" s="3"/>
      <c r="AN791" s="3"/>
      <c r="AO791" s="3"/>
      <c r="AP791" s="3"/>
      <c r="AQ791" s="3"/>
      <c r="AR791" s="3"/>
      <c r="AS791" s="3"/>
      <c r="AT791" s="3"/>
      <c r="AU791" s="3"/>
      <c r="AV791" s="3"/>
    </row>
    <row r="792" spans="1:48" hidden="1" x14ac:dyDescent="0.25">
      <c r="A792" s="31"/>
      <c r="B792" s="31"/>
      <c r="C792" s="3"/>
      <c r="D792" s="3"/>
      <c r="E792" s="2"/>
      <c r="F792" s="3"/>
      <c r="G792" s="3"/>
      <c r="H792" s="16"/>
      <c r="I792" s="16"/>
      <c r="J792" s="3"/>
      <c r="K792" s="17"/>
      <c r="L792" s="16"/>
      <c r="M792" s="3"/>
      <c r="N792" s="3"/>
      <c r="O792" s="2"/>
      <c r="P792" s="3" t="s">
        <v>54</v>
      </c>
      <c r="Q792" s="3"/>
      <c r="R792" s="3"/>
      <c r="S792" s="16"/>
      <c r="T792" s="3"/>
      <c r="U792" s="3"/>
      <c r="V792" s="3"/>
      <c r="W792" s="16"/>
      <c r="X792" s="16"/>
      <c r="Y792" s="3"/>
      <c r="Z792" s="18"/>
      <c r="AA792" s="3"/>
      <c r="AB792" s="16"/>
      <c r="AC792" s="16"/>
      <c r="AD792" s="16"/>
      <c r="AE792" s="9"/>
      <c r="AF792" s="16"/>
      <c r="AG792" s="16"/>
      <c r="AH792" s="16"/>
      <c r="AI792" s="16"/>
      <c r="AJ792" s="16"/>
      <c r="AK792" s="16"/>
      <c r="AL792" s="16"/>
      <c r="AM792" s="3"/>
      <c r="AN792" s="3"/>
      <c r="AO792" s="3"/>
      <c r="AP792" s="3"/>
      <c r="AQ792" s="3"/>
      <c r="AR792" s="3"/>
      <c r="AS792" s="3"/>
      <c r="AT792" s="3"/>
      <c r="AU792" s="3"/>
      <c r="AV792" s="3"/>
    </row>
    <row r="793" spans="1:48" hidden="1" x14ac:dyDescent="0.25">
      <c r="A793" s="31"/>
      <c r="B793" s="31"/>
      <c r="C793" s="3"/>
      <c r="D793" s="3"/>
      <c r="E793" s="2"/>
      <c r="F793" s="3"/>
      <c r="G793" s="3"/>
      <c r="H793" s="16"/>
      <c r="I793" s="16"/>
      <c r="J793" s="3"/>
      <c r="K793" s="17"/>
      <c r="L793" s="16"/>
      <c r="M793" s="3"/>
      <c r="N793" s="3"/>
      <c r="O793" s="2"/>
      <c r="P793" s="3" t="s">
        <v>54</v>
      </c>
      <c r="Q793" s="3"/>
      <c r="R793" s="3"/>
      <c r="S793" s="16"/>
      <c r="T793" s="3"/>
      <c r="U793" s="3"/>
      <c r="V793" s="3"/>
      <c r="W793" s="16"/>
      <c r="X793" s="16"/>
      <c r="Y793" s="3"/>
      <c r="Z793" s="18"/>
      <c r="AA793" s="3"/>
      <c r="AB793" s="16"/>
      <c r="AC793" s="16"/>
      <c r="AD793" s="16"/>
      <c r="AE793" s="9"/>
      <c r="AF793" s="16"/>
      <c r="AG793" s="16"/>
      <c r="AH793" s="16"/>
      <c r="AI793" s="16"/>
      <c r="AJ793" s="16"/>
      <c r="AK793" s="16"/>
      <c r="AL793" s="16"/>
      <c r="AM793" s="3"/>
      <c r="AN793" s="3"/>
      <c r="AO793" s="3"/>
      <c r="AP793" s="3"/>
      <c r="AQ793" s="3"/>
      <c r="AR793" s="3"/>
      <c r="AS793" s="3"/>
      <c r="AT793" s="3"/>
      <c r="AU793" s="3"/>
      <c r="AV793" s="3"/>
    </row>
    <row r="794" spans="1:48" hidden="1" x14ac:dyDescent="0.25">
      <c r="A794" s="31"/>
      <c r="B794" s="31"/>
      <c r="C794" s="3"/>
      <c r="D794" s="3"/>
      <c r="E794" s="2"/>
      <c r="F794" s="3"/>
      <c r="G794" s="3"/>
      <c r="H794" s="16"/>
      <c r="I794" s="16"/>
      <c r="J794" s="3"/>
      <c r="K794" s="17"/>
      <c r="L794" s="16"/>
      <c r="M794" s="3"/>
      <c r="N794" s="3"/>
      <c r="O794" s="2"/>
      <c r="P794" s="3" t="s">
        <v>54</v>
      </c>
      <c r="Q794" s="3"/>
      <c r="R794" s="3"/>
      <c r="S794" s="16"/>
      <c r="T794" s="3"/>
      <c r="U794" s="3"/>
      <c r="V794" s="3"/>
      <c r="W794" s="16"/>
      <c r="X794" s="16"/>
      <c r="Y794" s="3"/>
      <c r="Z794" s="18"/>
      <c r="AA794" s="3"/>
      <c r="AB794" s="16"/>
      <c r="AC794" s="16"/>
      <c r="AD794" s="16"/>
      <c r="AE794" s="9"/>
      <c r="AF794" s="16"/>
      <c r="AG794" s="16"/>
      <c r="AH794" s="16"/>
      <c r="AI794" s="16"/>
      <c r="AJ794" s="16"/>
      <c r="AK794" s="16"/>
      <c r="AL794" s="16"/>
      <c r="AM794" s="3"/>
      <c r="AN794" s="3"/>
      <c r="AO794" s="3"/>
      <c r="AP794" s="3"/>
      <c r="AQ794" s="3"/>
      <c r="AR794" s="3"/>
      <c r="AS794" s="3"/>
      <c r="AT794" s="3"/>
      <c r="AU794" s="3"/>
      <c r="AV794" s="3"/>
    </row>
    <row r="795" spans="1:48" hidden="1" x14ac:dyDescent="0.25">
      <c r="A795" s="31"/>
      <c r="B795" s="31"/>
      <c r="C795" s="3"/>
      <c r="D795" s="3"/>
      <c r="E795" s="2"/>
      <c r="F795" s="3"/>
      <c r="G795" s="3"/>
      <c r="H795" s="16"/>
      <c r="I795" s="16"/>
      <c r="J795" s="3"/>
      <c r="K795" s="17"/>
      <c r="L795" s="16"/>
      <c r="M795" s="3"/>
      <c r="N795" s="3"/>
      <c r="O795" s="2"/>
      <c r="P795" s="3" t="s">
        <v>54</v>
      </c>
      <c r="Q795" s="3"/>
      <c r="R795" s="3"/>
      <c r="S795" s="16"/>
      <c r="T795" s="3"/>
      <c r="U795" s="3"/>
      <c r="V795" s="3"/>
      <c r="W795" s="16"/>
      <c r="X795" s="16"/>
      <c r="Y795" s="3"/>
      <c r="Z795" s="18"/>
      <c r="AA795" s="3"/>
      <c r="AB795" s="16"/>
      <c r="AC795" s="16"/>
      <c r="AD795" s="16"/>
      <c r="AE795" s="9"/>
      <c r="AF795" s="16"/>
      <c r="AG795" s="16"/>
      <c r="AH795" s="16"/>
      <c r="AI795" s="16"/>
      <c r="AJ795" s="16"/>
      <c r="AK795" s="16"/>
      <c r="AL795" s="16"/>
      <c r="AM795" s="3"/>
      <c r="AN795" s="3"/>
      <c r="AO795" s="3"/>
      <c r="AP795" s="3"/>
      <c r="AQ795" s="3"/>
      <c r="AR795" s="3"/>
      <c r="AS795" s="3"/>
      <c r="AT795" s="3"/>
      <c r="AU795" s="3"/>
      <c r="AV795" s="3"/>
    </row>
    <row r="796" spans="1:48" hidden="1" x14ac:dyDescent="0.25">
      <c r="A796" s="31"/>
      <c r="B796" s="31"/>
      <c r="C796" s="3"/>
      <c r="D796" s="3"/>
      <c r="E796" s="2"/>
      <c r="F796" s="3"/>
      <c r="G796" s="3"/>
      <c r="H796" s="16"/>
      <c r="I796" s="16"/>
      <c r="J796" s="3"/>
      <c r="K796" s="17"/>
      <c r="L796" s="16"/>
      <c r="M796" s="3"/>
      <c r="N796" s="3"/>
      <c r="O796" s="2"/>
      <c r="P796" s="3" t="s">
        <v>54</v>
      </c>
      <c r="Q796" s="3"/>
      <c r="R796" s="3"/>
      <c r="S796" s="16"/>
      <c r="T796" s="3"/>
      <c r="U796" s="3"/>
      <c r="V796" s="3"/>
      <c r="W796" s="16"/>
      <c r="X796" s="16"/>
      <c r="Y796" s="3"/>
      <c r="Z796" s="18"/>
      <c r="AA796" s="3"/>
      <c r="AB796" s="16"/>
      <c r="AC796" s="16"/>
      <c r="AD796" s="16"/>
      <c r="AE796" s="9"/>
      <c r="AF796" s="16"/>
      <c r="AG796" s="16"/>
      <c r="AH796" s="16"/>
      <c r="AI796" s="16"/>
      <c r="AJ796" s="16"/>
      <c r="AK796" s="16"/>
      <c r="AL796" s="16"/>
      <c r="AM796" s="3"/>
      <c r="AN796" s="3"/>
      <c r="AO796" s="3"/>
      <c r="AP796" s="3"/>
      <c r="AQ796" s="3"/>
      <c r="AR796" s="3"/>
      <c r="AS796" s="3"/>
      <c r="AT796" s="3"/>
      <c r="AU796" s="3"/>
      <c r="AV796" s="3"/>
    </row>
    <row r="797" spans="1:48" hidden="1" x14ac:dyDescent="0.25">
      <c r="A797" s="31"/>
      <c r="B797" s="31"/>
      <c r="C797" s="3"/>
      <c r="D797" s="3"/>
      <c r="E797" s="2"/>
      <c r="F797" s="3"/>
      <c r="G797" s="3"/>
      <c r="H797" s="16"/>
      <c r="I797" s="16"/>
      <c r="J797" s="3"/>
      <c r="K797" s="17"/>
      <c r="L797" s="16"/>
      <c r="M797" s="3"/>
      <c r="N797" s="3"/>
      <c r="O797" s="2"/>
      <c r="P797" s="3" t="s">
        <v>54</v>
      </c>
      <c r="Q797" s="3"/>
      <c r="R797" s="3"/>
      <c r="S797" s="16"/>
      <c r="T797" s="3"/>
      <c r="U797" s="3"/>
      <c r="V797" s="3"/>
      <c r="W797" s="16"/>
      <c r="X797" s="16"/>
      <c r="Y797" s="3"/>
      <c r="Z797" s="18"/>
      <c r="AA797" s="3"/>
      <c r="AB797" s="16"/>
      <c r="AC797" s="16"/>
      <c r="AD797" s="16"/>
      <c r="AE797" s="9"/>
      <c r="AF797" s="16"/>
      <c r="AG797" s="16"/>
      <c r="AH797" s="16"/>
      <c r="AI797" s="16"/>
      <c r="AJ797" s="16"/>
      <c r="AK797" s="16"/>
      <c r="AL797" s="16"/>
      <c r="AM797" s="3"/>
      <c r="AN797" s="3"/>
      <c r="AO797" s="3"/>
      <c r="AP797" s="3"/>
      <c r="AQ797" s="3"/>
      <c r="AR797" s="3"/>
      <c r="AS797" s="3"/>
      <c r="AT797" s="3"/>
      <c r="AU797" s="3"/>
      <c r="AV797" s="3"/>
    </row>
    <row r="798" spans="1:48" hidden="1" x14ac:dyDescent="0.25">
      <c r="A798" s="31"/>
      <c r="B798" s="31"/>
      <c r="C798" s="3"/>
      <c r="D798" s="3"/>
      <c r="E798" s="2"/>
      <c r="F798" s="3"/>
      <c r="G798" s="3"/>
      <c r="H798" s="16"/>
      <c r="I798" s="16"/>
      <c r="J798" s="3"/>
      <c r="K798" s="17"/>
      <c r="L798" s="16"/>
      <c r="M798" s="3"/>
      <c r="N798" s="3"/>
      <c r="O798" s="2"/>
      <c r="P798" s="3" t="s">
        <v>54</v>
      </c>
      <c r="Q798" s="3"/>
      <c r="R798" s="3"/>
      <c r="S798" s="16"/>
      <c r="T798" s="3"/>
      <c r="U798" s="3"/>
      <c r="V798" s="3"/>
      <c r="W798" s="16"/>
      <c r="X798" s="16"/>
      <c r="Y798" s="3"/>
      <c r="Z798" s="18"/>
      <c r="AA798" s="3"/>
      <c r="AB798" s="16"/>
      <c r="AC798" s="16"/>
      <c r="AD798" s="16"/>
      <c r="AE798" s="9"/>
      <c r="AF798" s="16"/>
      <c r="AG798" s="16"/>
      <c r="AH798" s="16"/>
      <c r="AI798" s="16"/>
      <c r="AJ798" s="16"/>
      <c r="AK798" s="16"/>
      <c r="AL798" s="16"/>
      <c r="AM798" s="3"/>
      <c r="AN798" s="3"/>
      <c r="AO798" s="3"/>
      <c r="AP798" s="3"/>
      <c r="AQ798" s="3"/>
      <c r="AR798" s="3"/>
      <c r="AS798" s="3"/>
      <c r="AT798" s="3"/>
      <c r="AU798" s="3"/>
      <c r="AV798" s="3"/>
    </row>
    <row r="799" spans="1:48" hidden="1" x14ac:dyDescent="0.25">
      <c r="A799" s="31"/>
      <c r="B799" s="31"/>
      <c r="C799" s="3"/>
      <c r="D799" s="3"/>
      <c r="E799" s="2"/>
      <c r="F799" s="3"/>
      <c r="G799" s="3"/>
      <c r="H799" s="16"/>
      <c r="I799" s="16"/>
      <c r="J799" s="3"/>
      <c r="K799" s="17"/>
      <c r="L799" s="16"/>
      <c r="M799" s="3"/>
      <c r="N799" s="3"/>
      <c r="O799" s="2"/>
      <c r="P799" s="3" t="s">
        <v>54</v>
      </c>
      <c r="Q799" s="3"/>
      <c r="R799" s="3"/>
      <c r="S799" s="16"/>
      <c r="T799" s="3"/>
      <c r="U799" s="3"/>
      <c r="V799" s="3"/>
      <c r="W799" s="16"/>
      <c r="X799" s="16"/>
      <c r="Y799" s="3"/>
      <c r="Z799" s="18"/>
      <c r="AA799" s="3"/>
      <c r="AB799" s="16"/>
      <c r="AC799" s="16"/>
      <c r="AD799" s="16"/>
      <c r="AE799" s="9"/>
      <c r="AF799" s="16"/>
      <c r="AG799" s="16"/>
      <c r="AH799" s="16"/>
      <c r="AI799" s="16"/>
      <c r="AJ799" s="16"/>
      <c r="AK799" s="16"/>
      <c r="AL799" s="16"/>
      <c r="AM799" s="3"/>
      <c r="AN799" s="3"/>
      <c r="AO799" s="3"/>
      <c r="AP799" s="3"/>
      <c r="AQ799" s="3"/>
      <c r="AR799" s="3"/>
      <c r="AS799" s="3"/>
      <c r="AT799" s="3"/>
      <c r="AU799" s="3"/>
      <c r="AV799" s="3"/>
    </row>
    <row r="800" spans="1:48" hidden="1" x14ac:dyDescent="0.25">
      <c r="A800" s="31"/>
      <c r="B800" s="31"/>
      <c r="C800" s="3"/>
      <c r="D800" s="3"/>
      <c r="E800" s="2"/>
      <c r="F800" s="3"/>
      <c r="G800" s="3"/>
      <c r="H800" s="16"/>
      <c r="I800" s="16"/>
      <c r="J800" s="3"/>
      <c r="K800" s="17"/>
      <c r="L800" s="16"/>
      <c r="M800" s="3"/>
      <c r="N800" s="3"/>
      <c r="O800" s="2"/>
      <c r="P800" s="3" t="s">
        <v>54</v>
      </c>
      <c r="Q800" s="3"/>
      <c r="R800" s="3"/>
      <c r="S800" s="16"/>
      <c r="T800" s="3"/>
      <c r="U800" s="3"/>
      <c r="V800" s="3"/>
      <c r="W800" s="16"/>
      <c r="X800" s="16"/>
      <c r="Y800" s="3"/>
      <c r="Z800" s="18"/>
      <c r="AA800" s="3"/>
      <c r="AB800" s="16"/>
      <c r="AC800" s="16"/>
      <c r="AD800" s="16"/>
      <c r="AE800" s="9"/>
      <c r="AF800" s="16"/>
      <c r="AG800" s="16"/>
      <c r="AH800" s="16"/>
      <c r="AI800" s="16"/>
      <c r="AJ800" s="16"/>
      <c r="AK800" s="16"/>
      <c r="AL800" s="16"/>
      <c r="AM800" s="3"/>
      <c r="AN800" s="3"/>
      <c r="AO800" s="3"/>
      <c r="AP800" s="3"/>
      <c r="AQ800" s="3"/>
      <c r="AR800" s="3"/>
      <c r="AS800" s="3"/>
      <c r="AT800" s="3"/>
      <c r="AU800" s="3"/>
      <c r="AV800" s="3"/>
    </row>
    <row r="801" spans="1:48" hidden="1" x14ac:dyDescent="0.25">
      <c r="A801" s="31"/>
      <c r="B801" s="31"/>
      <c r="C801" s="3"/>
      <c r="D801" s="3"/>
      <c r="E801" s="2"/>
      <c r="F801" s="3"/>
      <c r="G801" s="3"/>
      <c r="H801" s="16"/>
      <c r="I801" s="16"/>
      <c r="J801" s="3"/>
      <c r="K801" s="17"/>
      <c r="L801" s="16"/>
      <c r="M801" s="3"/>
      <c r="N801" s="3"/>
      <c r="O801" s="2"/>
      <c r="P801" s="3" t="s">
        <v>54</v>
      </c>
      <c r="Q801" s="3"/>
      <c r="R801" s="3"/>
      <c r="S801" s="16"/>
      <c r="T801" s="3"/>
      <c r="U801" s="3"/>
      <c r="V801" s="3"/>
      <c r="W801" s="16"/>
      <c r="X801" s="16"/>
      <c r="Y801" s="3"/>
      <c r="Z801" s="18"/>
      <c r="AA801" s="3"/>
      <c r="AB801" s="16"/>
      <c r="AC801" s="16"/>
      <c r="AD801" s="16"/>
      <c r="AE801" s="9"/>
      <c r="AF801" s="16"/>
      <c r="AG801" s="16"/>
      <c r="AH801" s="16"/>
      <c r="AI801" s="16"/>
      <c r="AJ801" s="16"/>
      <c r="AK801" s="16"/>
      <c r="AL801" s="16"/>
      <c r="AM801" s="3"/>
      <c r="AN801" s="3"/>
      <c r="AO801" s="3"/>
      <c r="AP801" s="3"/>
      <c r="AQ801" s="3"/>
      <c r="AR801" s="3"/>
      <c r="AS801" s="3"/>
      <c r="AT801" s="3"/>
      <c r="AU801" s="3"/>
      <c r="AV801" s="3"/>
    </row>
    <row r="802" spans="1:48" hidden="1" x14ac:dyDescent="0.25">
      <c r="A802" s="31"/>
      <c r="B802" s="31"/>
      <c r="C802" s="3"/>
      <c r="D802" s="3"/>
      <c r="E802" s="2"/>
      <c r="F802" s="3"/>
      <c r="G802" s="3"/>
      <c r="H802" s="16"/>
      <c r="I802" s="16"/>
      <c r="J802" s="3"/>
      <c r="K802" s="17"/>
      <c r="L802" s="16"/>
      <c r="M802" s="3"/>
      <c r="N802" s="3"/>
      <c r="O802" s="2"/>
      <c r="P802" s="3" t="s">
        <v>54</v>
      </c>
      <c r="Q802" s="3"/>
      <c r="R802" s="3"/>
      <c r="S802" s="16"/>
      <c r="T802" s="3"/>
      <c r="U802" s="3"/>
      <c r="V802" s="3"/>
      <c r="W802" s="16"/>
      <c r="X802" s="16"/>
      <c r="Y802" s="3"/>
      <c r="Z802" s="18"/>
      <c r="AA802" s="3"/>
      <c r="AB802" s="16"/>
      <c r="AC802" s="16"/>
      <c r="AD802" s="16"/>
      <c r="AE802" s="9"/>
      <c r="AF802" s="16"/>
      <c r="AG802" s="16"/>
      <c r="AH802" s="16"/>
      <c r="AI802" s="16"/>
      <c r="AJ802" s="16"/>
      <c r="AK802" s="16"/>
      <c r="AL802" s="16"/>
      <c r="AM802" s="3"/>
      <c r="AN802" s="3"/>
      <c r="AO802" s="3"/>
      <c r="AP802" s="3"/>
      <c r="AQ802" s="3"/>
      <c r="AR802" s="3"/>
      <c r="AS802" s="3"/>
      <c r="AT802" s="3"/>
      <c r="AU802" s="3"/>
      <c r="AV802" s="3"/>
    </row>
    <row r="803" spans="1:48" hidden="1" x14ac:dyDescent="0.25">
      <c r="A803" s="31"/>
      <c r="B803" s="31"/>
      <c r="C803" s="3"/>
      <c r="D803" s="3"/>
      <c r="E803" s="2"/>
      <c r="F803" s="3"/>
      <c r="G803" s="3"/>
      <c r="H803" s="16"/>
      <c r="I803" s="16"/>
      <c r="J803" s="3"/>
      <c r="K803" s="17"/>
      <c r="L803" s="16"/>
      <c r="M803" s="3"/>
      <c r="N803" s="3"/>
      <c r="O803" s="2"/>
      <c r="P803" s="3" t="s">
        <v>54</v>
      </c>
      <c r="Q803" s="3"/>
      <c r="R803" s="3"/>
      <c r="S803" s="16"/>
      <c r="T803" s="3"/>
      <c r="U803" s="3"/>
      <c r="V803" s="3"/>
      <c r="W803" s="16"/>
      <c r="X803" s="16"/>
      <c r="Y803" s="3"/>
      <c r="Z803" s="18"/>
      <c r="AA803" s="3"/>
      <c r="AB803" s="16"/>
      <c r="AC803" s="16"/>
      <c r="AD803" s="16"/>
      <c r="AE803" s="9"/>
      <c r="AF803" s="16"/>
      <c r="AG803" s="16"/>
      <c r="AH803" s="16"/>
      <c r="AI803" s="16"/>
      <c r="AJ803" s="16"/>
      <c r="AK803" s="16"/>
      <c r="AL803" s="16"/>
      <c r="AM803" s="3"/>
      <c r="AN803" s="3"/>
      <c r="AO803" s="3"/>
      <c r="AP803" s="3"/>
      <c r="AQ803" s="3"/>
      <c r="AR803" s="3"/>
      <c r="AS803" s="3"/>
      <c r="AT803" s="3"/>
      <c r="AU803" s="3"/>
      <c r="AV803" s="3"/>
    </row>
    <row r="804" spans="1:48" hidden="1" x14ac:dyDescent="0.25">
      <c r="A804" s="31"/>
      <c r="B804" s="31"/>
      <c r="C804" s="3"/>
      <c r="D804" s="3"/>
      <c r="E804" s="2"/>
      <c r="F804" s="3"/>
      <c r="G804" s="3"/>
      <c r="H804" s="16"/>
      <c r="I804" s="16"/>
      <c r="J804" s="3"/>
      <c r="K804" s="17"/>
      <c r="L804" s="16"/>
      <c r="M804" s="3"/>
      <c r="N804" s="3"/>
      <c r="O804" s="2"/>
      <c r="P804" s="3" t="s">
        <v>54</v>
      </c>
      <c r="Q804" s="3"/>
      <c r="R804" s="3"/>
      <c r="S804" s="16"/>
      <c r="T804" s="3"/>
      <c r="U804" s="3"/>
      <c r="V804" s="3"/>
      <c r="W804" s="16"/>
      <c r="X804" s="16"/>
      <c r="Y804" s="3"/>
      <c r="Z804" s="18"/>
      <c r="AA804" s="3"/>
      <c r="AB804" s="16"/>
      <c r="AC804" s="16"/>
      <c r="AD804" s="16"/>
      <c r="AE804" s="9"/>
      <c r="AF804" s="16"/>
      <c r="AG804" s="16"/>
      <c r="AH804" s="16"/>
      <c r="AI804" s="16"/>
      <c r="AJ804" s="16"/>
      <c r="AK804" s="16"/>
      <c r="AL804" s="16"/>
      <c r="AM804" s="3"/>
      <c r="AN804" s="3"/>
      <c r="AO804" s="3"/>
      <c r="AP804" s="3"/>
      <c r="AQ804" s="3"/>
      <c r="AR804" s="3"/>
      <c r="AS804" s="3"/>
      <c r="AT804" s="3"/>
      <c r="AU804" s="3"/>
      <c r="AV804" s="3"/>
    </row>
    <row r="805" spans="1:48" hidden="1" x14ac:dyDescent="0.25">
      <c r="A805" s="31"/>
      <c r="B805" s="31"/>
      <c r="C805" s="3"/>
      <c r="D805" s="3"/>
      <c r="E805" s="2"/>
      <c r="F805" s="3"/>
      <c r="G805" s="3"/>
      <c r="H805" s="16"/>
      <c r="I805" s="16"/>
      <c r="J805" s="3"/>
      <c r="K805" s="17"/>
      <c r="L805" s="16"/>
      <c r="M805" s="3"/>
      <c r="N805" s="3"/>
      <c r="O805" s="2"/>
      <c r="P805" s="3" t="s">
        <v>54</v>
      </c>
      <c r="Q805" s="3"/>
      <c r="R805" s="3"/>
      <c r="S805" s="16"/>
      <c r="T805" s="3"/>
      <c r="U805" s="3"/>
      <c r="V805" s="3"/>
      <c r="W805" s="16"/>
      <c r="X805" s="16"/>
      <c r="Y805" s="3"/>
      <c r="Z805" s="18"/>
      <c r="AA805" s="3"/>
      <c r="AB805" s="16"/>
      <c r="AC805" s="16"/>
      <c r="AD805" s="16"/>
      <c r="AE805" s="9"/>
      <c r="AF805" s="16"/>
      <c r="AG805" s="16"/>
      <c r="AH805" s="16"/>
      <c r="AI805" s="16"/>
      <c r="AJ805" s="16"/>
      <c r="AK805" s="16"/>
      <c r="AL805" s="16"/>
      <c r="AM805" s="3"/>
      <c r="AN805" s="3"/>
      <c r="AO805" s="3"/>
      <c r="AP805" s="3"/>
      <c r="AQ805" s="3"/>
      <c r="AR805" s="3"/>
      <c r="AS805" s="3"/>
      <c r="AT805" s="3"/>
      <c r="AU805" s="3"/>
      <c r="AV805" s="3"/>
    </row>
    <row r="806" spans="1:48" hidden="1" x14ac:dyDescent="0.25">
      <c r="A806" s="31"/>
      <c r="B806" s="31"/>
      <c r="C806" s="3"/>
      <c r="D806" s="3"/>
      <c r="E806" s="2"/>
      <c r="F806" s="3"/>
      <c r="G806" s="3"/>
      <c r="H806" s="16"/>
      <c r="I806" s="16"/>
      <c r="J806" s="3"/>
      <c r="K806" s="17"/>
      <c r="L806" s="16"/>
      <c r="M806" s="3"/>
      <c r="N806" s="3"/>
      <c r="O806" s="2"/>
      <c r="P806" s="3" t="s">
        <v>54</v>
      </c>
      <c r="Q806" s="3"/>
      <c r="R806" s="3"/>
      <c r="S806" s="16"/>
      <c r="T806" s="3"/>
      <c r="U806" s="3"/>
      <c r="V806" s="3"/>
      <c r="W806" s="16"/>
      <c r="X806" s="16"/>
      <c r="Y806" s="3"/>
      <c r="Z806" s="18"/>
      <c r="AA806" s="3"/>
      <c r="AB806" s="16"/>
      <c r="AC806" s="16"/>
      <c r="AD806" s="16"/>
      <c r="AE806" s="9"/>
      <c r="AF806" s="16"/>
      <c r="AG806" s="16"/>
      <c r="AH806" s="16"/>
      <c r="AI806" s="16"/>
      <c r="AJ806" s="16"/>
      <c r="AK806" s="16"/>
      <c r="AL806" s="16"/>
      <c r="AM806" s="3"/>
      <c r="AN806" s="3"/>
      <c r="AO806" s="3"/>
      <c r="AP806" s="3"/>
      <c r="AQ806" s="3"/>
      <c r="AR806" s="3"/>
      <c r="AS806" s="3"/>
      <c r="AT806" s="3"/>
      <c r="AU806" s="3"/>
      <c r="AV806" s="3"/>
    </row>
    <row r="807" spans="1:48" hidden="1" x14ac:dyDescent="0.25">
      <c r="A807" s="31"/>
      <c r="B807" s="31"/>
      <c r="C807" s="3"/>
      <c r="D807" s="3"/>
      <c r="E807" s="2"/>
      <c r="F807" s="3"/>
      <c r="G807" s="3"/>
      <c r="H807" s="16"/>
      <c r="I807" s="16"/>
      <c r="J807" s="3"/>
      <c r="K807" s="17"/>
      <c r="L807" s="16"/>
      <c r="M807" s="3"/>
      <c r="N807" s="3"/>
      <c r="O807" s="2"/>
      <c r="P807" s="3" t="s">
        <v>54</v>
      </c>
      <c r="Q807" s="3"/>
      <c r="R807" s="3"/>
      <c r="S807" s="16"/>
      <c r="T807" s="3"/>
      <c r="U807" s="3"/>
      <c r="V807" s="3"/>
      <c r="W807" s="16"/>
      <c r="X807" s="16"/>
      <c r="Y807" s="3"/>
      <c r="Z807" s="18"/>
      <c r="AA807" s="3"/>
      <c r="AB807" s="16"/>
      <c r="AC807" s="16"/>
      <c r="AD807" s="16"/>
      <c r="AE807" s="9"/>
      <c r="AF807" s="16"/>
      <c r="AG807" s="16"/>
      <c r="AH807" s="16"/>
      <c r="AI807" s="16"/>
      <c r="AJ807" s="16"/>
      <c r="AK807" s="16"/>
      <c r="AL807" s="16"/>
      <c r="AM807" s="3"/>
      <c r="AN807" s="3"/>
      <c r="AO807" s="3"/>
      <c r="AP807" s="3"/>
      <c r="AQ807" s="3"/>
      <c r="AR807" s="3"/>
      <c r="AS807" s="3"/>
      <c r="AT807" s="3"/>
      <c r="AU807" s="3"/>
      <c r="AV807" s="3"/>
    </row>
    <row r="808" spans="1:48" hidden="1" x14ac:dyDescent="0.25">
      <c r="A808" s="31"/>
      <c r="B808" s="31"/>
      <c r="C808" s="3"/>
      <c r="D808" s="3"/>
      <c r="E808" s="2"/>
      <c r="F808" s="3"/>
      <c r="G808" s="3"/>
      <c r="H808" s="16"/>
      <c r="I808" s="16"/>
      <c r="J808" s="3"/>
      <c r="K808" s="17"/>
      <c r="L808" s="16"/>
      <c r="M808" s="3"/>
      <c r="N808" s="3"/>
      <c r="O808" s="2"/>
      <c r="P808" s="3" t="s">
        <v>54</v>
      </c>
      <c r="Q808" s="3"/>
      <c r="R808" s="3"/>
      <c r="S808" s="16"/>
      <c r="T808" s="3"/>
      <c r="U808" s="3"/>
      <c r="V808" s="3"/>
      <c r="W808" s="16"/>
      <c r="X808" s="16"/>
      <c r="Y808" s="3"/>
      <c r="Z808" s="18"/>
      <c r="AA808" s="3"/>
      <c r="AB808" s="16"/>
      <c r="AC808" s="16"/>
      <c r="AD808" s="16"/>
      <c r="AE808" s="9"/>
      <c r="AF808" s="16"/>
      <c r="AG808" s="16"/>
      <c r="AH808" s="16"/>
      <c r="AI808" s="16"/>
      <c r="AJ808" s="16"/>
      <c r="AK808" s="16"/>
      <c r="AL808" s="16"/>
      <c r="AM808" s="3"/>
      <c r="AN808" s="3"/>
      <c r="AO808" s="3"/>
      <c r="AP808" s="3"/>
      <c r="AQ808" s="3"/>
      <c r="AR808" s="3"/>
      <c r="AS808" s="3"/>
      <c r="AT808" s="3"/>
      <c r="AU808" s="3"/>
      <c r="AV808" s="3"/>
    </row>
    <row r="809" spans="1:48" hidden="1" x14ac:dyDescent="0.25">
      <c r="A809" s="31"/>
      <c r="B809" s="31"/>
      <c r="C809" s="3"/>
      <c r="D809" s="3"/>
      <c r="E809" s="2"/>
      <c r="F809" s="3"/>
      <c r="G809" s="3"/>
      <c r="H809" s="16"/>
      <c r="I809" s="16"/>
      <c r="J809" s="3"/>
      <c r="K809" s="17"/>
      <c r="L809" s="16"/>
      <c r="M809" s="3"/>
      <c r="N809" s="3"/>
      <c r="O809" s="2"/>
      <c r="P809" s="3" t="s">
        <v>54</v>
      </c>
      <c r="Q809" s="3"/>
      <c r="R809" s="3"/>
      <c r="S809" s="16"/>
      <c r="T809" s="3"/>
      <c r="U809" s="3"/>
      <c r="V809" s="3"/>
      <c r="W809" s="16"/>
      <c r="X809" s="16"/>
      <c r="Y809" s="3"/>
      <c r="Z809" s="18"/>
      <c r="AA809" s="3"/>
      <c r="AB809" s="16"/>
      <c r="AC809" s="16"/>
      <c r="AD809" s="16"/>
      <c r="AE809" s="9"/>
      <c r="AF809" s="16"/>
      <c r="AG809" s="16"/>
      <c r="AH809" s="16"/>
      <c r="AI809" s="16"/>
      <c r="AJ809" s="16"/>
      <c r="AK809" s="16"/>
      <c r="AL809" s="16"/>
      <c r="AM809" s="3"/>
      <c r="AN809" s="3"/>
      <c r="AO809" s="3"/>
      <c r="AP809" s="3"/>
      <c r="AQ809" s="3"/>
      <c r="AR809" s="3"/>
      <c r="AS809" s="3"/>
      <c r="AT809" s="3"/>
      <c r="AU809" s="3"/>
      <c r="AV809" s="3"/>
    </row>
    <row r="810" spans="1:48" hidden="1" x14ac:dyDescent="0.25">
      <c r="A810" s="31"/>
      <c r="B810" s="31"/>
      <c r="C810" s="3"/>
      <c r="D810" s="3"/>
      <c r="E810" s="2"/>
      <c r="F810" s="3"/>
      <c r="G810" s="3"/>
      <c r="H810" s="16"/>
      <c r="I810" s="16"/>
      <c r="J810" s="3"/>
      <c r="K810" s="17"/>
      <c r="L810" s="16"/>
      <c r="M810" s="3"/>
      <c r="N810" s="3"/>
      <c r="O810" s="2"/>
      <c r="P810" s="3" t="s">
        <v>54</v>
      </c>
      <c r="Q810" s="3"/>
      <c r="R810" s="3"/>
      <c r="S810" s="16"/>
      <c r="T810" s="3"/>
      <c r="U810" s="3"/>
      <c r="V810" s="3"/>
      <c r="W810" s="16"/>
      <c r="X810" s="16"/>
      <c r="Y810" s="3"/>
      <c r="Z810" s="18"/>
      <c r="AA810" s="3"/>
      <c r="AB810" s="16"/>
      <c r="AC810" s="16"/>
      <c r="AD810" s="16"/>
      <c r="AE810" s="9"/>
      <c r="AF810" s="16"/>
      <c r="AG810" s="16"/>
      <c r="AH810" s="16"/>
      <c r="AI810" s="16"/>
      <c r="AJ810" s="16"/>
      <c r="AK810" s="16"/>
      <c r="AL810" s="16"/>
      <c r="AM810" s="3"/>
      <c r="AN810" s="3"/>
      <c r="AO810" s="3"/>
      <c r="AP810" s="3"/>
      <c r="AQ810" s="3"/>
      <c r="AR810" s="3"/>
      <c r="AS810" s="3"/>
      <c r="AT810" s="3"/>
      <c r="AU810" s="3"/>
      <c r="AV810" s="3"/>
    </row>
    <row r="811" spans="1:48" hidden="1" x14ac:dyDescent="0.25">
      <c r="A811" s="31"/>
      <c r="B811" s="31"/>
      <c r="C811" s="3"/>
      <c r="D811" s="3"/>
      <c r="E811" s="2"/>
      <c r="F811" s="3"/>
      <c r="G811" s="3"/>
      <c r="H811" s="16"/>
      <c r="I811" s="16"/>
      <c r="J811" s="3"/>
      <c r="K811" s="17"/>
      <c r="L811" s="16"/>
      <c r="M811" s="3"/>
      <c r="N811" s="3"/>
      <c r="O811" s="2"/>
      <c r="P811" s="3" t="s">
        <v>54</v>
      </c>
      <c r="Q811" s="3"/>
      <c r="R811" s="3"/>
      <c r="S811" s="16"/>
      <c r="T811" s="3"/>
      <c r="U811" s="3"/>
      <c r="V811" s="3"/>
      <c r="W811" s="16"/>
      <c r="X811" s="16"/>
      <c r="Y811" s="3"/>
      <c r="Z811" s="18"/>
      <c r="AA811" s="3"/>
      <c r="AB811" s="16"/>
      <c r="AC811" s="16"/>
      <c r="AD811" s="16"/>
      <c r="AE811" s="9"/>
      <c r="AF811" s="16"/>
      <c r="AG811" s="16"/>
      <c r="AH811" s="16"/>
      <c r="AI811" s="16"/>
      <c r="AJ811" s="16"/>
      <c r="AK811" s="16"/>
      <c r="AL811" s="16"/>
      <c r="AM811" s="3"/>
      <c r="AN811" s="3"/>
      <c r="AO811" s="3"/>
      <c r="AP811" s="3"/>
      <c r="AQ811" s="3"/>
      <c r="AR811" s="3"/>
      <c r="AS811" s="3"/>
      <c r="AT811" s="3"/>
      <c r="AU811" s="3"/>
      <c r="AV811" s="3"/>
    </row>
    <row r="812" spans="1:48" hidden="1" x14ac:dyDescent="0.25">
      <c r="A812" s="31"/>
      <c r="B812" s="31"/>
      <c r="C812" s="3"/>
      <c r="D812" s="3"/>
      <c r="E812" s="2"/>
      <c r="F812" s="3"/>
      <c r="G812" s="3"/>
      <c r="H812" s="16"/>
      <c r="I812" s="16"/>
      <c r="J812" s="3"/>
      <c r="K812" s="17"/>
      <c r="L812" s="16"/>
      <c r="M812" s="3"/>
      <c r="N812" s="3"/>
      <c r="O812" s="2"/>
      <c r="P812" s="3" t="s">
        <v>54</v>
      </c>
      <c r="Q812" s="3"/>
      <c r="R812" s="3"/>
      <c r="S812" s="16"/>
      <c r="T812" s="3"/>
      <c r="U812" s="3"/>
      <c r="V812" s="3"/>
      <c r="W812" s="16"/>
      <c r="X812" s="16"/>
      <c r="Y812" s="3"/>
      <c r="Z812" s="18"/>
      <c r="AA812" s="3"/>
      <c r="AB812" s="16"/>
      <c r="AC812" s="16"/>
      <c r="AD812" s="16"/>
      <c r="AE812" s="9"/>
      <c r="AF812" s="16"/>
      <c r="AG812" s="16"/>
      <c r="AH812" s="16"/>
      <c r="AI812" s="16"/>
      <c r="AJ812" s="16"/>
      <c r="AK812" s="16"/>
      <c r="AL812" s="16"/>
      <c r="AM812" s="3"/>
      <c r="AN812" s="3"/>
      <c r="AO812" s="3"/>
      <c r="AP812" s="3"/>
      <c r="AQ812" s="3"/>
      <c r="AR812" s="3"/>
      <c r="AS812" s="3"/>
      <c r="AT812" s="3"/>
      <c r="AU812" s="3"/>
      <c r="AV812" s="3"/>
    </row>
    <row r="813" spans="1:48" hidden="1" x14ac:dyDescent="0.25">
      <c r="A813" s="31"/>
      <c r="B813" s="31"/>
      <c r="C813" s="3"/>
      <c r="D813" s="3"/>
      <c r="E813" s="2"/>
      <c r="F813" s="3"/>
      <c r="G813" s="3"/>
      <c r="H813" s="16"/>
      <c r="I813" s="16"/>
      <c r="J813" s="3"/>
      <c r="K813" s="17"/>
      <c r="L813" s="16"/>
      <c r="M813" s="3"/>
      <c r="N813" s="3"/>
      <c r="O813" s="2"/>
      <c r="P813" s="3" t="s">
        <v>54</v>
      </c>
      <c r="Q813" s="3"/>
      <c r="R813" s="3"/>
      <c r="S813" s="16"/>
      <c r="T813" s="3"/>
      <c r="U813" s="3"/>
      <c r="V813" s="3"/>
      <c r="W813" s="16"/>
      <c r="X813" s="16"/>
      <c r="Y813" s="3"/>
      <c r="Z813" s="18"/>
      <c r="AA813" s="3"/>
      <c r="AB813" s="16"/>
      <c r="AC813" s="16"/>
      <c r="AD813" s="16"/>
      <c r="AE813" s="9"/>
      <c r="AF813" s="16"/>
      <c r="AG813" s="16"/>
      <c r="AH813" s="16"/>
      <c r="AI813" s="16"/>
      <c r="AJ813" s="16"/>
      <c r="AK813" s="16"/>
      <c r="AL813" s="16"/>
      <c r="AM813" s="3"/>
      <c r="AN813" s="3"/>
      <c r="AO813" s="3"/>
      <c r="AP813" s="3"/>
      <c r="AQ813" s="3"/>
      <c r="AR813" s="3"/>
      <c r="AS813" s="3"/>
      <c r="AT813" s="3"/>
      <c r="AU813" s="3"/>
      <c r="AV813" s="3"/>
    </row>
    <row r="814" spans="1:48" hidden="1" x14ac:dyDescent="0.25">
      <c r="A814" s="31"/>
      <c r="B814" s="31"/>
      <c r="C814" s="3"/>
      <c r="D814" s="3"/>
      <c r="E814" s="2"/>
      <c r="F814" s="3"/>
      <c r="G814" s="3"/>
      <c r="H814" s="16"/>
      <c r="I814" s="16"/>
      <c r="J814" s="3"/>
      <c r="K814" s="17"/>
      <c r="L814" s="16"/>
      <c r="M814" s="3"/>
      <c r="N814" s="3"/>
      <c r="O814" s="2"/>
      <c r="P814" s="3" t="s">
        <v>54</v>
      </c>
      <c r="Q814" s="3"/>
      <c r="R814" s="3"/>
      <c r="S814" s="16"/>
      <c r="T814" s="3"/>
      <c r="U814" s="3"/>
      <c r="V814" s="3"/>
      <c r="W814" s="16"/>
      <c r="X814" s="16"/>
      <c r="Y814" s="3"/>
      <c r="Z814" s="18"/>
      <c r="AA814" s="3"/>
      <c r="AB814" s="16"/>
      <c r="AC814" s="16"/>
      <c r="AD814" s="16"/>
      <c r="AE814" s="9"/>
      <c r="AF814" s="16"/>
      <c r="AG814" s="16"/>
      <c r="AH814" s="16"/>
      <c r="AI814" s="16"/>
      <c r="AJ814" s="16"/>
      <c r="AK814" s="16"/>
      <c r="AL814" s="16"/>
      <c r="AM814" s="3"/>
      <c r="AN814" s="3"/>
      <c r="AO814" s="3"/>
      <c r="AP814" s="3"/>
      <c r="AQ814" s="3"/>
      <c r="AR814" s="3"/>
      <c r="AS814" s="3"/>
      <c r="AT814" s="3"/>
      <c r="AU814" s="3"/>
      <c r="AV814" s="3"/>
    </row>
    <row r="815" spans="1:48" hidden="1" x14ac:dyDescent="0.25">
      <c r="A815" s="31"/>
      <c r="B815" s="31"/>
      <c r="C815" s="3"/>
      <c r="D815" s="3"/>
      <c r="E815" s="2"/>
      <c r="F815" s="3"/>
      <c r="G815" s="3"/>
      <c r="H815" s="16"/>
      <c r="I815" s="16"/>
      <c r="J815" s="3"/>
      <c r="K815" s="17"/>
      <c r="L815" s="16"/>
      <c r="M815" s="3"/>
      <c r="N815" s="3"/>
      <c r="O815" s="2"/>
      <c r="P815" s="3" t="s">
        <v>54</v>
      </c>
      <c r="Q815" s="3"/>
      <c r="R815" s="3"/>
      <c r="S815" s="16"/>
      <c r="T815" s="3"/>
      <c r="U815" s="3"/>
      <c r="V815" s="3"/>
      <c r="W815" s="16"/>
      <c r="X815" s="16"/>
      <c r="Y815" s="3"/>
      <c r="Z815" s="18"/>
      <c r="AA815" s="3"/>
      <c r="AB815" s="16"/>
      <c r="AC815" s="16"/>
      <c r="AD815" s="16"/>
      <c r="AE815" s="9"/>
      <c r="AF815" s="16"/>
      <c r="AG815" s="16"/>
      <c r="AH815" s="16"/>
      <c r="AI815" s="16"/>
      <c r="AJ815" s="16"/>
      <c r="AK815" s="16"/>
      <c r="AL815" s="16"/>
      <c r="AM815" s="3"/>
      <c r="AN815" s="3"/>
      <c r="AO815" s="3"/>
      <c r="AP815" s="3"/>
      <c r="AQ815" s="3"/>
      <c r="AR815" s="3"/>
      <c r="AS815" s="3"/>
      <c r="AT815" s="3"/>
      <c r="AU815" s="3"/>
      <c r="AV815" s="3"/>
    </row>
    <row r="816" spans="1:48" hidden="1" x14ac:dyDescent="0.25">
      <c r="A816" s="31"/>
      <c r="B816" s="31"/>
      <c r="C816" s="3"/>
      <c r="D816" s="3"/>
      <c r="E816" s="2"/>
      <c r="F816" s="3"/>
      <c r="G816" s="3"/>
      <c r="H816" s="16"/>
      <c r="I816" s="16"/>
      <c r="J816" s="3"/>
      <c r="K816" s="17"/>
      <c r="L816" s="16"/>
      <c r="M816" s="3"/>
      <c r="N816" s="3"/>
      <c r="O816" s="2"/>
      <c r="P816" s="3" t="s">
        <v>54</v>
      </c>
      <c r="Q816" s="3"/>
      <c r="R816" s="3"/>
      <c r="S816" s="16"/>
      <c r="T816" s="3"/>
      <c r="U816" s="3"/>
      <c r="V816" s="3"/>
      <c r="W816" s="16"/>
      <c r="X816" s="16"/>
      <c r="Y816" s="3"/>
      <c r="Z816" s="18"/>
      <c r="AA816" s="3"/>
      <c r="AB816" s="16"/>
      <c r="AC816" s="16"/>
      <c r="AD816" s="16"/>
      <c r="AE816" s="9"/>
      <c r="AF816" s="16"/>
      <c r="AG816" s="16"/>
      <c r="AH816" s="16"/>
      <c r="AI816" s="16"/>
      <c r="AJ816" s="16"/>
      <c r="AK816" s="16"/>
      <c r="AL816" s="16"/>
      <c r="AM816" s="3"/>
      <c r="AN816" s="3"/>
      <c r="AO816" s="3"/>
      <c r="AP816" s="3"/>
      <c r="AQ816" s="3"/>
      <c r="AR816" s="3"/>
      <c r="AS816" s="3"/>
      <c r="AT816" s="3"/>
      <c r="AU816" s="3"/>
      <c r="AV816" s="3"/>
    </row>
    <row r="817" spans="1:48" hidden="1" x14ac:dyDescent="0.25">
      <c r="A817" s="31"/>
      <c r="B817" s="31"/>
      <c r="C817" s="3"/>
      <c r="D817" s="3"/>
      <c r="E817" s="2"/>
      <c r="F817" s="3"/>
      <c r="G817" s="3"/>
      <c r="H817" s="16"/>
      <c r="I817" s="16"/>
      <c r="J817" s="3"/>
      <c r="K817" s="17"/>
      <c r="L817" s="16"/>
      <c r="M817" s="3"/>
      <c r="N817" s="3"/>
      <c r="O817" s="2"/>
      <c r="P817" s="3" t="s">
        <v>54</v>
      </c>
      <c r="Q817" s="3"/>
      <c r="R817" s="3"/>
      <c r="S817" s="16"/>
      <c r="T817" s="3"/>
      <c r="U817" s="3"/>
      <c r="V817" s="3"/>
      <c r="W817" s="16"/>
      <c r="X817" s="16"/>
      <c r="Y817" s="3"/>
      <c r="Z817" s="18"/>
      <c r="AA817" s="3"/>
      <c r="AB817" s="16"/>
      <c r="AC817" s="16"/>
      <c r="AD817" s="16"/>
      <c r="AE817" s="9"/>
      <c r="AF817" s="16"/>
      <c r="AG817" s="16"/>
      <c r="AH817" s="16"/>
      <c r="AI817" s="16"/>
      <c r="AJ817" s="16"/>
      <c r="AK817" s="16"/>
      <c r="AL817" s="16"/>
      <c r="AM817" s="3"/>
      <c r="AN817" s="3"/>
      <c r="AO817" s="3"/>
      <c r="AP817" s="3"/>
      <c r="AQ817" s="3"/>
      <c r="AR817" s="3"/>
      <c r="AS817" s="3"/>
      <c r="AT817" s="3"/>
      <c r="AU817" s="3"/>
      <c r="AV817" s="3"/>
    </row>
    <row r="818" spans="1:48" hidden="1" x14ac:dyDescent="0.25">
      <c r="A818" s="31"/>
      <c r="B818" s="31"/>
      <c r="C818" s="3"/>
      <c r="D818" s="3"/>
      <c r="E818" s="2"/>
      <c r="F818" s="3"/>
      <c r="G818" s="3"/>
      <c r="H818" s="16"/>
      <c r="I818" s="16"/>
      <c r="J818" s="3"/>
      <c r="K818" s="17"/>
      <c r="L818" s="16"/>
      <c r="M818" s="3"/>
      <c r="N818" s="3"/>
      <c r="O818" s="2"/>
      <c r="P818" s="3" t="s">
        <v>54</v>
      </c>
      <c r="Q818" s="3"/>
      <c r="R818" s="3"/>
      <c r="S818" s="16"/>
      <c r="T818" s="3"/>
      <c r="U818" s="3"/>
      <c r="V818" s="3"/>
      <c r="W818" s="16"/>
      <c r="X818" s="16"/>
      <c r="Y818" s="3"/>
      <c r="Z818" s="18"/>
      <c r="AA818" s="3"/>
      <c r="AB818" s="16"/>
      <c r="AC818" s="16"/>
      <c r="AD818" s="16"/>
      <c r="AE818" s="9"/>
      <c r="AF818" s="16"/>
      <c r="AG818" s="16"/>
      <c r="AH818" s="16"/>
      <c r="AI818" s="16"/>
      <c r="AJ818" s="16"/>
      <c r="AK818" s="16"/>
      <c r="AL818" s="16"/>
      <c r="AM818" s="3"/>
      <c r="AN818" s="3"/>
      <c r="AO818" s="3"/>
      <c r="AP818" s="3"/>
      <c r="AQ818" s="3"/>
      <c r="AR818" s="3"/>
      <c r="AS818" s="3"/>
      <c r="AT818" s="3"/>
      <c r="AU818" s="3"/>
      <c r="AV818" s="3"/>
    </row>
    <row r="819" spans="1:48" hidden="1" x14ac:dyDescent="0.25">
      <c r="A819" s="31"/>
      <c r="B819" s="31"/>
      <c r="C819" s="3"/>
      <c r="D819" s="3"/>
      <c r="E819" s="2"/>
      <c r="F819" s="3"/>
      <c r="G819" s="3"/>
      <c r="H819" s="16"/>
      <c r="I819" s="16"/>
      <c r="J819" s="3"/>
      <c r="K819" s="17"/>
      <c r="L819" s="16"/>
      <c r="M819" s="3"/>
      <c r="N819" s="3"/>
      <c r="O819" s="2"/>
      <c r="P819" s="3" t="s">
        <v>54</v>
      </c>
      <c r="Q819" s="3"/>
      <c r="R819" s="3"/>
      <c r="S819" s="16"/>
      <c r="T819" s="3"/>
      <c r="U819" s="3"/>
      <c r="V819" s="3"/>
      <c r="W819" s="16"/>
      <c r="X819" s="16"/>
      <c r="Y819" s="3"/>
      <c r="Z819" s="18"/>
      <c r="AA819" s="3"/>
      <c r="AB819" s="16"/>
      <c r="AC819" s="16"/>
      <c r="AD819" s="16"/>
      <c r="AE819" s="9"/>
      <c r="AF819" s="16"/>
      <c r="AG819" s="16"/>
      <c r="AH819" s="16"/>
      <c r="AI819" s="16"/>
      <c r="AJ819" s="16"/>
      <c r="AK819" s="16"/>
      <c r="AL819" s="16"/>
      <c r="AM819" s="3"/>
      <c r="AN819" s="3"/>
      <c r="AO819" s="3"/>
      <c r="AP819" s="3"/>
      <c r="AQ819" s="3"/>
      <c r="AR819" s="3"/>
      <c r="AS819" s="3"/>
      <c r="AT819" s="3"/>
      <c r="AU819" s="3"/>
      <c r="AV819" s="3"/>
    </row>
    <row r="820" spans="1:48" hidden="1" x14ac:dyDescent="0.25">
      <c r="A820" s="31"/>
      <c r="B820" s="31"/>
      <c r="C820" s="3"/>
      <c r="D820" s="3"/>
      <c r="E820" s="2"/>
      <c r="F820" s="3"/>
      <c r="G820" s="3"/>
      <c r="H820" s="16"/>
      <c r="I820" s="16"/>
      <c r="J820" s="3"/>
      <c r="K820" s="17"/>
      <c r="L820" s="16"/>
      <c r="M820" s="3"/>
      <c r="N820" s="3"/>
      <c r="O820" s="2"/>
      <c r="P820" s="3" t="s">
        <v>54</v>
      </c>
      <c r="Q820" s="3"/>
      <c r="R820" s="3"/>
      <c r="S820" s="16"/>
      <c r="T820" s="3"/>
      <c r="U820" s="3"/>
      <c r="V820" s="3"/>
      <c r="W820" s="16"/>
      <c r="X820" s="16"/>
      <c r="Y820" s="3"/>
      <c r="Z820" s="18"/>
      <c r="AA820" s="3"/>
      <c r="AB820" s="16"/>
      <c r="AC820" s="16"/>
      <c r="AD820" s="16"/>
      <c r="AE820" s="9"/>
      <c r="AF820" s="16"/>
      <c r="AG820" s="16"/>
      <c r="AH820" s="16"/>
      <c r="AI820" s="16"/>
      <c r="AJ820" s="16"/>
      <c r="AK820" s="16"/>
      <c r="AL820" s="16"/>
      <c r="AM820" s="3"/>
      <c r="AN820" s="3"/>
      <c r="AO820" s="3"/>
      <c r="AP820" s="3"/>
      <c r="AQ820" s="3"/>
      <c r="AR820" s="3"/>
      <c r="AS820" s="3"/>
      <c r="AT820" s="3"/>
      <c r="AU820" s="3"/>
      <c r="AV820" s="3"/>
    </row>
    <row r="821" spans="1:48" hidden="1" x14ac:dyDescent="0.25">
      <c r="A821" s="31"/>
      <c r="B821" s="31"/>
      <c r="C821" s="3"/>
      <c r="D821" s="3"/>
      <c r="E821" s="2"/>
      <c r="F821" s="3"/>
      <c r="G821" s="3"/>
      <c r="H821" s="16"/>
      <c r="I821" s="16"/>
      <c r="J821" s="3"/>
      <c r="K821" s="17"/>
      <c r="L821" s="16"/>
      <c r="M821" s="3"/>
      <c r="N821" s="3"/>
      <c r="O821" s="2"/>
      <c r="P821" s="3" t="s">
        <v>54</v>
      </c>
      <c r="Q821" s="3"/>
      <c r="R821" s="3"/>
      <c r="S821" s="16"/>
      <c r="T821" s="3"/>
      <c r="U821" s="3"/>
      <c r="V821" s="3"/>
      <c r="W821" s="16"/>
      <c r="X821" s="16"/>
      <c r="Y821" s="3"/>
      <c r="Z821" s="18"/>
      <c r="AA821" s="3"/>
      <c r="AB821" s="16"/>
      <c r="AC821" s="16"/>
      <c r="AD821" s="16"/>
      <c r="AE821" s="9"/>
      <c r="AF821" s="16"/>
      <c r="AG821" s="16"/>
      <c r="AH821" s="16"/>
      <c r="AI821" s="16"/>
      <c r="AJ821" s="16"/>
      <c r="AK821" s="16"/>
      <c r="AL821" s="16"/>
      <c r="AM821" s="3"/>
      <c r="AN821" s="3"/>
      <c r="AO821" s="3"/>
      <c r="AP821" s="3"/>
      <c r="AQ821" s="3"/>
      <c r="AR821" s="3"/>
      <c r="AS821" s="3"/>
      <c r="AT821" s="3"/>
      <c r="AU821" s="3"/>
      <c r="AV821" s="3"/>
    </row>
    <row r="822" spans="1:48" hidden="1" x14ac:dyDescent="0.25">
      <c r="A822" s="31"/>
      <c r="B822" s="31"/>
      <c r="C822" s="3"/>
      <c r="D822" s="3"/>
      <c r="E822" s="2"/>
      <c r="F822" s="3"/>
      <c r="G822" s="3"/>
      <c r="H822" s="16"/>
      <c r="I822" s="16"/>
      <c r="J822" s="3"/>
      <c r="K822" s="17"/>
      <c r="L822" s="16"/>
      <c r="M822" s="3"/>
      <c r="N822" s="3"/>
      <c r="O822" s="2"/>
      <c r="P822" s="3" t="s">
        <v>54</v>
      </c>
      <c r="Q822" s="3"/>
      <c r="R822" s="3"/>
      <c r="S822" s="16"/>
      <c r="T822" s="3"/>
      <c r="U822" s="3"/>
      <c r="V822" s="3"/>
      <c r="W822" s="16"/>
      <c r="X822" s="16"/>
      <c r="Y822" s="3"/>
      <c r="Z822" s="18"/>
      <c r="AA822" s="3"/>
      <c r="AB822" s="16"/>
      <c r="AC822" s="16"/>
      <c r="AD822" s="16"/>
      <c r="AE822" s="9"/>
      <c r="AF822" s="16"/>
      <c r="AG822" s="16"/>
      <c r="AH822" s="16"/>
      <c r="AI822" s="16"/>
      <c r="AJ822" s="16"/>
      <c r="AK822" s="16"/>
      <c r="AL822" s="16"/>
      <c r="AM822" s="3"/>
      <c r="AN822" s="3"/>
      <c r="AO822" s="3"/>
      <c r="AP822" s="3"/>
      <c r="AQ822" s="3"/>
      <c r="AR822" s="3"/>
      <c r="AS822" s="3"/>
      <c r="AT822" s="3"/>
      <c r="AU822" s="3"/>
      <c r="AV822" s="3"/>
    </row>
    <row r="823" spans="1:48" hidden="1" x14ac:dyDescent="0.25">
      <c r="A823" s="31"/>
      <c r="B823" s="31"/>
      <c r="C823" s="3"/>
      <c r="D823" s="3"/>
      <c r="E823" s="2"/>
      <c r="F823" s="3"/>
      <c r="G823" s="3"/>
      <c r="H823" s="16"/>
      <c r="I823" s="16"/>
      <c r="J823" s="3"/>
      <c r="K823" s="17"/>
      <c r="L823" s="16"/>
      <c r="M823" s="3"/>
      <c r="N823" s="3"/>
      <c r="O823" s="2"/>
      <c r="P823" s="3" t="s">
        <v>54</v>
      </c>
      <c r="Q823" s="3"/>
      <c r="R823" s="3"/>
      <c r="S823" s="16"/>
      <c r="T823" s="3"/>
      <c r="U823" s="3"/>
      <c r="V823" s="3"/>
      <c r="W823" s="16"/>
      <c r="X823" s="16"/>
      <c r="Y823" s="3"/>
      <c r="Z823" s="18"/>
      <c r="AA823" s="3"/>
      <c r="AB823" s="16"/>
      <c r="AC823" s="16"/>
      <c r="AD823" s="16"/>
      <c r="AE823" s="9"/>
      <c r="AF823" s="16"/>
      <c r="AG823" s="16"/>
      <c r="AH823" s="16"/>
      <c r="AI823" s="16"/>
      <c r="AJ823" s="16"/>
      <c r="AK823" s="16"/>
      <c r="AL823" s="16"/>
      <c r="AM823" s="3"/>
      <c r="AN823" s="3"/>
      <c r="AO823" s="3"/>
      <c r="AP823" s="3"/>
      <c r="AQ823" s="3"/>
      <c r="AR823" s="3"/>
      <c r="AS823" s="3"/>
      <c r="AT823" s="3"/>
      <c r="AU823" s="3"/>
      <c r="AV823" s="3"/>
    </row>
    <row r="824" spans="1:48" hidden="1" x14ac:dyDescent="0.25">
      <c r="A824" s="31"/>
      <c r="B824" s="31"/>
      <c r="C824" s="3"/>
      <c r="D824" s="3"/>
      <c r="E824" s="2"/>
      <c r="F824" s="3"/>
      <c r="G824" s="3"/>
      <c r="H824" s="16"/>
      <c r="I824" s="16"/>
      <c r="J824" s="3"/>
      <c r="K824" s="17"/>
      <c r="L824" s="16"/>
      <c r="M824" s="3"/>
      <c r="N824" s="3"/>
      <c r="O824" s="2"/>
      <c r="P824" s="3" t="s">
        <v>54</v>
      </c>
      <c r="Q824" s="3"/>
      <c r="R824" s="3"/>
      <c r="S824" s="16"/>
      <c r="T824" s="3"/>
      <c r="U824" s="3"/>
      <c r="V824" s="3"/>
      <c r="W824" s="16"/>
      <c r="X824" s="16"/>
      <c r="Y824" s="3"/>
      <c r="Z824" s="18"/>
      <c r="AA824" s="3"/>
      <c r="AB824" s="16"/>
      <c r="AC824" s="16"/>
      <c r="AD824" s="16"/>
      <c r="AE824" s="9"/>
      <c r="AF824" s="16"/>
      <c r="AG824" s="16"/>
      <c r="AH824" s="16"/>
      <c r="AI824" s="16"/>
      <c r="AJ824" s="16"/>
      <c r="AK824" s="16"/>
      <c r="AL824" s="16"/>
      <c r="AM824" s="3"/>
      <c r="AN824" s="3"/>
      <c r="AO824" s="3"/>
      <c r="AP824" s="3"/>
      <c r="AQ824" s="3"/>
      <c r="AR824" s="3"/>
      <c r="AS824" s="3"/>
      <c r="AT824" s="3"/>
      <c r="AU824" s="3"/>
      <c r="AV824" s="3"/>
    </row>
    <row r="825" spans="1:48" hidden="1" x14ac:dyDescent="0.25">
      <c r="A825" s="31"/>
      <c r="B825" s="31"/>
      <c r="C825" s="3"/>
      <c r="D825" s="3"/>
      <c r="E825" s="2"/>
      <c r="F825" s="3"/>
      <c r="G825" s="3"/>
      <c r="H825" s="16"/>
      <c r="I825" s="16"/>
      <c r="J825" s="3"/>
      <c r="K825" s="17"/>
      <c r="L825" s="16"/>
      <c r="M825" s="3"/>
      <c r="N825" s="3"/>
      <c r="O825" s="2"/>
      <c r="P825" s="3" t="s">
        <v>54</v>
      </c>
      <c r="Q825" s="3"/>
      <c r="R825" s="3"/>
      <c r="S825" s="16"/>
      <c r="T825" s="3"/>
      <c r="U825" s="3"/>
      <c r="V825" s="3"/>
      <c r="W825" s="16"/>
      <c r="X825" s="16"/>
      <c r="Y825" s="3"/>
      <c r="Z825" s="18"/>
      <c r="AA825" s="3"/>
      <c r="AB825" s="16"/>
      <c r="AC825" s="16"/>
      <c r="AD825" s="16"/>
      <c r="AE825" s="9"/>
      <c r="AF825" s="16"/>
      <c r="AG825" s="16"/>
      <c r="AH825" s="16"/>
      <c r="AI825" s="16"/>
      <c r="AJ825" s="16"/>
      <c r="AK825" s="16"/>
      <c r="AL825" s="16"/>
      <c r="AM825" s="3"/>
      <c r="AN825" s="3"/>
      <c r="AO825" s="3"/>
      <c r="AP825" s="3"/>
      <c r="AQ825" s="3"/>
      <c r="AR825" s="3"/>
      <c r="AS825" s="3"/>
      <c r="AT825" s="3"/>
      <c r="AU825" s="3"/>
      <c r="AV825" s="3"/>
    </row>
    <row r="826" spans="1:48" hidden="1" x14ac:dyDescent="0.25">
      <c r="A826" s="31"/>
      <c r="B826" s="31"/>
      <c r="C826" s="3"/>
      <c r="D826" s="3"/>
      <c r="E826" s="2"/>
      <c r="F826" s="3"/>
      <c r="G826" s="3"/>
      <c r="H826" s="16"/>
      <c r="I826" s="16"/>
      <c r="J826" s="3"/>
      <c r="K826" s="17"/>
      <c r="L826" s="16"/>
      <c r="M826" s="3"/>
      <c r="N826" s="3"/>
      <c r="O826" s="2"/>
      <c r="P826" s="3" t="s">
        <v>54</v>
      </c>
      <c r="Q826" s="3"/>
      <c r="R826" s="3"/>
      <c r="S826" s="16"/>
      <c r="T826" s="3"/>
      <c r="U826" s="3"/>
      <c r="V826" s="3"/>
      <c r="W826" s="16"/>
      <c r="X826" s="16"/>
      <c r="Y826" s="3"/>
      <c r="Z826" s="18"/>
      <c r="AA826" s="3"/>
      <c r="AB826" s="16"/>
      <c r="AC826" s="16"/>
      <c r="AD826" s="16"/>
      <c r="AE826" s="9"/>
      <c r="AF826" s="16"/>
      <c r="AG826" s="16"/>
      <c r="AH826" s="16"/>
      <c r="AI826" s="16"/>
      <c r="AJ826" s="16"/>
      <c r="AK826" s="16"/>
      <c r="AL826" s="16"/>
      <c r="AM826" s="3"/>
      <c r="AN826" s="3"/>
      <c r="AO826" s="3"/>
      <c r="AP826" s="3"/>
      <c r="AQ826" s="3"/>
      <c r="AR826" s="3"/>
      <c r="AS826" s="3"/>
      <c r="AT826" s="3"/>
      <c r="AU826" s="3"/>
      <c r="AV826" s="3"/>
    </row>
    <row r="827" spans="1:48" hidden="1" x14ac:dyDescent="0.25">
      <c r="A827" s="31"/>
      <c r="B827" s="31"/>
      <c r="C827" s="3"/>
      <c r="D827" s="3"/>
      <c r="E827" s="2"/>
      <c r="F827" s="3"/>
      <c r="G827" s="3"/>
      <c r="H827" s="16"/>
      <c r="I827" s="16"/>
      <c r="J827" s="3"/>
      <c r="K827" s="17"/>
      <c r="L827" s="16"/>
      <c r="M827" s="3"/>
      <c r="N827" s="3"/>
      <c r="O827" s="2"/>
      <c r="P827" s="3" t="s">
        <v>54</v>
      </c>
      <c r="Q827" s="3"/>
      <c r="R827" s="3"/>
      <c r="S827" s="16"/>
      <c r="T827" s="3"/>
      <c r="U827" s="3"/>
      <c r="V827" s="3"/>
      <c r="W827" s="16"/>
      <c r="X827" s="16"/>
      <c r="Y827" s="3"/>
      <c r="Z827" s="18"/>
      <c r="AA827" s="3"/>
      <c r="AB827" s="16"/>
      <c r="AC827" s="16"/>
      <c r="AD827" s="16"/>
      <c r="AE827" s="9"/>
      <c r="AF827" s="16"/>
      <c r="AG827" s="16"/>
      <c r="AH827" s="16"/>
      <c r="AI827" s="16"/>
      <c r="AJ827" s="16"/>
      <c r="AK827" s="16"/>
      <c r="AL827" s="16"/>
      <c r="AM827" s="3"/>
      <c r="AN827" s="3"/>
      <c r="AO827" s="3"/>
      <c r="AP827" s="3"/>
      <c r="AQ827" s="3"/>
      <c r="AR827" s="3"/>
      <c r="AS827" s="3"/>
      <c r="AT827" s="3"/>
      <c r="AU827" s="3"/>
      <c r="AV827" s="3"/>
    </row>
    <row r="828" spans="1:48" hidden="1" x14ac:dyDescent="0.25">
      <c r="A828" s="31"/>
      <c r="B828" s="31"/>
      <c r="C828" s="3"/>
      <c r="D828" s="3"/>
      <c r="E828" s="2"/>
      <c r="F828" s="3"/>
      <c r="G828" s="3"/>
      <c r="H828" s="16"/>
      <c r="I828" s="16"/>
      <c r="J828" s="3"/>
      <c r="K828" s="17"/>
      <c r="L828" s="16"/>
      <c r="M828" s="3"/>
      <c r="N828" s="3"/>
      <c r="O828" s="2"/>
      <c r="P828" s="3" t="s">
        <v>54</v>
      </c>
      <c r="Q828" s="3"/>
      <c r="R828" s="3"/>
      <c r="S828" s="16"/>
      <c r="T828" s="3"/>
      <c r="U828" s="3"/>
      <c r="V828" s="3"/>
      <c r="W828" s="16"/>
      <c r="X828" s="16"/>
      <c r="Y828" s="3"/>
      <c r="Z828" s="18"/>
      <c r="AA828" s="3"/>
      <c r="AB828" s="16"/>
      <c r="AC828" s="16"/>
      <c r="AD828" s="16"/>
      <c r="AE828" s="9"/>
      <c r="AF828" s="16"/>
      <c r="AG828" s="16"/>
      <c r="AH828" s="16"/>
      <c r="AI828" s="16"/>
      <c r="AJ828" s="16"/>
      <c r="AK828" s="16"/>
      <c r="AL828" s="16"/>
      <c r="AM828" s="3"/>
      <c r="AN828" s="3"/>
      <c r="AO828" s="3"/>
      <c r="AP828" s="3"/>
      <c r="AQ828" s="3"/>
      <c r="AR828" s="3"/>
      <c r="AS828" s="3"/>
      <c r="AT828" s="3"/>
      <c r="AU828" s="3"/>
      <c r="AV828" s="3"/>
    </row>
    <row r="829" spans="1:48" hidden="1" x14ac:dyDescent="0.25">
      <c r="A829" s="31"/>
      <c r="B829" s="31"/>
      <c r="C829" s="3"/>
      <c r="D829" s="3"/>
      <c r="E829" s="2"/>
      <c r="F829" s="3"/>
      <c r="G829" s="3"/>
      <c r="H829" s="16"/>
      <c r="I829" s="16"/>
      <c r="J829" s="3"/>
      <c r="K829" s="17"/>
      <c r="L829" s="16"/>
      <c r="M829" s="3"/>
      <c r="N829" s="3"/>
      <c r="O829" s="2"/>
      <c r="P829" s="3" t="s">
        <v>54</v>
      </c>
      <c r="Q829" s="3"/>
      <c r="R829" s="3"/>
      <c r="S829" s="16"/>
      <c r="T829" s="3"/>
      <c r="U829" s="3"/>
      <c r="V829" s="3"/>
      <c r="W829" s="16"/>
      <c r="X829" s="16"/>
      <c r="Y829" s="3"/>
      <c r="Z829" s="18"/>
      <c r="AA829" s="3"/>
      <c r="AB829" s="16"/>
      <c r="AC829" s="16"/>
      <c r="AD829" s="16"/>
      <c r="AE829" s="9"/>
      <c r="AF829" s="16"/>
      <c r="AG829" s="16"/>
      <c r="AH829" s="16"/>
      <c r="AI829" s="16"/>
      <c r="AJ829" s="16"/>
      <c r="AK829" s="16"/>
      <c r="AL829" s="16"/>
      <c r="AM829" s="3"/>
      <c r="AN829" s="3"/>
      <c r="AO829" s="3"/>
      <c r="AP829" s="3"/>
      <c r="AQ829" s="3"/>
      <c r="AR829" s="3"/>
      <c r="AS829" s="3"/>
      <c r="AT829" s="3"/>
      <c r="AU829" s="3"/>
      <c r="AV829" s="3"/>
    </row>
    <row r="830" spans="1:48" hidden="1" x14ac:dyDescent="0.25">
      <c r="A830" s="31"/>
      <c r="B830" s="31"/>
      <c r="C830" s="3"/>
      <c r="D830" s="3"/>
      <c r="E830" s="2"/>
      <c r="F830" s="3"/>
      <c r="G830" s="3"/>
      <c r="H830" s="16"/>
      <c r="I830" s="16"/>
      <c r="J830" s="3"/>
      <c r="K830" s="17"/>
      <c r="L830" s="16"/>
      <c r="M830" s="3"/>
      <c r="N830" s="3"/>
      <c r="O830" s="2"/>
      <c r="P830" s="3" t="s">
        <v>54</v>
      </c>
      <c r="Q830" s="3"/>
      <c r="R830" s="3"/>
      <c r="S830" s="16"/>
      <c r="T830" s="3"/>
      <c r="U830" s="3"/>
      <c r="V830" s="3"/>
      <c r="W830" s="16"/>
      <c r="X830" s="16"/>
      <c r="Y830" s="3"/>
      <c r="Z830" s="18"/>
      <c r="AA830" s="3"/>
      <c r="AB830" s="16"/>
      <c r="AC830" s="16"/>
      <c r="AD830" s="16"/>
      <c r="AE830" s="9"/>
      <c r="AF830" s="16"/>
      <c r="AG830" s="16"/>
      <c r="AH830" s="16"/>
      <c r="AI830" s="16"/>
      <c r="AJ830" s="16"/>
      <c r="AK830" s="16"/>
      <c r="AL830" s="16"/>
      <c r="AM830" s="3"/>
      <c r="AN830" s="3"/>
      <c r="AO830" s="3"/>
      <c r="AP830" s="3"/>
      <c r="AQ830" s="3"/>
      <c r="AR830" s="3"/>
      <c r="AS830" s="3"/>
      <c r="AT830" s="3"/>
      <c r="AU830" s="3"/>
      <c r="AV830" s="3"/>
    </row>
    <row r="831" spans="1:48" hidden="1" x14ac:dyDescent="0.25">
      <c r="A831" s="31"/>
      <c r="B831" s="31"/>
      <c r="C831" s="3"/>
      <c r="D831" s="3"/>
      <c r="E831" s="2"/>
      <c r="F831" s="3"/>
      <c r="G831" s="3"/>
      <c r="H831" s="16"/>
      <c r="I831" s="16"/>
      <c r="J831" s="3"/>
      <c r="K831" s="17"/>
      <c r="L831" s="16"/>
      <c r="M831" s="3"/>
      <c r="N831" s="3"/>
      <c r="O831" s="2"/>
      <c r="P831" s="3" t="s">
        <v>54</v>
      </c>
      <c r="Q831" s="3"/>
      <c r="R831" s="3"/>
      <c r="S831" s="16"/>
      <c r="T831" s="3"/>
      <c r="U831" s="3"/>
      <c r="V831" s="3"/>
      <c r="W831" s="16"/>
      <c r="X831" s="16"/>
      <c r="Y831" s="3"/>
      <c r="Z831" s="18"/>
      <c r="AA831" s="3"/>
      <c r="AB831" s="16"/>
      <c r="AC831" s="16"/>
      <c r="AD831" s="16"/>
      <c r="AE831" s="9"/>
      <c r="AF831" s="16"/>
      <c r="AG831" s="16"/>
      <c r="AH831" s="16"/>
      <c r="AI831" s="16"/>
      <c r="AJ831" s="16"/>
      <c r="AK831" s="16"/>
      <c r="AL831" s="16"/>
      <c r="AM831" s="3"/>
      <c r="AN831" s="3"/>
      <c r="AO831" s="3"/>
      <c r="AP831" s="3"/>
      <c r="AQ831" s="3"/>
      <c r="AR831" s="3"/>
      <c r="AS831" s="3"/>
      <c r="AT831" s="3"/>
      <c r="AU831" s="3"/>
      <c r="AV831" s="3"/>
    </row>
    <row r="832" spans="1:48" hidden="1" x14ac:dyDescent="0.25">
      <c r="A832" s="31"/>
      <c r="B832" s="31"/>
      <c r="C832" s="3"/>
      <c r="D832" s="3"/>
      <c r="E832" s="2"/>
      <c r="F832" s="3"/>
      <c r="G832" s="3"/>
      <c r="H832" s="16"/>
      <c r="I832" s="16"/>
      <c r="J832" s="3"/>
      <c r="K832" s="17"/>
      <c r="L832" s="16"/>
      <c r="M832" s="3"/>
      <c r="N832" s="3"/>
      <c r="O832" s="2"/>
      <c r="P832" s="3" t="s">
        <v>54</v>
      </c>
      <c r="Q832" s="3"/>
      <c r="R832" s="3"/>
      <c r="S832" s="16"/>
      <c r="T832" s="3"/>
      <c r="U832" s="3"/>
      <c r="V832" s="3"/>
      <c r="W832" s="16"/>
      <c r="X832" s="16"/>
      <c r="Y832" s="3"/>
      <c r="Z832" s="18"/>
      <c r="AA832" s="3"/>
      <c r="AB832" s="16"/>
      <c r="AC832" s="16"/>
      <c r="AD832" s="16"/>
      <c r="AE832" s="9"/>
      <c r="AF832" s="16"/>
      <c r="AG832" s="16"/>
      <c r="AH832" s="16"/>
      <c r="AI832" s="16"/>
      <c r="AJ832" s="16"/>
      <c r="AK832" s="16"/>
      <c r="AL832" s="16"/>
      <c r="AM832" s="3"/>
      <c r="AN832" s="3"/>
      <c r="AO832" s="3"/>
      <c r="AP832" s="3"/>
      <c r="AQ832" s="3"/>
      <c r="AR832" s="3"/>
      <c r="AS832" s="3"/>
      <c r="AT832" s="3"/>
      <c r="AU832" s="3"/>
      <c r="AV832" s="3"/>
    </row>
    <row r="833" spans="1:48" hidden="1" x14ac:dyDescent="0.25">
      <c r="A833" s="31"/>
      <c r="B833" s="31"/>
      <c r="C833" s="3"/>
      <c r="D833" s="3"/>
      <c r="E833" s="2"/>
      <c r="F833" s="3"/>
      <c r="G833" s="3"/>
      <c r="H833" s="16"/>
      <c r="I833" s="16"/>
      <c r="J833" s="3"/>
      <c r="K833" s="17"/>
      <c r="L833" s="16"/>
      <c r="M833" s="3"/>
      <c r="N833" s="3"/>
      <c r="O833" s="2"/>
      <c r="P833" s="3" t="s">
        <v>54</v>
      </c>
      <c r="Q833" s="3"/>
      <c r="R833" s="3"/>
      <c r="S833" s="16"/>
      <c r="T833" s="3"/>
      <c r="U833" s="3"/>
      <c r="V833" s="3"/>
      <c r="W833" s="16"/>
      <c r="X833" s="16"/>
      <c r="Y833" s="3"/>
      <c r="Z833" s="18"/>
      <c r="AA833" s="3"/>
      <c r="AB833" s="16"/>
      <c r="AC833" s="16"/>
      <c r="AD833" s="16"/>
      <c r="AE833" s="9"/>
      <c r="AF833" s="16"/>
      <c r="AG833" s="16"/>
      <c r="AH833" s="16"/>
      <c r="AI833" s="16"/>
      <c r="AJ833" s="16"/>
      <c r="AK833" s="16"/>
      <c r="AL833" s="16"/>
      <c r="AM833" s="3"/>
      <c r="AN833" s="3"/>
      <c r="AO833" s="3"/>
      <c r="AP833" s="3"/>
      <c r="AQ833" s="3"/>
      <c r="AR833" s="3"/>
      <c r="AS833" s="3"/>
      <c r="AT833" s="3"/>
      <c r="AU833" s="3"/>
      <c r="AV833" s="3"/>
    </row>
    <row r="834" spans="1:48" hidden="1" x14ac:dyDescent="0.25">
      <c r="A834" s="31"/>
      <c r="B834" s="31"/>
      <c r="C834" s="3"/>
      <c r="D834" s="3"/>
      <c r="E834" s="2"/>
      <c r="F834" s="3"/>
      <c r="G834" s="3"/>
      <c r="H834" s="16"/>
      <c r="I834" s="16"/>
      <c r="J834" s="3"/>
      <c r="K834" s="17"/>
      <c r="L834" s="16"/>
      <c r="M834" s="3"/>
      <c r="N834" s="3"/>
      <c r="O834" s="2"/>
      <c r="P834" s="3" t="s">
        <v>54</v>
      </c>
      <c r="Q834" s="3"/>
      <c r="R834" s="3"/>
      <c r="S834" s="16"/>
      <c r="T834" s="3"/>
      <c r="U834" s="3"/>
      <c r="V834" s="3"/>
      <c r="W834" s="16"/>
      <c r="X834" s="16"/>
      <c r="Y834" s="3"/>
      <c r="Z834" s="18"/>
      <c r="AA834" s="3"/>
      <c r="AB834" s="16"/>
      <c r="AC834" s="16"/>
      <c r="AD834" s="16"/>
      <c r="AE834" s="9"/>
      <c r="AF834" s="16"/>
      <c r="AG834" s="16"/>
      <c r="AH834" s="16"/>
      <c r="AI834" s="16"/>
      <c r="AJ834" s="16"/>
      <c r="AK834" s="16"/>
      <c r="AL834" s="16"/>
      <c r="AM834" s="3"/>
      <c r="AN834" s="3"/>
      <c r="AO834" s="3"/>
      <c r="AP834" s="3"/>
      <c r="AQ834" s="3"/>
      <c r="AR834" s="3"/>
      <c r="AS834" s="3"/>
      <c r="AT834" s="3"/>
      <c r="AU834" s="3"/>
      <c r="AV834" s="3"/>
    </row>
    <row r="835" spans="1:48" hidden="1" x14ac:dyDescent="0.25">
      <c r="A835" s="31"/>
      <c r="B835" s="31"/>
      <c r="C835" s="3"/>
      <c r="D835" s="3"/>
      <c r="E835" s="2"/>
      <c r="F835" s="3"/>
      <c r="G835" s="3"/>
      <c r="H835" s="16"/>
      <c r="I835" s="16"/>
      <c r="J835" s="3"/>
      <c r="K835" s="17"/>
      <c r="L835" s="16"/>
      <c r="M835" s="3"/>
      <c r="N835" s="3"/>
      <c r="O835" s="2"/>
      <c r="P835" s="3" t="s">
        <v>54</v>
      </c>
      <c r="Q835" s="3"/>
      <c r="R835" s="3"/>
      <c r="S835" s="16"/>
      <c r="T835" s="3"/>
      <c r="U835" s="3"/>
      <c r="V835" s="3"/>
      <c r="W835" s="16"/>
      <c r="X835" s="16"/>
      <c r="Y835" s="3"/>
      <c r="Z835" s="18"/>
      <c r="AA835" s="3"/>
      <c r="AB835" s="16"/>
      <c r="AC835" s="16"/>
      <c r="AD835" s="16"/>
      <c r="AE835" s="9"/>
      <c r="AF835" s="16"/>
      <c r="AG835" s="16"/>
      <c r="AH835" s="16"/>
      <c r="AI835" s="16"/>
      <c r="AJ835" s="16"/>
      <c r="AK835" s="16"/>
      <c r="AL835" s="16"/>
      <c r="AM835" s="3"/>
      <c r="AN835" s="3"/>
      <c r="AO835" s="3"/>
      <c r="AP835" s="3"/>
      <c r="AQ835" s="3"/>
      <c r="AR835" s="3"/>
      <c r="AS835" s="3"/>
      <c r="AT835" s="3"/>
      <c r="AU835" s="3"/>
      <c r="AV835" s="3"/>
    </row>
    <row r="836" spans="1:48" hidden="1" x14ac:dyDescent="0.25">
      <c r="A836" s="31"/>
      <c r="B836" s="31"/>
      <c r="C836" s="3"/>
      <c r="D836" s="3"/>
      <c r="E836" s="2"/>
      <c r="F836" s="3"/>
      <c r="G836" s="3"/>
      <c r="H836" s="16"/>
      <c r="I836" s="16"/>
      <c r="J836" s="3"/>
      <c r="K836" s="17"/>
      <c r="L836" s="16"/>
      <c r="M836" s="3"/>
      <c r="N836" s="3"/>
      <c r="O836" s="2"/>
      <c r="P836" s="3" t="s">
        <v>54</v>
      </c>
      <c r="Q836" s="3"/>
      <c r="R836" s="3"/>
      <c r="S836" s="16"/>
      <c r="T836" s="3"/>
      <c r="U836" s="3"/>
      <c r="V836" s="3"/>
      <c r="W836" s="16"/>
      <c r="X836" s="16"/>
      <c r="Y836" s="3"/>
      <c r="Z836" s="18"/>
      <c r="AA836" s="3"/>
      <c r="AB836" s="16"/>
      <c r="AC836" s="16"/>
      <c r="AD836" s="16"/>
      <c r="AE836" s="9"/>
      <c r="AF836" s="16"/>
      <c r="AG836" s="16"/>
      <c r="AH836" s="16"/>
      <c r="AI836" s="16"/>
      <c r="AJ836" s="16"/>
      <c r="AK836" s="16"/>
      <c r="AL836" s="16"/>
      <c r="AM836" s="3"/>
      <c r="AN836" s="3"/>
      <c r="AO836" s="3"/>
      <c r="AP836" s="3"/>
      <c r="AQ836" s="3"/>
      <c r="AR836" s="3"/>
      <c r="AS836" s="3"/>
      <c r="AT836" s="3"/>
      <c r="AU836" s="3"/>
      <c r="AV836" s="3"/>
    </row>
    <row r="837" spans="1:48" hidden="1" x14ac:dyDescent="0.25">
      <c r="A837" s="31"/>
      <c r="B837" s="31"/>
      <c r="C837" s="3"/>
      <c r="D837" s="3"/>
      <c r="E837" s="2"/>
      <c r="F837" s="3"/>
      <c r="G837" s="3"/>
      <c r="H837" s="16"/>
      <c r="I837" s="16"/>
      <c r="J837" s="3"/>
      <c r="K837" s="17"/>
      <c r="L837" s="16"/>
      <c r="M837" s="3"/>
      <c r="N837" s="3"/>
      <c r="O837" s="2"/>
      <c r="P837" s="3" t="s">
        <v>54</v>
      </c>
      <c r="Q837" s="3"/>
      <c r="R837" s="3"/>
      <c r="S837" s="16"/>
      <c r="T837" s="3"/>
      <c r="U837" s="3"/>
      <c r="V837" s="3"/>
      <c r="W837" s="16"/>
      <c r="X837" s="16"/>
      <c r="Y837" s="3"/>
      <c r="Z837" s="18"/>
      <c r="AA837" s="3"/>
      <c r="AB837" s="16"/>
      <c r="AC837" s="16"/>
      <c r="AD837" s="16"/>
      <c r="AE837" s="9"/>
      <c r="AF837" s="16"/>
      <c r="AG837" s="16"/>
      <c r="AH837" s="16"/>
      <c r="AI837" s="16"/>
      <c r="AJ837" s="16"/>
      <c r="AK837" s="16"/>
      <c r="AL837" s="16"/>
      <c r="AM837" s="3"/>
      <c r="AN837" s="3"/>
      <c r="AO837" s="3"/>
      <c r="AP837" s="3"/>
      <c r="AQ837" s="3"/>
      <c r="AR837" s="3"/>
      <c r="AS837" s="3"/>
      <c r="AT837" s="3"/>
      <c r="AU837" s="3"/>
      <c r="AV837" s="3"/>
    </row>
    <row r="838" spans="1:48" hidden="1" x14ac:dyDescent="0.25">
      <c r="A838" s="31"/>
      <c r="B838" s="31"/>
      <c r="C838" s="3"/>
      <c r="D838" s="3"/>
      <c r="E838" s="2"/>
      <c r="F838" s="3"/>
      <c r="G838" s="3"/>
      <c r="H838" s="16"/>
      <c r="I838" s="16"/>
      <c r="J838" s="3"/>
      <c r="K838" s="17"/>
      <c r="L838" s="16"/>
      <c r="M838" s="3"/>
      <c r="N838" s="3"/>
      <c r="O838" s="2"/>
      <c r="P838" s="3" t="s">
        <v>54</v>
      </c>
      <c r="Q838" s="3"/>
      <c r="R838" s="3"/>
      <c r="S838" s="16"/>
      <c r="T838" s="3"/>
      <c r="U838" s="3"/>
      <c r="V838" s="3"/>
      <c r="W838" s="16"/>
      <c r="X838" s="16"/>
      <c r="Y838" s="3"/>
      <c r="Z838" s="18"/>
      <c r="AA838" s="3"/>
      <c r="AB838" s="16"/>
      <c r="AC838" s="16"/>
      <c r="AD838" s="16"/>
      <c r="AE838" s="9"/>
      <c r="AF838" s="16"/>
      <c r="AG838" s="16"/>
      <c r="AH838" s="16"/>
      <c r="AI838" s="16"/>
      <c r="AJ838" s="16"/>
      <c r="AK838" s="16"/>
      <c r="AL838" s="16"/>
      <c r="AM838" s="3"/>
      <c r="AN838" s="3"/>
      <c r="AO838" s="3"/>
      <c r="AP838" s="3"/>
      <c r="AQ838" s="3"/>
      <c r="AR838" s="3"/>
      <c r="AS838" s="3"/>
      <c r="AT838" s="3"/>
      <c r="AU838" s="3"/>
      <c r="AV838" s="3"/>
    </row>
    <row r="839" spans="1:48" hidden="1" x14ac:dyDescent="0.25">
      <c r="A839" s="31"/>
      <c r="B839" s="31"/>
      <c r="C839" s="3"/>
      <c r="D839" s="3"/>
      <c r="E839" s="2"/>
      <c r="F839" s="3"/>
      <c r="G839" s="3"/>
      <c r="H839" s="16"/>
      <c r="I839" s="16"/>
      <c r="J839" s="3"/>
      <c r="K839" s="17"/>
      <c r="L839" s="16"/>
      <c r="M839" s="3"/>
      <c r="N839" s="3"/>
      <c r="O839" s="2"/>
      <c r="P839" s="3" t="s">
        <v>54</v>
      </c>
      <c r="Q839" s="3"/>
      <c r="R839" s="3"/>
      <c r="S839" s="16"/>
      <c r="T839" s="3"/>
      <c r="U839" s="3"/>
      <c r="V839" s="3"/>
      <c r="W839" s="16"/>
      <c r="X839" s="16"/>
      <c r="Y839" s="3"/>
      <c r="Z839" s="18"/>
      <c r="AA839" s="3"/>
      <c r="AB839" s="16"/>
      <c r="AC839" s="16"/>
      <c r="AD839" s="16"/>
      <c r="AE839" s="9"/>
      <c r="AF839" s="16"/>
      <c r="AG839" s="16"/>
      <c r="AH839" s="16"/>
      <c r="AI839" s="16"/>
      <c r="AJ839" s="16"/>
      <c r="AK839" s="16"/>
      <c r="AL839" s="16"/>
      <c r="AM839" s="3"/>
      <c r="AN839" s="3"/>
      <c r="AO839" s="3"/>
      <c r="AP839" s="3"/>
      <c r="AQ839" s="3"/>
      <c r="AR839" s="3"/>
      <c r="AS839" s="3"/>
      <c r="AT839" s="3"/>
      <c r="AU839" s="3"/>
      <c r="AV839" s="3"/>
    </row>
    <row r="840" spans="1:48" hidden="1" x14ac:dyDescent="0.25">
      <c r="A840" s="31"/>
      <c r="B840" s="31"/>
      <c r="C840" s="3"/>
      <c r="D840" s="3"/>
      <c r="E840" s="2"/>
      <c r="F840" s="3"/>
      <c r="G840" s="3"/>
      <c r="H840" s="16"/>
      <c r="I840" s="16"/>
      <c r="J840" s="3"/>
      <c r="K840" s="17"/>
      <c r="L840" s="16"/>
      <c r="M840" s="3"/>
      <c r="N840" s="3"/>
      <c r="O840" s="2"/>
      <c r="P840" s="3" t="s">
        <v>54</v>
      </c>
      <c r="Q840" s="3"/>
      <c r="R840" s="3"/>
      <c r="S840" s="16"/>
      <c r="T840" s="3"/>
      <c r="U840" s="3"/>
      <c r="V840" s="3"/>
      <c r="W840" s="16"/>
      <c r="X840" s="16"/>
      <c r="Y840" s="3"/>
      <c r="Z840" s="18"/>
      <c r="AA840" s="3"/>
      <c r="AB840" s="16"/>
      <c r="AC840" s="16"/>
      <c r="AD840" s="16"/>
      <c r="AE840" s="9"/>
      <c r="AF840" s="16"/>
      <c r="AG840" s="16"/>
      <c r="AH840" s="16"/>
      <c r="AI840" s="16"/>
      <c r="AJ840" s="16"/>
      <c r="AK840" s="16"/>
      <c r="AL840" s="16"/>
      <c r="AM840" s="3"/>
      <c r="AN840" s="3"/>
      <c r="AO840" s="3"/>
      <c r="AP840" s="3"/>
      <c r="AQ840" s="3"/>
      <c r="AR840" s="3"/>
      <c r="AS840" s="3"/>
      <c r="AT840" s="3"/>
      <c r="AU840" s="3"/>
      <c r="AV840" s="3"/>
    </row>
    <row r="841" spans="1:48" hidden="1" x14ac:dyDescent="0.25">
      <c r="A841" s="31"/>
      <c r="B841" s="31"/>
      <c r="C841" s="3"/>
      <c r="D841" s="3"/>
      <c r="E841" s="2"/>
      <c r="F841" s="3"/>
      <c r="G841" s="3"/>
      <c r="H841" s="16"/>
      <c r="I841" s="16"/>
      <c r="J841" s="3"/>
      <c r="K841" s="17"/>
      <c r="L841" s="16"/>
      <c r="M841" s="3"/>
      <c r="N841" s="3"/>
      <c r="O841" s="2"/>
      <c r="P841" s="3" t="s">
        <v>54</v>
      </c>
      <c r="Q841" s="3"/>
      <c r="R841" s="3"/>
      <c r="S841" s="16"/>
      <c r="T841" s="3"/>
      <c r="U841" s="3"/>
      <c r="V841" s="3"/>
      <c r="W841" s="16"/>
      <c r="X841" s="16"/>
      <c r="Y841" s="3"/>
      <c r="Z841" s="18"/>
      <c r="AA841" s="3"/>
      <c r="AB841" s="16"/>
      <c r="AC841" s="16"/>
      <c r="AD841" s="16"/>
      <c r="AE841" s="9"/>
      <c r="AF841" s="16"/>
      <c r="AG841" s="16"/>
      <c r="AH841" s="16"/>
      <c r="AI841" s="16"/>
      <c r="AJ841" s="16"/>
      <c r="AK841" s="16"/>
      <c r="AL841" s="16"/>
      <c r="AM841" s="3"/>
      <c r="AN841" s="3"/>
      <c r="AO841" s="3"/>
      <c r="AP841" s="3"/>
      <c r="AQ841" s="3"/>
      <c r="AR841" s="3"/>
      <c r="AS841" s="3"/>
      <c r="AT841" s="3"/>
      <c r="AU841" s="3"/>
      <c r="AV841" s="3"/>
    </row>
    <row r="842" spans="1:48" hidden="1" x14ac:dyDescent="0.25">
      <c r="A842" s="31"/>
      <c r="B842" s="31"/>
      <c r="C842" s="3"/>
      <c r="D842" s="3"/>
      <c r="E842" s="2"/>
      <c r="F842" s="3"/>
      <c r="G842" s="3"/>
      <c r="H842" s="16"/>
      <c r="I842" s="16"/>
      <c r="J842" s="3"/>
      <c r="K842" s="17"/>
      <c r="L842" s="16"/>
      <c r="M842" s="3"/>
      <c r="N842" s="3"/>
      <c r="O842" s="2"/>
      <c r="P842" s="3" t="s">
        <v>54</v>
      </c>
      <c r="Q842" s="3"/>
      <c r="R842" s="3"/>
      <c r="S842" s="16"/>
      <c r="T842" s="3"/>
      <c r="U842" s="3"/>
      <c r="V842" s="3"/>
      <c r="W842" s="16"/>
      <c r="X842" s="16"/>
      <c r="Y842" s="3"/>
      <c r="Z842" s="18"/>
      <c r="AA842" s="3"/>
      <c r="AB842" s="16"/>
      <c r="AC842" s="16"/>
      <c r="AD842" s="16"/>
      <c r="AE842" s="9"/>
      <c r="AF842" s="16"/>
      <c r="AG842" s="16"/>
      <c r="AH842" s="16"/>
      <c r="AI842" s="16"/>
      <c r="AJ842" s="16"/>
      <c r="AK842" s="16"/>
      <c r="AL842" s="16"/>
      <c r="AM842" s="3"/>
      <c r="AN842" s="3"/>
      <c r="AO842" s="3"/>
      <c r="AP842" s="3"/>
      <c r="AQ842" s="3"/>
      <c r="AR842" s="3"/>
      <c r="AS842" s="3"/>
      <c r="AT842" s="3"/>
      <c r="AU842" s="3"/>
      <c r="AV842" s="3"/>
    </row>
    <row r="843" spans="1:48" hidden="1" x14ac:dyDescent="0.25">
      <c r="A843" s="31"/>
      <c r="B843" s="31"/>
      <c r="C843" s="3"/>
      <c r="D843" s="3"/>
      <c r="E843" s="2"/>
      <c r="F843" s="3"/>
      <c r="G843" s="3"/>
      <c r="H843" s="16"/>
      <c r="I843" s="16"/>
      <c r="J843" s="3"/>
      <c r="K843" s="17"/>
      <c r="L843" s="16"/>
      <c r="M843" s="3"/>
      <c r="N843" s="3"/>
      <c r="O843" s="2"/>
      <c r="P843" s="3" t="s">
        <v>54</v>
      </c>
      <c r="Q843" s="3"/>
      <c r="R843" s="3"/>
      <c r="S843" s="16"/>
      <c r="T843" s="3"/>
      <c r="U843" s="3"/>
      <c r="V843" s="3"/>
      <c r="W843" s="16"/>
      <c r="X843" s="16"/>
      <c r="Y843" s="3"/>
      <c r="Z843" s="18"/>
      <c r="AA843" s="3"/>
      <c r="AB843" s="16"/>
      <c r="AC843" s="16"/>
      <c r="AD843" s="16"/>
      <c r="AE843" s="9"/>
      <c r="AF843" s="16"/>
      <c r="AG843" s="16"/>
      <c r="AH843" s="16"/>
      <c r="AI843" s="16"/>
      <c r="AJ843" s="16"/>
      <c r="AK843" s="16"/>
      <c r="AL843" s="16"/>
      <c r="AM843" s="3"/>
      <c r="AN843" s="3"/>
      <c r="AO843" s="3"/>
      <c r="AP843" s="3"/>
      <c r="AQ843" s="3"/>
      <c r="AR843" s="3"/>
      <c r="AS843" s="3"/>
      <c r="AT843" s="3"/>
      <c r="AU843" s="3"/>
      <c r="AV843" s="3"/>
    </row>
    <row r="844" spans="1:48" hidden="1" x14ac:dyDescent="0.25">
      <c r="A844" s="31"/>
      <c r="B844" s="31"/>
      <c r="C844" s="3"/>
      <c r="D844" s="3"/>
      <c r="E844" s="2"/>
      <c r="F844" s="3"/>
      <c r="G844" s="3"/>
      <c r="H844" s="16"/>
      <c r="I844" s="16"/>
      <c r="J844" s="3"/>
      <c r="K844" s="17"/>
      <c r="L844" s="16"/>
      <c r="M844" s="3"/>
      <c r="N844" s="3"/>
      <c r="O844" s="2"/>
      <c r="P844" s="3" t="s">
        <v>54</v>
      </c>
      <c r="Q844" s="3"/>
      <c r="R844" s="3"/>
      <c r="S844" s="16"/>
      <c r="T844" s="3"/>
      <c r="U844" s="3"/>
      <c r="V844" s="3"/>
      <c r="W844" s="16"/>
      <c r="X844" s="16"/>
      <c r="Y844" s="3"/>
      <c r="Z844" s="18"/>
      <c r="AA844" s="3"/>
      <c r="AB844" s="16"/>
      <c r="AC844" s="16"/>
      <c r="AD844" s="16"/>
      <c r="AE844" s="9"/>
      <c r="AF844" s="16"/>
      <c r="AG844" s="16"/>
      <c r="AH844" s="16"/>
      <c r="AI844" s="16"/>
      <c r="AJ844" s="16"/>
      <c r="AK844" s="16"/>
      <c r="AL844" s="16"/>
      <c r="AM844" s="3"/>
      <c r="AN844" s="3"/>
      <c r="AO844" s="3"/>
      <c r="AP844" s="3"/>
      <c r="AQ844" s="3"/>
      <c r="AR844" s="3"/>
      <c r="AS844" s="3"/>
      <c r="AT844" s="3"/>
      <c r="AU844" s="3"/>
      <c r="AV844" s="3"/>
    </row>
    <row r="845" spans="1:48" hidden="1" x14ac:dyDescent="0.25">
      <c r="A845" s="31"/>
      <c r="B845" s="31"/>
      <c r="C845" s="3"/>
      <c r="D845" s="3"/>
      <c r="E845" s="2"/>
      <c r="F845" s="3"/>
      <c r="G845" s="3"/>
      <c r="H845" s="16"/>
      <c r="I845" s="16"/>
      <c r="J845" s="3"/>
      <c r="K845" s="17"/>
      <c r="L845" s="16"/>
      <c r="M845" s="3"/>
      <c r="N845" s="3"/>
      <c r="O845" s="2"/>
      <c r="P845" s="3" t="s">
        <v>54</v>
      </c>
      <c r="Q845" s="3"/>
      <c r="R845" s="3"/>
      <c r="S845" s="16"/>
      <c r="T845" s="3"/>
      <c r="U845" s="3"/>
      <c r="V845" s="3"/>
      <c r="W845" s="16"/>
      <c r="X845" s="16"/>
      <c r="Y845" s="3"/>
      <c r="Z845" s="18"/>
      <c r="AA845" s="3"/>
      <c r="AB845" s="16"/>
      <c r="AC845" s="16"/>
      <c r="AD845" s="16"/>
      <c r="AE845" s="9"/>
      <c r="AF845" s="16"/>
      <c r="AG845" s="16"/>
      <c r="AH845" s="16"/>
      <c r="AI845" s="16"/>
      <c r="AJ845" s="16"/>
      <c r="AK845" s="16"/>
      <c r="AL845" s="16"/>
      <c r="AM845" s="3"/>
      <c r="AN845" s="3"/>
      <c r="AO845" s="3"/>
      <c r="AP845" s="3"/>
      <c r="AQ845" s="3"/>
      <c r="AR845" s="3"/>
      <c r="AS845" s="3"/>
      <c r="AT845" s="3"/>
      <c r="AU845" s="3"/>
      <c r="AV845" s="3"/>
    </row>
    <row r="846" spans="1:48" hidden="1" x14ac:dyDescent="0.25">
      <c r="A846" s="31"/>
      <c r="B846" s="31"/>
      <c r="C846" s="3"/>
      <c r="D846" s="3"/>
      <c r="E846" s="2"/>
      <c r="F846" s="3"/>
      <c r="G846" s="3"/>
      <c r="H846" s="16"/>
      <c r="I846" s="16"/>
      <c r="J846" s="3"/>
      <c r="K846" s="17"/>
      <c r="L846" s="16"/>
      <c r="M846" s="3"/>
      <c r="N846" s="3"/>
      <c r="O846" s="2"/>
      <c r="P846" s="3" t="s">
        <v>54</v>
      </c>
      <c r="Q846" s="3"/>
      <c r="R846" s="3"/>
      <c r="S846" s="16"/>
      <c r="T846" s="3"/>
      <c r="U846" s="3"/>
      <c r="V846" s="3"/>
      <c r="W846" s="16"/>
      <c r="X846" s="16"/>
      <c r="Y846" s="3"/>
      <c r="Z846" s="18"/>
      <c r="AA846" s="3"/>
      <c r="AB846" s="16"/>
      <c r="AC846" s="16"/>
      <c r="AD846" s="16"/>
      <c r="AE846" s="9"/>
      <c r="AF846" s="16"/>
      <c r="AG846" s="16"/>
      <c r="AH846" s="16"/>
      <c r="AI846" s="16"/>
      <c r="AJ846" s="16"/>
      <c r="AK846" s="16"/>
      <c r="AL846" s="16"/>
      <c r="AM846" s="3"/>
      <c r="AN846" s="3"/>
      <c r="AO846" s="3"/>
      <c r="AP846" s="3"/>
      <c r="AQ846" s="3"/>
      <c r="AR846" s="3"/>
      <c r="AS846" s="3"/>
      <c r="AT846" s="3"/>
      <c r="AU846" s="3"/>
      <c r="AV846" s="3"/>
    </row>
    <row r="847" spans="1:48" hidden="1" x14ac:dyDescent="0.25">
      <c r="A847" s="31"/>
      <c r="B847" s="31"/>
      <c r="C847" s="3"/>
      <c r="D847" s="3"/>
      <c r="E847" s="2"/>
      <c r="F847" s="3"/>
      <c r="G847" s="3"/>
      <c r="H847" s="16"/>
      <c r="I847" s="16"/>
      <c r="J847" s="3"/>
      <c r="K847" s="17"/>
      <c r="L847" s="16"/>
      <c r="M847" s="3"/>
      <c r="N847" s="3"/>
      <c r="O847" s="2"/>
      <c r="P847" s="3" t="s">
        <v>54</v>
      </c>
      <c r="Q847" s="3"/>
      <c r="R847" s="3"/>
      <c r="S847" s="16"/>
      <c r="T847" s="3"/>
      <c r="U847" s="3"/>
      <c r="V847" s="3"/>
      <c r="W847" s="16"/>
      <c r="X847" s="16"/>
      <c r="Y847" s="3"/>
      <c r="Z847" s="18"/>
      <c r="AA847" s="3"/>
      <c r="AB847" s="16"/>
      <c r="AC847" s="16"/>
      <c r="AD847" s="16"/>
      <c r="AE847" s="9"/>
      <c r="AF847" s="16"/>
      <c r="AG847" s="16"/>
      <c r="AH847" s="16"/>
      <c r="AI847" s="16"/>
      <c r="AJ847" s="16"/>
      <c r="AK847" s="16"/>
      <c r="AL847" s="16"/>
      <c r="AM847" s="3"/>
      <c r="AN847" s="3"/>
      <c r="AO847" s="3"/>
      <c r="AP847" s="3"/>
      <c r="AQ847" s="3"/>
      <c r="AR847" s="3"/>
      <c r="AS847" s="3"/>
      <c r="AT847" s="3"/>
      <c r="AU847" s="3"/>
      <c r="AV847" s="3"/>
    </row>
    <row r="848" spans="1:48" hidden="1" x14ac:dyDescent="0.25">
      <c r="A848" s="31"/>
      <c r="B848" s="31"/>
      <c r="C848" s="3"/>
      <c r="D848" s="3"/>
      <c r="E848" s="2"/>
      <c r="F848" s="3"/>
      <c r="G848" s="3"/>
      <c r="H848" s="16"/>
      <c r="I848" s="16"/>
      <c r="J848" s="3"/>
      <c r="K848" s="17"/>
      <c r="L848" s="16"/>
      <c r="M848" s="3"/>
      <c r="N848" s="3"/>
      <c r="O848" s="2"/>
      <c r="P848" s="3" t="s">
        <v>54</v>
      </c>
      <c r="Q848" s="3"/>
      <c r="R848" s="3"/>
      <c r="S848" s="16"/>
      <c r="T848" s="3"/>
      <c r="U848" s="3"/>
      <c r="V848" s="3"/>
      <c r="W848" s="16"/>
      <c r="X848" s="16"/>
      <c r="Y848" s="3"/>
      <c r="Z848" s="18"/>
      <c r="AA848" s="3"/>
      <c r="AB848" s="16"/>
      <c r="AC848" s="16"/>
      <c r="AD848" s="16"/>
      <c r="AE848" s="9"/>
      <c r="AF848" s="16"/>
      <c r="AG848" s="16"/>
      <c r="AH848" s="16"/>
      <c r="AI848" s="16"/>
      <c r="AJ848" s="16"/>
      <c r="AK848" s="16"/>
      <c r="AL848" s="16"/>
      <c r="AM848" s="3"/>
      <c r="AN848" s="3"/>
      <c r="AO848" s="3"/>
      <c r="AP848" s="3"/>
      <c r="AQ848" s="3"/>
      <c r="AR848" s="3"/>
      <c r="AS848" s="3"/>
      <c r="AT848" s="3"/>
      <c r="AU848" s="3"/>
      <c r="AV848" s="3"/>
    </row>
    <row r="849" spans="1:48" hidden="1" x14ac:dyDescent="0.25">
      <c r="A849" s="31"/>
      <c r="B849" s="31"/>
      <c r="C849" s="3"/>
      <c r="D849" s="3"/>
      <c r="E849" s="2"/>
      <c r="F849" s="3"/>
      <c r="G849" s="3"/>
      <c r="H849" s="16"/>
      <c r="I849" s="16"/>
      <c r="J849" s="3"/>
      <c r="K849" s="17"/>
      <c r="L849" s="16"/>
      <c r="M849" s="3"/>
      <c r="N849" s="3"/>
      <c r="O849" s="2"/>
      <c r="P849" s="3" t="s">
        <v>54</v>
      </c>
      <c r="Q849" s="3"/>
      <c r="R849" s="3"/>
      <c r="S849" s="16"/>
      <c r="T849" s="3"/>
      <c r="U849" s="3"/>
      <c r="V849" s="3"/>
      <c r="W849" s="16"/>
      <c r="X849" s="16"/>
      <c r="Y849" s="3"/>
      <c r="Z849" s="18"/>
      <c r="AA849" s="3"/>
      <c r="AB849" s="16"/>
      <c r="AC849" s="16"/>
      <c r="AD849" s="16"/>
      <c r="AE849" s="9"/>
      <c r="AF849" s="16"/>
      <c r="AG849" s="16"/>
      <c r="AH849" s="16"/>
      <c r="AI849" s="16"/>
      <c r="AJ849" s="16"/>
      <c r="AK849" s="16"/>
      <c r="AL849" s="16"/>
      <c r="AM849" s="3"/>
      <c r="AN849" s="3"/>
      <c r="AO849" s="3"/>
      <c r="AP849" s="3"/>
      <c r="AQ849" s="3"/>
      <c r="AR849" s="3"/>
      <c r="AS849" s="3"/>
      <c r="AT849" s="3"/>
      <c r="AU849" s="3"/>
      <c r="AV849" s="3"/>
    </row>
    <row r="850" spans="1:48" hidden="1" x14ac:dyDescent="0.25">
      <c r="A850" s="31"/>
      <c r="B850" s="31"/>
      <c r="C850" s="3"/>
      <c r="D850" s="3"/>
      <c r="E850" s="2"/>
      <c r="F850" s="3"/>
      <c r="G850" s="3"/>
      <c r="H850" s="16"/>
      <c r="I850" s="16"/>
      <c r="J850" s="3"/>
      <c r="K850" s="17"/>
      <c r="L850" s="16"/>
      <c r="M850" s="3"/>
      <c r="N850" s="3"/>
      <c r="O850" s="2"/>
      <c r="P850" s="3" t="s">
        <v>54</v>
      </c>
      <c r="Q850" s="3"/>
      <c r="R850" s="3"/>
      <c r="S850" s="16"/>
      <c r="T850" s="3"/>
      <c r="U850" s="3"/>
      <c r="V850" s="3"/>
      <c r="W850" s="16"/>
      <c r="X850" s="16"/>
      <c r="Y850" s="3"/>
      <c r="Z850" s="18"/>
      <c r="AA850" s="3"/>
      <c r="AB850" s="16"/>
      <c r="AC850" s="16"/>
      <c r="AD850" s="16"/>
      <c r="AE850" s="9"/>
      <c r="AF850" s="16"/>
      <c r="AG850" s="16"/>
      <c r="AH850" s="16"/>
      <c r="AI850" s="16"/>
      <c r="AJ850" s="16"/>
      <c r="AK850" s="16"/>
      <c r="AL850" s="16"/>
      <c r="AM850" s="3"/>
      <c r="AN850" s="3"/>
      <c r="AO850" s="3"/>
      <c r="AP850" s="3"/>
      <c r="AQ850" s="3"/>
      <c r="AR850" s="3"/>
      <c r="AS850" s="3"/>
      <c r="AT850" s="3"/>
      <c r="AU850" s="3"/>
      <c r="AV850" s="3"/>
    </row>
    <row r="851" spans="1:48" hidden="1" x14ac:dyDescent="0.25">
      <c r="A851" s="31"/>
      <c r="B851" s="31"/>
      <c r="C851" s="3"/>
      <c r="D851" s="3"/>
      <c r="E851" s="2"/>
      <c r="F851" s="3"/>
      <c r="G851" s="3"/>
      <c r="H851" s="16"/>
      <c r="I851" s="16"/>
      <c r="J851" s="3"/>
      <c r="K851" s="17"/>
      <c r="L851" s="16"/>
      <c r="M851" s="3"/>
      <c r="N851" s="3"/>
      <c r="O851" s="2"/>
      <c r="P851" s="3" t="s">
        <v>54</v>
      </c>
      <c r="Q851" s="3"/>
      <c r="R851" s="3"/>
      <c r="S851" s="16"/>
      <c r="T851" s="3"/>
      <c r="U851" s="3"/>
      <c r="V851" s="3"/>
      <c r="W851" s="16"/>
      <c r="X851" s="16"/>
      <c r="Y851" s="3"/>
      <c r="Z851" s="18"/>
      <c r="AA851" s="3"/>
      <c r="AB851" s="16"/>
      <c r="AC851" s="16"/>
      <c r="AD851" s="16"/>
      <c r="AE851" s="9"/>
      <c r="AF851" s="16"/>
      <c r="AG851" s="16"/>
      <c r="AH851" s="16"/>
      <c r="AI851" s="16"/>
      <c r="AJ851" s="16"/>
      <c r="AK851" s="16"/>
      <c r="AL851" s="16"/>
      <c r="AM851" s="3"/>
      <c r="AN851" s="3"/>
      <c r="AO851" s="3"/>
      <c r="AP851" s="3"/>
      <c r="AQ851" s="3"/>
      <c r="AR851" s="3"/>
      <c r="AS851" s="3"/>
      <c r="AT851" s="3"/>
      <c r="AU851" s="3"/>
      <c r="AV851" s="3"/>
    </row>
    <row r="852" spans="1:48" hidden="1" x14ac:dyDescent="0.25">
      <c r="A852" s="31"/>
      <c r="B852" s="31"/>
      <c r="C852" s="3"/>
      <c r="D852" s="3"/>
      <c r="E852" s="2"/>
      <c r="F852" s="3"/>
      <c r="G852" s="3"/>
      <c r="H852" s="16"/>
      <c r="I852" s="16"/>
      <c r="J852" s="3"/>
      <c r="K852" s="17"/>
      <c r="L852" s="16"/>
      <c r="M852" s="3"/>
      <c r="N852" s="3"/>
      <c r="O852" s="2"/>
      <c r="P852" s="3" t="s">
        <v>54</v>
      </c>
      <c r="Q852" s="3"/>
      <c r="R852" s="3"/>
      <c r="S852" s="16"/>
      <c r="T852" s="3"/>
      <c r="U852" s="3"/>
      <c r="V852" s="3"/>
      <c r="W852" s="16"/>
      <c r="X852" s="16"/>
      <c r="Y852" s="3"/>
      <c r="Z852" s="18"/>
      <c r="AA852" s="3"/>
      <c r="AB852" s="16"/>
      <c r="AC852" s="16"/>
      <c r="AD852" s="16"/>
      <c r="AE852" s="9"/>
      <c r="AF852" s="16"/>
      <c r="AG852" s="16"/>
      <c r="AH852" s="16"/>
      <c r="AI852" s="16"/>
      <c r="AJ852" s="16"/>
      <c r="AK852" s="16"/>
      <c r="AL852" s="16"/>
      <c r="AM852" s="3"/>
      <c r="AN852" s="3"/>
      <c r="AO852" s="3"/>
      <c r="AP852" s="3"/>
      <c r="AQ852" s="3"/>
      <c r="AR852" s="3"/>
      <c r="AS852" s="3"/>
      <c r="AT852" s="3"/>
      <c r="AU852" s="3"/>
      <c r="AV852" s="3"/>
    </row>
    <row r="853" spans="1:48" hidden="1" x14ac:dyDescent="0.25">
      <c r="A853" s="31"/>
      <c r="B853" s="31"/>
      <c r="C853" s="3"/>
      <c r="D853" s="3"/>
      <c r="E853" s="2"/>
      <c r="F853" s="3"/>
      <c r="G853" s="3"/>
      <c r="H853" s="16"/>
      <c r="I853" s="16"/>
      <c r="J853" s="3"/>
      <c r="K853" s="17"/>
      <c r="L853" s="16"/>
      <c r="M853" s="3"/>
      <c r="N853" s="3"/>
      <c r="O853" s="2"/>
      <c r="P853" s="3" t="s">
        <v>54</v>
      </c>
      <c r="Q853" s="3"/>
      <c r="R853" s="3"/>
      <c r="S853" s="16"/>
      <c r="T853" s="3"/>
      <c r="U853" s="3"/>
      <c r="V853" s="3"/>
      <c r="W853" s="16"/>
      <c r="X853" s="16"/>
      <c r="Y853" s="3"/>
      <c r="Z853" s="18"/>
      <c r="AA853" s="3"/>
      <c r="AB853" s="16"/>
      <c r="AC853" s="16"/>
      <c r="AD853" s="16"/>
      <c r="AE853" s="9"/>
      <c r="AF853" s="16"/>
      <c r="AG853" s="16"/>
      <c r="AH853" s="16"/>
      <c r="AI853" s="16"/>
      <c r="AJ853" s="16"/>
      <c r="AK853" s="16"/>
      <c r="AL853" s="16"/>
      <c r="AM853" s="3"/>
      <c r="AN853" s="3"/>
      <c r="AO853" s="3"/>
      <c r="AP853" s="3"/>
      <c r="AQ853" s="3"/>
      <c r="AR853" s="3"/>
      <c r="AS853" s="3"/>
      <c r="AT853" s="3"/>
      <c r="AU853" s="3"/>
      <c r="AV853" s="3"/>
    </row>
    <row r="854" spans="1:48" hidden="1" x14ac:dyDescent="0.25">
      <c r="A854" s="31"/>
      <c r="B854" s="31"/>
      <c r="C854" s="3"/>
      <c r="D854" s="3"/>
      <c r="E854" s="2"/>
      <c r="F854" s="3"/>
      <c r="G854" s="3"/>
      <c r="H854" s="16"/>
      <c r="I854" s="16"/>
      <c r="J854" s="3"/>
      <c r="K854" s="17"/>
      <c r="L854" s="16"/>
      <c r="M854" s="3"/>
      <c r="N854" s="3"/>
      <c r="O854" s="2"/>
      <c r="P854" s="3" t="s">
        <v>54</v>
      </c>
      <c r="Q854" s="3"/>
      <c r="R854" s="3"/>
      <c r="S854" s="16"/>
      <c r="T854" s="3"/>
      <c r="U854" s="3"/>
      <c r="V854" s="3"/>
      <c r="W854" s="16"/>
      <c r="X854" s="16"/>
      <c r="Y854" s="3"/>
      <c r="Z854" s="18"/>
      <c r="AA854" s="3"/>
      <c r="AB854" s="16"/>
      <c r="AC854" s="16"/>
      <c r="AD854" s="16"/>
      <c r="AE854" s="9"/>
      <c r="AF854" s="16"/>
      <c r="AG854" s="16"/>
      <c r="AH854" s="16"/>
      <c r="AI854" s="16"/>
      <c r="AJ854" s="16"/>
      <c r="AK854" s="16"/>
      <c r="AL854" s="16"/>
      <c r="AM854" s="3"/>
      <c r="AN854" s="3"/>
      <c r="AO854" s="3"/>
      <c r="AP854" s="3"/>
      <c r="AQ854" s="3"/>
      <c r="AR854" s="3"/>
      <c r="AS854" s="3"/>
      <c r="AT854" s="3"/>
      <c r="AU854" s="3"/>
      <c r="AV854" s="3"/>
    </row>
    <row r="855" spans="1:48" hidden="1" x14ac:dyDescent="0.25">
      <c r="A855" s="31"/>
      <c r="B855" s="31"/>
      <c r="C855" s="3"/>
      <c r="D855" s="3"/>
      <c r="E855" s="2"/>
      <c r="F855" s="3"/>
      <c r="G855" s="3"/>
      <c r="H855" s="16"/>
      <c r="I855" s="16"/>
      <c r="J855" s="3"/>
      <c r="K855" s="17"/>
      <c r="L855" s="16"/>
      <c r="M855" s="3"/>
      <c r="N855" s="3"/>
      <c r="O855" s="2"/>
      <c r="P855" s="3" t="s">
        <v>54</v>
      </c>
      <c r="Q855" s="3"/>
      <c r="R855" s="3"/>
      <c r="S855" s="16"/>
      <c r="T855" s="3"/>
      <c r="U855" s="3"/>
      <c r="V855" s="3"/>
      <c r="W855" s="16"/>
      <c r="X855" s="16"/>
      <c r="Y855" s="3"/>
      <c r="Z855" s="18"/>
      <c r="AA855" s="3"/>
      <c r="AB855" s="16"/>
      <c r="AC855" s="16"/>
      <c r="AD855" s="16"/>
      <c r="AE855" s="9"/>
      <c r="AF855" s="16"/>
      <c r="AG855" s="16"/>
      <c r="AH855" s="16"/>
      <c r="AI855" s="16"/>
      <c r="AJ855" s="16"/>
      <c r="AK855" s="16"/>
      <c r="AL855" s="16"/>
      <c r="AM855" s="3"/>
      <c r="AN855" s="3"/>
      <c r="AO855" s="3"/>
      <c r="AP855" s="3"/>
      <c r="AQ855" s="3"/>
      <c r="AR855" s="3"/>
      <c r="AS855" s="3"/>
      <c r="AT855" s="3"/>
      <c r="AU855" s="3"/>
      <c r="AV855" s="3"/>
    </row>
    <row r="856" spans="1:48" hidden="1" x14ac:dyDescent="0.25">
      <c r="A856" s="31"/>
      <c r="B856" s="31"/>
      <c r="C856" s="3"/>
      <c r="D856" s="3"/>
      <c r="E856" s="2"/>
      <c r="F856" s="3"/>
      <c r="G856" s="3"/>
      <c r="H856" s="16"/>
      <c r="I856" s="16"/>
      <c r="J856" s="3"/>
      <c r="K856" s="17"/>
      <c r="L856" s="16"/>
      <c r="M856" s="3"/>
      <c r="N856" s="3"/>
      <c r="O856" s="2"/>
      <c r="P856" s="3" t="s">
        <v>54</v>
      </c>
      <c r="Q856" s="3"/>
      <c r="R856" s="3"/>
      <c r="S856" s="16"/>
      <c r="T856" s="3"/>
      <c r="U856" s="3"/>
      <c r="V856" s="3"/>
      <c r="W856" s="16"/>
      <c r="X856" s="16"/>
      <c r="Y856" s="3"/>
      <c r="Z856" s="18"/>
      <c r="AA856" s="3"/>
      <c r="AB856" s="16"/>
      <c r="AC856" s="16"/>
      <c r="AD856" s="16"/>
      <c r="AE856" s="9"/>
      <c r="AF856" s="16"/>
      <c r="AG856" s="16"/>
      <c r="AH856" s="16"/>
      <c r="AI856" s="16"/>
      <c r="AJ856" s="16"/>
      <c r="AK856" s="16"/>
      <c r="AL856" s="16"/>
      <c r="AM856" s="3"/>
      <c r="AN856" s="3"/>
      <c r="AO856" s="3"/>
      <c r="AP856" s="3"/>
      <c r="AQ856" s="3"/>
      <c r="AR856" s="3"/>
      <c r="AS856" s="3"/>
      <c r="AT856" s="3"/>
      <c r="AU856" s="3"/>
      <c r="AV856" s="3"/>
    </row>
    <row r="857" spans="1:48" hidden="1" x14ac:dyDescent="0.25">
      <c r="A857" s="31"/>
      <c r="B857" s="31"/>
      <c r="C857" s="3"/>
      <c r="D857" s="3"/>
      <c r="E857" s="2"/>
      <c r="F857" s="3"/>
      <c r="G857" s="3"/>
      <c r="H857" s="16"/>
      <c r="I857" s="16"/>
      <c r="J857" s="3"/>
      <c r="K857" s="17"/>
      <c r="L857" s="16"/>
      <c r="M857" s="3"/>
      <c r="N857" s="3"/>
      <c r="O857" s="2"/>
      <c r="P857" s="3" t="s">
        <v>54</v>
      </c>
      <c r="Q857" s="3"/>
      <c r="R857" s="3"/>
      <c r="S857" s="16"/>
      <c r="T857" s="3"/>
      <c r="U857" s="3"/>
      <c r="V857" s="3"/>
      <c r="W857" s="16"/>
      <c r="X857" s="16"/>
      <c r="Y857" s="3"/>
      <c r="Z857" s="18"/>
      <c r="AA857" s="3"/>
      <c r="AB857" s="16"/>
      <c r="AC857" s="16"/>
      <c r="AD857" s="16"/>
      <c r="AE857" s="9"/>
      <c r="AF857" s="16"/>
      <c r="AG857" s="16"/>
      <c r="AH857" s="16"/>
      <c r="AI857" s="16"/>
      <c r="AJ857" s="16"/>
      <c r="AK857" s="16"/>
      <c r="AL857" s="16"/>
      <c r="AM857" s="3"/>
      <c r="AN857" s="3"/>
      <c r="AO857" s="3"/>
      <c r="AP857" s="3"/>
      <c r="AQ857" s="3"/>
      <c r="AR857" s="3"/>
      <c r="AS857" s="3"/>
      <c r="AT857" s="3"/>
      <c r="AU857" s="3"/>
      <c r="AV857" s="3"/>
    </row>
    <row r="858" spans="1:48" hidden="1" x14ac:dyDescent="0.25">
      <c r="A858" s="31"/>
      <c r="B858" s="31"/>
      <c r="C858" s="3"/>
      <c r="D858" s="3"/>
      <c r="E858" s="2"/>
      <c r="F858" s="3"/>
      <c r="G858" s="3"/>
      <c r="H858" s="16"/>
      <c r="I858" s="16"/>
      <c r="J858" s="3"/>
      <c r="K858" s="17"/>
      <c r="L858" s="16"/>
      <c r="M858" s="3"/>
      <c r="N858" s="3"/>
      <c r="O858" s="2"/>
      <c r="P858" s="3" t="s">
        <v>54</v>
      </c>
      <c r="Q858" s="3"/>
      <c r="R858" s="3"/>
      <c r="S858" s="16"/>
      <c r="T858" s="3"/>
      <c r="U858" s="3"/>
      <c r="V858" s="3"/>
      <c r="W858" s="16"/>
      <c r="X858" s="16"/>
      <c r="Y858" s="3"/>
      <c r="Z858" s="18"/>
      <c r="AA858" s="3"/>
      <c r="AB858" s="16"/>
      <c r="AC858" s="16"/>
      <c r="AD858" s="16"/>
      <c r="AE858" s="9"/>
      <c r="AF858" s="16"/>
      <c r="AG858" s="16"/>
      <c r="AH858" s="16"/>
      <c r="AI858" s="16"/>
      <c r="AJ858" s="16"/>
      <c r="AK858" s="16"/>
      <c r="AL858" s="16"/>
      <c r="AM858" s="3"/>
      <c r="AN858" s="3"/>
      <c r="AO858" s="3"/>
      <c r="AP858" s="3"/>
      <c r="AQ858" s="3"/>
      <c r="AR858" s="3"/>
      <c r="AS858" s="3"/>
      <c r="AT858" s="3"/>
      <c r="AU858" s="3"/>
      <c r="AV858" s="3"/>
    </row>
    <row r="859" spans="1:48" hidden="1" x14ac:dyDescent="0.25">
      <c r="A859" s="31"/>
      <c r="B859" s="31"/>
      <c r="C859" s="3"/>
      <c r="D859" s="3"/>
      <c r="E859" s="2"/>
      <c r="F859" s="3"/>
      <c r="G859" s="3"/>
      <c r="H859" s="16"/>
      <c r="I859" s="16"/>
      <c r="J859" s="3"/>
      <c r="K859" s="17"/>
      <c r="L859" s="16"/>
      <c r="M859" s="3"/>
      <c r="N859" s="3"/>
      <c r="O859" s="2"/>
      <c r="P859" s="3" t="s">
        <v>54</v>
      </c>
      <c r="Q859" s="3"/>
      <c r="R859" s="3"/>
      <c r="S859" s="16"/>
      <c r="T859" s="3"/>
      <c r="U859" s="3"/>
      <c r="V859" s="3"/>
      <c r="W859" s="16"/>
      <c r="X859" s="16"/>
      <c r="Y859" s="3"/>
      <c r="Z859" s="18"/>
      <c r="AA859" s="3"/>
      <c r="AB859" s="16"/>
      <c r="AC859" s="16"/>
      <c r="AD859" s="16"/>
      <c r="AE859" s="9"/>
      <c r="AF859" s="16"/>
      <c r="AG859" s="16"/>
      <c r="AH859" s="16"/>
      <c r="AI859" s="16"/>
      <c r="AJ859" s="16"/>
      <c r="AK859" s="16"/>
      <c r="AL859" s="16"/>
      <c r="AM859" s="3"/>
      <c r="AN859" s="3"/>
      <c r="AO859" s="3"/>
      <c r="AP859" s="3"/>
      <c r="AQ859" s="3"/>
      <c r="AR859" s="3"/>
      <c r="AS859" s="3"/>
      <c r="AT859" s="3"/>
      <c r="AU859" s="3"/>
      <c r="AV859" s="3"/>
    </row>
    <row r="860" spans="1:48" hidden="1" x14ac:dyDescent="0.25">
      <c r="A860" s="31"/>
      <c r="B860" s="31"/>
      <c r="C860" s="3"/>
      <c r="D860" s="3"/>
      <c r="E860" s="2"/>
      <c r="F860" s="3"/>
      <c r="G860" s="3"/>
      <c r="H860" s="16"/>
      <c r="I860" s="16"/>
      <c r="J860" s="3"/>
      <c r="K860" s="17"/>
      <c r="L860" s="16"/>
      <c r="M860" s="3"/>
      <c r="N860" s="3"/>
      <c r="O860" s="2"/>
      <c r="P860" s="3" t="s">
        <v>54</v>
      </c>
      <c r="Q860" s="3"/>
      <c r="R860" s="3"/>
      <c r="S860" s="16"/>
      <c r="T860" s="3"/>
      <c r="U860" s="3"/>
      <c r="V860" s="3"/>
      <c r="W860" s="16"/>
      <c r="X860" s="16"/>
      <c r="Y860" s="3"/>
      <c r="Z860" s="18"/>
      <c r="AA860" s="3"/>
      <c r="AB860" s="16"/>
      <c r="AC860" s="16"/>
      <c r="AD860" s="16"/>
      <c r="AE860" s="9"/>
      <c r="AF860" s="16"/>
      <c r="AG860" s="16"/>
      <c r="AH860" s="16"/>
      <c r="AI860" s="16"/>
      <c r="AJ860" s="16"/>
      <c r="AK860" s="16"/>
      <c r="AL860" s="16"/>
      <c r="AM860" s="3"/>
      <c r="AN860" s="3"/>
      <c r="AO860" s="3"/>
      <c r="AP860" s="3"/>
      <c r="AQ860" s="3"/>
      <c r="AR860" s="3"/>
      <c r="AS860" s="3"/>
      <c r="AT860" s="3"/>
      <c r="AU860" s="3"/>
      <c r="AV860" s="3"/>
    </row>
    <row r="861" spans="1:48" hidden="1" x14ac:dyDescent="0.25">
      <c r="A861" s="31"/>
      <c r="B861" s="31"/>
      <c r="C861" s="3"/>
      <c r="D861" s="3"/>
      <c r="E861" s="2"/>
      <c r="F861" s="3"/>
      <c r="G861" s="3"/>
      <c r="H861" s="16"/>
      <c r="I861" s="16"/>
      <c r="J861" s="3"/>
      <c r="K861" s="17"/>
      <c r="L861" s="16"/>
      <c r="M861" s="3"/>
      <c r="N861" s="3"/>
      <c r="O861" s="2"/>
      <c r="P861" s="3" t="s">
        <v>54</v>
      </c>
      <c r="Q861" s="3"/>
      <c r="R861" s="3"/>
      <c r="S861" s="16"/>
      <c r="T861" s="3"/>
      <c r="U861" s="3"/>
      <c r="V861" s="3"/>
      <c r="W861" s="16"/>
      <c r="X861" s="16"/>
      <c r="Y861" s="3"/>
      <c r="Z861" s="18"/>
      <c r="AA861" s="3"/>
      <c r="AB861" s="16"/>
      <c r="AC861" s="16"/>
      <c r="AD861" s="16"/>
      <c r="AE861" s="9"/>
      <c r="AF861" s="16"/>
      <c r="AG861" s="16"/>
      <c r="AH861" s="16"/>
      <c r="AI861" s="16"/>
      <c r="AJ861" s="16"/>
      <c r="AK861" s="16"/>
      <c r="AL861" s="16"/>
      <c r="AM861" s="3"/>
      <c r="AN861" s="3"/>
      <c r="AO861" s="3"/>
      <c r="AP861" s="3"/>
      <c r="AQ861" s="3"/>
      <c r="AR861" s="3"/>
      <c r="AS861" s="3"/>
      <c r="AT861" s="3"/>
      <c r="AU861" s="3"/>
      <c r="AV861" s="3"/>
    </row>
    <row r="862" spans="1:48" hidden="1" x14ac:dyDescent="0.25">
      <c r="A862" s="31"/>
      <c r="B862" s="31"/>
      <c r="C862" s="3"/>
      <c r="D862" s="3"/>
      <c r="E862" s="2"/>
      <c r="F862" s="3"/>
      <c r="G862" s="3"/>
      <c r="H862" s="16"/>
      <c r="I862" s="16"/>
      <c r="J862" s="3"/>
      <c r="K862" s="17"/>
      <c r="L862" s="16"/>
      <c r="M862" s="3"/>
      <c r="N862" s="3"/>
      <c r="O862" s="2"/>
      <c r="P862" s="3" t="s">
        <v>54</v>
      </c>
      <c r="Q862" s="3"/>
      <c r="R862" s="3"/>
      <c r="S862" s="16"/>
      <c r="T862" s="3"/>
      <c r="U862" s="3"/>
      <c r="V862" s="3"/>
      <c r="W862" s="16"/>
      <c r="X862" s="16"/>
      <c r="Y862" s="3"/>
      <c r="Z862" s="18"/>
      <c r="AA862" s="3"/>
      <c r="AB862" s="16"/>
      <c r="AC862" s="16"/>
      <c r="AD862" s="16"/>
      <c r="AE862" s="9"/>
      <c r="AF862" s="16"/>
      <c r="AG862" s="16"/>
      <c r="AH862" s="16"/>
      <c r="AI862" s="16"/>
      <c r="AJ862" s="16"/>
      <c r="AK862" s="16"/>
      <c r="AL862" s="16"/>
      <c r="AM862" s="3"/>
      <c r="AN862" s="3"/>
      <c r="AO862" s="3"/>
      <c r="AP862" s="3"/>
      <c r="AQ862" s="3"/>
      <c r="AR862" s="3"/>
      <c r="AS862" s="3"/>
      <c r="AT862" s="3"/>
      <c r="AU862" s="3"/>
      <c r="AV862" s="3"/>
    </row>
    <row r="863" spans="1:48" hidden="1" x14ac:dyDescent="0.25">
      <c r="A863" s="31"/>
      <c r="B863" s="31"/>
      <c r="C863" s="3"/>
      <c r="D863" s="3"/>
      <c r="E863" s="2"/>
      <c r="F863" s="3"/>
      <c r="G863" s="3"/>
      <c r="H863" s="16"/>
      <c r="I863" s="16"/>
      <c r="J863" s="3"/>
      <c r="K863" s="17"/>
      <c r="L863" s="16"/>
      <c r="M863" s="3"/>
      <c r="N863" s="3"/>
      <c r="O863" s="2"/>
      <c r="P863" s="3" t="s">
        <v>54</v>
      </c>
      <c r="Q863" s="3"/>
      <c r="R863" s="3"/>
      <c r="S863" s="16"/>
      <c r="T863" s="3"/>
      <c r="U863" s="3"/>
      <c r="V863" s="3"/>
      <c r="W863" s="16"/>
      <c r="X863" s="16"/>
      <c r="Y863" s="3"/>
      <c r="Z863" s="18"/>
      <c r="AA863" s="3"/>
      <c r="AB863" s="16"/>
      <c r="AC863" s="16"/>
      <c r="AD863" s="16"/>
      <c r="AE863" s="9"/>
      <c r="AF863" s="16"/>
      <c r="AG863" s="16"/>
      <c r="AH863" s="16"/>
      <c r="AI863" s="16"/>
      <c r="AJ863" s="16"/>
      <c r="AK863" s="16"/>
      <c r="AL863" s="16"/>
      <c r="AM863" s="3"/>
      <c r="AN863" s="3"/>
      <c r="AO863" s="3"/>
      <c r="AP863" s="3"/>
      <c r="AQ863" s="3"/>
      <c r="AR863" s="3"/>
      <c r="AS863" s="3"/>
      <c r="AT863" s="3"/>
      <c r="AU863" s="3"/>
      <c r="AV863" s="3"/>
    </row>
    <row r="864" spans="1:48" hidden="1" x14ac:dyDescent="0.25">
      <c r="A864" s="31"/>
      <c r="B864" s="31"/>
      <c r="C864" s="3"/>
      <c r="D864" s="3"/>
      <c r="E864" s="2"/>
      <c r="F864" s="3"/>
      <c r="G864" s="3"/>
      <c r="H864" s="16"/>
      <c r="I864" s="16"/>
      <c r="J864" s="3"/>
      <c r="K864" s="17"/>
      <c r="L864" s="16"/>
      <c r="M864" s="3"/>
      <c r="N864" s="3"/>
      <c r="O864" s="2"/>
      <c r="P864" s="3" t="s">
        <v>54</v>
      </c>
      <c r="Q864" s="3"/>
      <c r="R864" s="3"/>
      <c r="S864" s="16"/>
      <c r="T864" s="3"/>
      <c r="U864" s="3"/>
      <c r="V864" s="3"/>
      <c r="W864" s="16"/>
      <c r="X864" s="16"/>
      <c r="Y864" s="3"/>
      <c r="Z864" s="18"/>
      <c r="AA864" s="3"/>
      <c r="AB864" s="16"/>
      <c r="AC864" s="16"/>
      <c r="AD864" s="16"/>
      <c r="AE864" s="9"/>
      <c r="AF864" s="16"/>
      <c r="AG864" s="16"/>
      <c r="AH864" s="16"/>
      <c r="AI864" s="16"/>
      <c r="AJ864" s="16"/>
      <c r="AK864" s="16"/>
      <c r="AL864" s="16"/>
      <c r="AM864" s="3"/>
      <c r="AN864" s="3"/>
      <c r="AO864" s="3"/>
      <c r="AP864" s="3"/>
      <c r="AQ864" s="3"/>
      <c r="AR864" s="3"/>
      <c r="AS864" s="3"/>
      <c r="AT864" s="3"/>
      <c r="AU864" s="3"/>
      <c r="AV864" s="3"/>
    </row>
    <row r="865" spans="1:48" hidden="1" x14ac:dyDescent="0.25">
      <c r="A865" s="31"/>
      <c r="B865" s="31"/>
      <c r="C865" s="3"/>
      <c r="D865" s="3"/>
      <c r="E865" s="2"/>
      <c r="F865" s="3"/>
      <c r="G865" s="3"/>
      <c r="H865" s="16"/>
      <c r="I865" s="16"/>
      <c r="J865" s="3"/>
      <c r="K865" s="17"/>
      <c r="L865" s="16"/>
      <c r="M865" s="3"/>
      <c r="N865" s="3"/>
      <c r="O865" s="2"/>
      <c r="P865" s="3" t="s">
        <v>54</v>
      </c>
      <c r="Q865" s="3"/>
      <c r="R865" s="3"/>
      <c r="S865" s="16"/>
      <c r="T865" s="3"/>
      <c r="U865" s="3"/>
      <c r="V865" s="3"/>
      <c r="W865" s="16"/>
      <c r="X865" s="16"/>
      <c r="Y865" s="3"/>
      <c r="Z865" s="18"/>
      <c r="AA865" s="3"/>
      <c r="AB865" s="16"/>
      <c r="AC865" s="16"/>
      <c r="AD865" s="16"/>
      <c r="AE865" s="9"/>
      <c r="AF865" s="16"/>
      <c r="AG865" s="16"/>
      <c r="AH865" s="16"/>
      <c r="AI865" s="16"/>
      <c r="AJ865" s="16"/>
      <c r="AK865" s="16"/>
      <c r="AL865" s="16"/>
      <c r="AM865" s="3"/>
      <c r="AN865" s="3"/>
      <c r="AO865" s="3"/>
      <c r="AP865" s="3"/>
      <c r="AQ865" s="3"/>
      <c r="AR865" s="3"/>
      <c r="AS865" s="3"/>
      <c r="AT865" s="3"/>
      <c r="AU865" s="3"/>
      <c r="AV865" s="3"/>
    </row>
    <row r="866" spans="1:48" hidden="1" x14ac:dyDescent="0.25">
      <c r="A866" s="31"/>
      <c r="B866" s="31"/>
      <c r="C866" s="3"/>
      <c r="D866" s="3"/>
      <c r="E866" s="2"/>
      <c r="F866" s="3"/>
      <c r="G866" s="3"/>
      <c r="H866" s="16"/>
      <c r="I866" s="16"/>
      <c r="J866" s="3"/>
      <c r="K866" s="17"/>
      <c r="L866" s="16"/>
      <c r="M866" s="3"/>
      <c r="N866" s="3"/>
      <c r="O866" s="2"/>
      <c r="P866" s="3" t="s">
        <v>54</v>
      </c>
      <c r="Q866" s="3"/>
      <c r="R866" s="3"/>
      <c r="S866" s="16"/>
      <c r="T866" s="3"/>
      <c r="U866" s="3"/>
      <c r="V866" s="3"/>
      <c r="W866" s="16"/>
      <c r="X866" s="16"/>
      <c r="Y866" s="3"/>
      <c r="Z866" s="18"/>
      <c r="AA866" s="3"/>
      <c r="AB866" s="16"/>
      <c r="AC866" s="16"/>
      <c r="AD866" s="16"/>
      <c r="AE866" s="9"/>
      <c r="AF866" s="16"/>
      <c r="AG866" s="16"/>
      <c r="AH866" s="16"/>
      <c r="AI866" s="16"/>
      <c r="AJ866" s="16"/>
      <c r="AK866" s="16"/>
      <c r="AL866" s="16"/>
      <c r="AM866" s="3"/>
      <c r="AN866" s="3"/>
      <c r="AO866" s="3"/>
      <c r="AP866" s="3"/>
      <c r="AQ866" s="3"/>
      <c r="AR866" s="3"/>
      <c r="AS866" s="3"/>
      <c r="AT866" s="3"/>
      <c r="AU866" s="3"/>
      <c r="AV866" s="3"/>
    </row>
    <row r="867" spans="1:48" hidden="1" x14ac:dyDescent="0.25">
      <c r="A867" s="31"/>
      <c r="B867" s="31"/>
      <c r="C867" s="3"/>
      <c r="D867" s="3"/>
      <c r="E867" s="2"/>
      <c r="F867" s="3"/>
      <c r="G867" s="3"/>
      <c r="H867" s="16"/>
      <c r="I867" s="16"/>
      <c r="J867" s="3"/>
      <c r="K867" s="17"/>
      <c r="L867" s="16"/>
      <c r="M867" s="3"/>
      <c r="N867" s="3"/>
      <c r="O867" s="2"/>
      <c r="P867" s="3" t="s">
        <v>54</v>
      </c>
      <c r="Q867" s="3"/>
      <c r="R867" s="3"/>
      <c r="S867" s="16"/>
      <c r="T867" s="3"/>
      <c r="U867" s="3"/>
      <c r="V867" s="3"/>
      <c r="W867" s="16"/>
      <c r="X867" s="16"/>
      <c r="Y867" s="3"/>
      <c r="Z867" s="18"/>
      <c r="AA867" s="3"/>
      <c r="AB867" s="16"/>
      <c r="AC867" s="16"/>
      <c r="AD867" s="16"/>
      <c r="AE867" s="9"/>
      <c r="AF867" s="16"/>
      <c r="AG867" s="16"/>
      <c r="AH867" s="16"/>
      <c r="AI867" s="16"/>
      <c r="AJ867" s="16"/>
      <c r="AK867" s="16"/>
      <c r="AL867" s="16"/>
      <c r="AM867" s="3"/>
      <c r="AN867" s="3"/>
      <c r="AO867" s="3"/>
      <c r="AP867" s="3"/>
      <c r="AQ867" s="3"/>
      <c r="AR867" s="3"/>
      <c r="AS867" s="3"/>
      <c r="AT867" s="3"/>
      <c r="AU867" s="3"/>
      <c r="AV867" s="3"/>
    </row>
    <row r="868" spans="1:48" hidden="1" x14ac:dyDescent="0.25">
      <c r="A868" s="31"/>
      <c r="B868" s="31"/>
      <c r="C868" s="3"/>
      <c r="D868" s="3"/>
      <c r="E868" s="2"/>
      <c r="F868" s="3"/>
      <c r="G868" s="3"/>
      <c r="H868" s="16"/>
      <c r="I868" s="16"/>
      <c r="J868" s="3"/>
      <c r="K868" s="17"/>
      <c r="L868" s="16"/>
      <c r="M868" s="3"/>
      <c r="N868" s="3"/>
      <c r="O868" s="2"/>
      <c r="P868" s="3" t="s">
        <v>54</v>
      </c>
      <c r="Q868" s="3"/>
      <c r="R868" s="3"/>
      <c r="S868" s="16"/>
      <c r="T868" s="3"/>
      <c r="U868" s="3"/>
      <c r="V868" s="3"/>
      <c r="W868" s="16"/>
      <c r="X868" s="16"/>
      <c r="Y868" s="3"/>
      <c r="Z868" s="18"/>
      <c r="AA868" s="3"/>
      <c r="AB868" s="16"/>
      <c r="AC868" s="16"/>
      <c r="AD868" s="16"/>
      <c r="AE868" s="9"/>
      <c r="AF868" s="16"/>
      <c r="AG868" s="16"/>
      <c r="AH868" s="16"/>
      <c r="AI868" s="16"/>
      <c r="AJ868" s="16"/>
      <c r="AK868" s="16"/>
      <c r="AL868" s="16"/>
      <c r="AM868" s="3"/>
      <c r="AN868" s="3"/>
      <c r="AO868" s="3"/>
      <c r="AP868" s="3"/>
      <c r="AQ868" s="3"/>
      <c r="AR868" s="3"/>
      <c r="AS868" s="3"/>
      <c r="AT868" s="3"/>
      <c r="AU868" s="3"/>
      <c r="AV868" s="3"/>
    </row>
    <row r="869" spans="1:48" hidden="1" x14ac:dyDescent="0.25">
      <c r="A869" s="31"/>
      <c r="B869" s="31"/>
      <c r="C869" s="3"/>
      <c r="D869" s="3"/>
      <c r="E869" s="2"/>
      <c r="F869" s="3"/>
      <c r="G869" s="3"/>
      <c r="H869" s="16"/>
      <c r="I869" s="16"/>
      <c r="J869" s="3"/>
      <c r="K869" s="17"/>
      <c r="L869" s="16"/>
      <c r="M869" s="3"/>
      <c r="N869" s="3"/>
      <c r="O869" s="2"/>
      <c r="P869" s="3" t="s">
        <v>54</v>
      </c>
      <c r="Q869" s="3"/>
      <c r="R869" s="3"/>
      <c r="S869" s="16"/>
      <c r="T869" s="3"/>
      <c r="U869" s="3"/>
      <c r="V869" s="3"/>
      <c r="W869" s="16"/>
      <c r="X869" s="16"/>
      <c r="Y869" s="3"/>
      <c r="Z869" s="18"/>
      <c r="AA869" s="3"/>
      <c r="AB869" s="16"/>
      <c r="AC869" s="16"/>
      <c r="AD869" s="16"/>
      <c r="AE869" s="9"/>
      <c r="AF869" s="16"/>
      <c r="AG869" s="16"/>
      <c r="AH869" s="16"/>
      <c r="AI869" s="16"/>
      <c r="AJ869" s="16"/>
      <c r="AK869" s="16"/>
      <c r="AL869" s="16"/>
      <c r="AM869" s="3"/>
      <c r="AN869" s="3"/>
      <c r="AO869" s="3"/>
      <c r="AP869" s="3"/>
      <c r="AQ869" s="3"/>
      <c r="AR869" s="3"/>
      <c r="AS869" s="3"/>
      <c r="AT869" s="3"/>
      <c r="AU869" s="3"/>
      <c r="AV869" s="3"/>
    </row>
    <row r="870" spans="1:48" hidden="1" x14ac:dyDescent="0.25">
      <c r="A870" s="31"/>
      <c r="B870" s="31"/>
      <c r="C870" s="3"/>
      <c r="D870" s="3"/>
      <c r="E870" s="2"/>
      <c r="F870" s="3"/>
      <c r="G870" s="3"/>
      <c r="H870" s="16"/>
      <c r="I870" s="16"/>
      <c r="J870" s="3"/>
      <c r="K870" s="17"/>
      <c r="L870" s="16"/>
      <c r="M870" s="3"/>
      <c r="N870" s="3"/>
      <c r="O870" s="2"/>
      <c r="P870" s="3" t="s">
        <v>54</v>
      </c>
      <c r="Q870" s="3"/>
      <c r="R870" s="3"/>
      <c r="S870" s="16"/>
      <c r="T870" s="3"/>
      <c r="U870" s="3"/>
      <c r="V870" s="3"/>
      <c r="W870" s="16"/>
      <c r="X870" s="16"/>
      <c r="Y870" s="3"/>
      <c r="Z870" s="18"/>
      <c r="AA870" s="3"/>
      <c r="AB870" s="16"/>
      <c r="AC870" s="16"/>
      <c r="AD870" s="16"/>
      <c r="AE870" s="9"/>
      <c r="AF870" s="16"/>
      <c r="AG870" s="16"/>
      <c r="AH870" s="16"/>
      <c r="AI870" s="16"/>
      <c r="AJ870" s="16"/>
      <c r="AK870" s="16"/>
      <c r="AL870" s="16"/>
      <c r="AM870" s="3"/>
      <c r="AN870" s="3"/>
      <c r="AO870" s="3"/>
      <c r="AP870" s="3"/>
      <c r="AQ870" s="3"/>
      <c r="AR870" s="3"/>
      <c r="AS870" s="3"/>
      <c r="AT870" s="3"/>
      <c r="AU870" s="3"/>
      <c r="AV870" s="3"/>
    </row>
    <row r="871" spans="1:48" hidden="1" x14ac:dyDescent="0.25">
      <c r="A871" s="31"/>
      <c r="B871" s="31"/>
      <c r="C871" s="3"/>
      <c r="D871" s="3"/>
      <c r="E871" s="2"/>
      <c r="F871" s="3"/>
      <c r="G871" s="3"/>
      <c r="H871" s="16"/>
      <c r="I871" s="16"/>
      <c r="J871" s="3"/>
      <c r="K871" s="17"/>
      <c r="L871" s="16"/>
      <c r="M871" s="3"/>
      <c r="N871" s="3"/>
      <c r="O871" s="2"/>
      <c r="P871" s="3" t="s">
        <v>54</v>
      </c>
      <c r="Q871" s="3"/>
      <c r="R871" s="3"/>
      <c r="S871" s="16"/>
      <c r="T871" s="3"/>
      <c r="U871" s="3"/>
      <c r="V871" s="3"/>
      <c r="W871" s="16"/>
      <c r="X871" s="16"/>
      <c r="Y871" s="3"/>
      <c r="Z871" s="18"/>
      <c r="AA871" s="3"/>
      <c r="AB871" s="16"/>
      <c r="AC871" s="16"/>
      <c r="AD871" s="16"/>
      <c r="AE871" s="9"/>
      <c r="AF871" s="16"/>
      <c r="AG871" s="16"/>
      <c r="AH871" s="16"/>
      <c r="AI871" s="16"/>
      <c r="AJ871" s="16"/>
      <c r="AK871" s="16"/>
      <c r="AL871" s="16"/>
      <c r="AM871" s="3"/>
      <c r="AN871" s="3"/>
      <c r="AO871" s="3"/>
      <c r="AP871" s="3"/>
      <c r="AQ871" s="3"/>
      <c r="AR871" s="3"/>
      <c r="AS871" s="3"/>
      <c r="AT871" s="3"/>
      <c r="AU871" s="3"/>
      <c r="AV871" s="3"/>
    </row>
    <row r="872" spans="1:48" hidden="1" x14ac:dyDescent="0.25">
      <c r="A872" s="31"/>
      <c r="B872" s="31"/>
      <c r="C872" s="3"/>
      <c r="D872" s="3"/>
      <c r="E872" s="2"/>
      <c r="F872" s="3"/>
      <c r="G872" s="3"/>
      <c r="H872" s="16"/>
      <c r="I872" s="16"/>
      <c r="J872" s="3"/>
      <c r="K872" s="17"/>
      <c r="L872" s="16"/>
      <c r="M872" s="3"/>
      <c r="N872" s="3"/>
      <c r="O872" s="2"/>
      <c r="P872" s="3" t="s">
        <v>54</v>
      </c>
      <c r="Q872" s="3"/>
      <c r="R872" s="3"/>
      <c r="S872" s="16"/>
      <c r="T872" s="3"/>
      <c r="U872" s="3"/>
      <c r="V872" s="3"/>
      <c r="W872" s="16"/>
      <c r="X872" s="16"/>
      <c r="Y872" s="3"/>
      <c r="Z872" s="18"/>
      <c r="AA872" s="3"/>
      <c r="AB872" s="16"/>
      <c r="AC872" s="16"/>
      <c r="AD872" s="16"/>
      <c r="AE872" s="9"/>
      <c r="AF872" s="16"/>
      <c r="AG872" s="16"/>
      <c r="AH872" s="16"/>
      <c r="AI872" s="16"/>
      <c r="AJ872" s="16"/>
      <c r="AK872" s="16"/>
      <c r="AL872" s="16"/>
      <c r="AM872" s="3"/>
      <c r="AN872" s="3"/>
      <c r="AO872" s="3"/>
      <c r="AP872" s="3"/>
      <c r="AQ872" s="3"/>
      <c r="AR872" s="3"/>
      <c r="AS872" s="3"/>
      <c r="AT872" s="3"/>
      <c r="AU872" s="3"/>
      <c r="AV872" s="3"/>
    </row>
    <row r="873" spans="1:48" hidden="1" x14ac:dyDescent="0.25">
      <c r="A873" s="31"/>
      <c r="B873" s="31"/>
      <c r="C873" s="3"/>
      <c r="D873" s="3"/>
      <c r="E873" s="2"/>
      <c r="F873" s="3"/>
      <c r="G873" s="3"/>
      <c r="H873" s="16"/>
      <c r="I873" s="16"/>
      <c r="J873" s="3"/>
      <c r="K873" s="17"/>
      <c r="L873" s="16"/>
      <c r="M873" s="3"/>
      <c r="N873" s="3"/>
      <c r="O873" s="2"/>
      <c r="P873" s="3" t="s">
        <v>54</v>
      </c>
      <c r="Q873" s="3"/>
      <c r="R873" s="3"/>
      <c r="S873" s="16"/>
      <c r="T873" s="3"/>
      <c r="U873" s="3"/>
      <c r="V873" s="3"/>
      <c r="W873" s="16"/>
      <c r="X873" s="16"/>
      <c r="Y873" s="3"/>
      <c r="Z873" s="18"/>
      <c r="AA873" s="3"/>
      <c r="AB873" s="16"/>
      <c r="AC873" s="16"/>
      <c r="AD873" s="16"/>
      <c r="AE873" s="9"/>
      <c r="AF873" s="16"/>
      <c r="AG873" s="16"/>
      <c r="AH873" s="16"/>
      <c r="AI873" s="16"/>
      <c r="AJ873" s="16"/>
      <c r="AK873" s="16"/>
      <c r="AL873" s="16"/>
      <c r="AM873" s="3"/>
      <c r="AN873" s="3"/>
      <c r="AO873" s="3"/>
      <c r="AP873" s="3"/>
      <c r="AQ873" s="3"/>
      <c r="AR873" s="3"/>
      <c r="AS873" s="3"/>
      <c r="AT873" s="3"/>
      <c r="AU873" s="3"/>
      <c r="AV873" s="3"/>
    </row>
    <row r="874" spans="1:48" hidden="1" x14ac:dyDescent="0.25">
      <c r="A874" s="31"/>
      <c r="B874" s="31"/>
      <c r="C874" s="3"/>
      <c r="D874" s="3"/>
      <c r="E874" s="2"/>
      <c r="F874" s="3"/>
      <c r="G874" s="3"/>
      <c r="H874" s="16"/>
      <c r="I874" s="16"/>
      <c r="J874" s="3"/>
      <c r="K874" s="17"/>
      <c r="L874" s="16"/>
      <c r="M874" s="3"/>
      <c r="N874" s="3"/>
      <c r="O874" s="2"/>
      <c r="P874" s="3" t="s">
        <v>54</v>
      </c>
      <c r="Q874" s="3"/>
      <c r="R874" s="3"/>
      <c r="S874" s="16"/>
      <c r="T874" s="3"/>
      <c r="U874" s="3"/>
      <c r="V874" s="3"/>
      <c r="W874" s="16"/>
      <c r="X874" s="16"/>
      <c r="Y874" s="3"/>
      <c r="Z874" s="18"/>
      <c r="AA874" s="3"/>
      <c r="AB874" s="16"/>
      <c r="AC874" s="16"/>
      <c r="AD874" s="16"/>
      <c r="AE874" s="9"/>
      <c r="AF874" s="16"/>
      <c r="AG874" s="16"/>
      <c r="AH874" s="16"/>
      <c r="AI874" s="16"/>
      <c r="AJ874" s="16"/>
      <c r="AK874" s="16"/>
      <c r="AL874" s="16"/>
      <c r="AM874" s="3"/>
      <c r="AN874" s="3"/>
      <c r="AO874" s="3"/>
      <c r="AP874" s="3"/>
      <c r="AQ874" s="3"/>
      <c r="AR874" s="3"/>
      <c r="AS874" s="3"/>
      <c r="AT874" s="3"/>
      <c r="AU874" s="3"/>
      <c r="AV874" s="3"/>
    </row>
    <row r="875" spans="1:48" hidden="1" x14ac:dyDescent="0.25">
      <c r="A875" s="31"/>
      <c r="B875" s="31"/>
      <c r="C875" s="3"/>
      <c r="D875" s="3"/>
      <c r="E875" s="2"/>
      <c r="F875" s="3"/>
      <c r="G875" s="3"/>
      <c r="H875" s="16"/>
      <c r="I875" s="16"/>
      <c r="J875" s="3"/>
      <c r="K875" s="17"/>
      <c r="L875" s="16"/>
      <c r="M875" s="3"/>
      <c r="N875" s="3"/>
      <c r="O875" s="2"/>
      <c r="P875" s="3" t="s">
        <v>54</v>
      </c>
      <c r="Q875" s="3"/>
      <c r="R875" s="3"/>
      <c r="S875" s="16"/>
      <c r="T875" s="3"/>
      <c r="U875" s="3"/>
      <c r="V875" s="3"/>
      <c r="W875" s="16"/>
      <c r="X875" s="16"/>
      <c r="Y875" s="3"/>
      <c r="Z875" s="18"/>
      <c r="AA875" s="3"/>
      <c r="AB875" s="16"/>
      <c r="AC875" s="16"/>
      <c r="AD875" s="16"/>
      <c r="AE875" s="9"/>
      <c r="AF875" s="16"/>
      <c r="AG875" s="16"/>
      <c r="AH875" s="16"/>
      <c r="AI875" s="16"/>
      <c r="AJ875" s="16"/>
      <c r="AK875" s="16"/>
      <c r="AL875" s="16"/>
      <c r="AM875" s="3"/>
      <c r="AN875" s="3"/>
      <c r="AO875" s="3"/>
      <c r="AP875" s="3"/>
      <c r="AQ875" s="3"/>
      <c r="AR875" s="3"/>
      <c r="AS875" s="3"/>
      <c r="AT875" s="3"/>
      <c r="AU875" s="3"/>
      <c r="AV875" s="3"/>
    </row>
    <row r="876" spans="1:48" hidden="1" x14ac:dyDescent="0.25">
      <c r="A876" s="31"/>
      <c r="B876" s="31"/>
      <c r="C876" s="3"/>
      <c r="D876" s="3"/>
      <c r="E876" s="2"/>
      <c r="F876" s="3"/>
      <c r="G876" s="3"/>
      <c r="H876" s="16"/>
      <c r="I876" s="16"/>
      <c r="J876" s="3"/>
      <c r="K876" s="17"/>
      <c r="L876" s="16"/>
      <c r="M876" s="3"/>
      <c r="N876" s="3"/>
      <c r="O876" s="2"/>
      <c r="P876" s="3" t="s">
        <v>54</v>
      </c>
      <c r="Q876" s="3"/>
      <c r="R876" s="3"/>
      <c r="S876" s="16"/>
      <c r="T876" s="3"/>
      <c r="U876" s="3"/>
      <c r="V876" s="3"/>
      <c r="W876" s="16"/>
      <c r="X876" s="16"/>
      <c r="Y876" s="3"/>
      <c r="Z876" s="18"/>
      <c r="AA876" s="3"/>
      <c r="AB876" s="16"/>
      <c r="AC876" s="16"/>
      <c r="AD876" s="16"/>
      <c r="AE876" s="9"/>
      <c r="AF876" s="16"/>
      <c r="AG876" s="16"/>
      <c r="AH876" s="16"/>
      <c r="AI876" s="16"/>
      <c r="AJ876" s="16"/>
      <c r="AK876" s="16"/>
      <c r="AL876" s="16"/>
      <c r="AM876" s="3"/>
      <c r="AN876" s="3"/>
      <c r="AO876" s="3"/>
      <c r="AP876" s="3"/>
      <c r="AQ876" s="3"/>
      <c r="AR876" s="3"/>
      <c r="AS876" s="3"/>
      <c r="AT876" s="3"/>
      <c r="AU876" s="3"/>
      <c r="AV876" s="3"/>
    </row>
    <row r="877" spans="1:48" hidden="1" x14ac:dyDescent="0.25">
      <c r="A877" s="31"/>
      <c r="B877" s="31"/>
      <c r="C877" s="3"/>
      <c r="D877" s="3"/>
      <c r="E877" s="2"/>
      <c r="F877" s="3"/>
      <c r="G877" s="3"/>
      <c r="H877" s="16"/>
      <c r="I877" s="16"/>
      <c r="J877" s="3"/>
      <c r="K877" s="17"/>
      <c r="L877" s="16"/>
      <c r="M877" s="3"/>
      <c r="N877" s="3"/>
      <c r="O877" s="2"/>
      <c r="P877" s="3" t="s">
        <v>54</v>
      </c>
      <c r="Q877" s="3"/>
      <c r="R877" s="3"/>
      <c r="S877" s="16"/>
      <c r="T877" s="3"/>
      <c r="U877" s="3"/>
      <c r="V877" s="3"/>
      <c r="W877" s="16"/>
      <c r="X877" s="16"/>
      <c r="Y877" s="3"/>
      <c r="Z877" s="18"/>
      <c r="AA877" s="3"/>
      <c r="AB877" s="16"/>
      <c r="AC877" s="16"/>
      <c r="AD877" s="16"/>
      <c r="AE877" s="9"/>
      <c r="AF877" s="16"/>
      <c r="AG877" s="16"/>
      <c r="AH877" s="16"/>
      <c r="AI877" s="16"/>
      <c r="AJ877" s="16"/>
      <c r="AK877" s="16"/>
      <c r="AL877" s="16"/>
      <c r="AM877" s="3"/>
      <c r="AN877" s="3"/>
      <c r="AO877" s="3"/>
      <c r="AP877" s="3"/>
      <c r="AQ877" s="3"/>
      <c r="AR877" s="3"/>
      <c r="AS877" s="3"/>
      <c r="AT877" s="3"/>
      <c r="AU877" s="3"/>
      <c r="AV877" s="3"/>
    </row>
    <row r="878" spans="1:48" hidden="1" x14ac:dyDescent="0.25">
      <c r="A878" s="31"/>
      <c r="B878" s="31"/>
      <c r="C878" s="3"/>
      <c r="D878" s="3"/>
      <c r="E878" s="2"/>
      <c r="F878" s="3"/>
      <c r="G878" s="3"/>
      <c r="H878" s="16"/>
      <c r="I878" s="16"/>
      <c r="J878" s="3"/>
      <c r="K878" s="17"/>
      <c r="L878" s="16"/>
      <c r="M878" s="3"/>
      <c r="N878" s="3"/>
      <c r="O878" s="2"/>
      <c r="P878" s="3" t="s">
        <v>54</v>
      </c>
      <c r="Q878" s="3"/>
      <c r="R878" s="3"/>
      <c r="S878" s="16"/>
      <c r="T878" s="3"/>
      <c r="U878" s="3"/>
      <c r="V878" s="3"/>
      <c r="W878" s="16"/>
      <c r="X878" s="16"/>
      <c r="Y878" s="3"/>
      <c r="Z878" s="18"/>
      <c r="AA878" s="3"/>
      <c r="AB878" s="16"/>
      <c r="AC878" s="16"/>
      <c r="AD878" s="16"/>
      <c r="AE878" s="9"/>
      <c r="AF878" s="16"/>
      <c r="AG878" s="16"/>
      <c r="AH878" s="16"/>
      <c r="AI878" s="16"/>
      <c r="AJ878" s="16"/>
      <c r="AK878" s="16"/>
      <c r="AL878" s="16"/>
      <c r="AM878" s="3"/>
      <c r="AN878" s="3"/>
      <c r="AO878" s="3"/>
      <c r="AP878" s="3"/>
      <c r="AQ878" s="3"/>
      <c r="AR878" s="3"/>
      <c r="AS878" s="3"/>
      <c r="AT878" s="3"/>
      <c r="AU878" s="3"/>
      <c r="AV878" s="3"/>
    </row>
    <row r="879" spans="1:48" hidden="1" x14ac:dyDescent="0.25">
      <c r="A879" s="31"/>
      <c r="B879" s="31"/>
      <c r="C879" s="3"/>
      <c r="D879" s="3"/>
      <c r="E879" s="2"/>
      <c r="F879" s="3"/>
      <c r="G879" s="3"/>
      <c r="H879" s="16"/>
      <c r="I879" s="16"/>
      <c r="J879" s="3"/>
      <c r="K879" s="17"/>
      <c r="L879" s="16"/>
      <c r="M879" s="3"/>
      <c r="N879" s="3"/>
      <c r="O879" s="2"/>
      <c r="P879" s="3" t="s">
        <v>54</v>
      </c>
      <c r="Q879" s="3"/>
      <c r="R879" s="3"/>
      <c r="S879" s="16"/>
      <c r="T879" s="3"/>
      <c r="U879" s="3"/>
      <c r="V879" s="3"/>
      <c r="W879" s="16"/>
      <c r="X879" s="16"/>
      <c r="Y879" s="3"/>
      <c r="Z879" s="18"/>
      <c r="AA879" s="3"/>
      <c r="AB879" s="16"/>
      <c r="AC879" s="16"/>
      <c r="AD879" s="16"/>
      <c r="AE879" s="9"/>
      <c r="AF879" s="16"/>
      <c r="AG879" s="16"/>
      <c r="AH879" s="16"/>
      <c r="AI879" s="16"/>
      <c r="AJ879" s="16"/>
      <c r="AK879" s="16"/>
      <c r="AL879" s="16"/>
      <c r="AM879" s="3"/>
      <c r="AN879" s="3"/>
      <c r="AO879" s="3"/>
      <c r="AP879" s="3"/>
      <c r="AQ879" s="3"/>
      <c r="AR879" s="3"/>
      <c r="AS879" s="3"/>
      <c r="AT879" s="3"/>
      <c r="AU879" s="3"/>
      <c r="AV879" s="3"/>
    </row>
    <row r="880" spans="1:48" hidden="1" x14ac:dyDescent="0.25">
      <c r="A880" s="31"/>
      <c r="B880" s="31"/>
      <c r="C880" s="3"/>
      <c r="D880" s="3"/>
      <c r="E880" s="2"/>
      <c r="F880" s="3"/>
      <c r="G880" s="3"/>
      <c r="H880" s="16"/>
      <c r="I880" s="16"/>
      <c r="J880" s="3"/>
      <c r="K880" s="17"/>
      <c r="L880" s="16"/>
      <c r="M880" s="3"/>
      <c r="N880" s="3"/>
      <c r="O880" s="2"/>
      <c r="P880" s="3" t="s">
        <v>54</v>
      </c>
      <c r="Q880" s="3"/>
      <c r="R880" s="3"/>
      <c r="S880" s="16"/>
      <c r="T880" s="3"/>
      <c r="U880" s="3"/>
      <c r="V880" s="3"/>
      <c r="W880" s="16"/>
      <c r="X880" s="16"/>
      <c r="Y880" s="3"/>
      <c r="Z880" s="18"/>
      <c r="AA880" s="3"/>
      <c r="AB880" s="16"/>
      <c r="AC880" s="16"/>
      <c r="AD880" s="16"/>
      <c r="AE880" s="9"/>
      <c r="AF880" s="16"/>
      <c r="AG880" s="16"/>
      <c r="AH880" s="16"/>
      <c r="AI880" s="16"/>
      <c r="AJ880" s="16"/>
      <c r="AK880" s="16"/>
      <c r="AL880" s="16"/>
      <c r="AM880" s="3"/>
      <c r="AN880" s="3"/>
      <c r="AO880" s="3"/>
      <c r="AP880" s="3"/>
      <c r="AQ880" s="3"/>
      <c r="AR880" s="3"/>
      <c r="AS880" s="3"/>
      <c r="AT880" s="3"/>
      <c r="AU880" s="3"/>
      <c r="AV880" s="3"/>
    </row>
    <row r="881" spans="1:48" hidden="1" x14ac:dyDescent="0.25">
      <c r="A881" s="31"/>
      <c r="B881" s="31"/>
      <c r="C881" s="3"/>
      <c r="D881" s="3"/>
      <c r="E881" s="2"/>
      <c r="F881" s="3"/>
      <c r="G881" s="3"/>
      <c r="H881" s="16"/>
      <c r="I881" s="16"/>
      <c r="J881" s="3"/>
      <c r="K881" s="17"/>
      <c r="L881" s="16"/>
      <c r="M881" s="3"/>
      <c r="N881" s="3"/>
      <c r="O881" s="2"/>
      <c r="P881" s="3" t="s">
        <v>54</v>
      </c>
      <c r="Q881" s="3"/>
      <c r="R881" s="3"/>
      <c r="S881" s="16"/>
      <c r="T881" s="3"/>
      <c r="U881" s="3"/>
      <c r="V881" s="3"/>
      <c r="W881" s="16"/>
      <c r="X881" s="16"/>
      <c r="Y881" s="3"/>
      <c r="Z881" s="18"/>
      <c r="AA881" s="3"/>
      <c r="AB881" s="16"/>
      <c r="AC881" s="16"/>
      <c r="AD881" s="16"/>
      <c r="AE881" s="9"/>
      <c r="AF881" s="16"/>
      <c r="AG881" s="16"/>
      <c r="AH881" s="16"/>
      <c r="AI881" s="16"/>
      <c r="AJ881" s="16"/>
      <c r="AK881" s="16"/>
      <c r="AL881" s="16"/>
      <c r="AM881" s="3"/>
      <c r="AN881" s="3"/>
      <c r="AO881" s="3"/>
      <c r="AP881" s="3"/>
      <c r="AQ881" s="3"/>
      <c r="AR881" s="3"/>
      <c r="AS881" s="3"/>
      <c r="AT881" s="3"/>
      <c r="AU881" s="3"/>
      <c r="AV881" s="3"/>
    </row>
    <row r="882" spans="1:48" hidden="1" x14ac:dyDescent="0.25">
      <c r="A882" s="31"/>
      <c r="B882" s="31"/>
      <c r="C882" s="3"/>
      <c r="D882" s="3"/>
      <c r="E882" s="2"/>
      <c r="F882" s="3"/>
      <c r="G882" s="3"/>
      <c r="H882" s="16"/>
      <c r="I882" s="16"/>
      <c r="J882" s="3"/>
      <c r="K882" s="17"/>
      <c r="L882" s="16"/>
      <c r="M882" s="3"/>
      <c r="N882" s="3"/>
      <c r="O882" s="2"/>
      <c r="P882" s="3" t="s">
        <v>54</v>
      </c>
      <c r="Q882" s="3"/>
      <c r="R882" s="3"/>
      <c r="S882" s="16"/>
      <c r="T882" s="3"/>
      <c r="U882" s="3"/>
      <c r="V882" s="3"/>
      <c r="W882" s="16"/>
      <c r="X882" s="16"/>
      <c r="Y882" s="3"/>
      <c r="Z882" s="18"/>
      <c r="AA882" s="3"/>
      <c r="AB882" s="16"/>
      <c r="AC882" s="16"/>
      <c r="AD882" s="16"/>
      <c r="AE882" s="9"/>
      <c r="AF882" s="16"/>
      <c r="AG882" s="16"/>
      <c r="AH882" s="16"/>
      <c r="AI882" s="16"/>
      <c r="AJ882" s="16"/>
      <c r="AK882" s="16"/>
      <c r="AL882" s="16"/>
      <c r="AM882" s="3"/>
      <c r="AN882" s="3"/>
      <c r="AO882" s="3"/>
      <c r="AP882" s="3"/>
      <c r="AQ882" s="3"/>
      <c r="AR882" s="3"/>
      <c r="AS882" s="3"/>
      <c r="AT882" s="3"/>
      <c r="AU882" s="3"/>
      <c r="AV882" s="3"/>
    </row>
    <row r="883" spans="1:48" hidden="1" x14ac:dyDescent="0.25">
      <c r="A883" s="31"/>
      <c r="B883" s="31"/>
      <c r="C883" s="3"/>
      <c r="D883" s="3"/>
      <c r="E883" s="2"/>
      <c r="F883" s="3"/>
      <c r="G883" s="3"/>
      <c r="H883" s="16"/>
      <c r="I883" s="16"/>
      <c r="J883" s="3"/>
      <c r="K883" s="17"/>
      <c r="L883" s="16"/>
      <c r="M883" s="3"/>
      <c r="N883" s="3"/>
      <c r="O883" s="2"/>
      <c r="P883" s="3" t="s">
        <v>54</v>
      </c>
      <c r="Q883" s="3"/>
      <c r="R883" s="3"/>
      <c r="S883" s="16"/>
      <c r="T883" s="3"/>
      <c r="U883" s="3"/>
      <c r="V883" s="3"/>
      <c r="W883" s="16"/>
      <c r="X883" s="16"/>
      <c r="Y883" s="3"/>
      <c r="Z883" s="18"/>
      <c r="AA883" s="3"/>
      <c r="AB883" s="16"/>
      <c r="AC883" s="16"/>
      <c r="AD883" s="16"/>
      <c r="AE883" s="9"/>
      <c r="AF883" s="16"/>
      <c r="AG883" s="16"/>
      <c r="AH883" s="16"/>
      <c r="AI883" s="16"/>
      <c r="AJ883" s="16"/>
      <c r="AK883" s="16"/>
      <c r="AL883" s="16"/>
      <c r="AM883" s="3"/>
      <c r="AN883" s="3"/>
      <c r="AO883" s="3"/>
      <c r="AP883" s="3"/>
      <c r="AQ883" s="3"/>
      <c r="AR883" s="3"/>
      <c r="AS883" s="3"/>
      <c r="AT883" s="3"/>
      <c r="AU883" s="3"/>
      <c r="AV883" s="3"/>
    </row>
    <row r="884" spans="1:48" hidden="1" x14ac:dyDescent="0.25">
      <c r="A884" s="31"/>
      <c r="B884" s="31"/>
      <c r="C884" s="3"/>
      <c r="D884" s="3"/>
      <c r="E884" s="2"/>
      <c r="F884" s="3"/>
      <c r="G884" s="3"/>
      <c r="H884" s="16"/>
      <c r="I884" s="16"/>
      <c r="J884" s="3"/>
      <c r="K884" s="17"/>
      <c r="L884" s="16"/>
      <c r="M884" s="3"/>
      <c r="N884" s="3"/>
      <c r="O884" s="2"/>
      <c r="P884" s="3" t="s">
        <v>54</v>
      </c>
      <c r="Q884" s="3"/>
      <c r="R884" s="3"/>
      <c r="S884" s="16"/>
      <c r="T884" s="3"/>
      <c r="U884" s="3"/>
      <c r="V884" s="3"/>
      <c r="W884" s="16"/>
      <c r="X884" s="16"/>
      <c r="Y884" s="3"/>
      <c r="Z884" s="18"/>
      <c r="AA884" s="3"/>
      <c r="AB884" s="16"/>
      <c r="AC884" s="16"/>
      <c r="AD884" s="16"/>
      <c r="AE884" s="9"/>
      <c r="AF884" s="16"/>
      <c r="AG884" s="16"/>
      <c r="AH884" s="16"/>
      <c r="AI884" s="16"/>
      <c r="AJ884" s="16"/>
      <c r="AK884" s="16"/>
      <c r="AL884" s="16"/>
      <c r="AM884" s="3"/>
      <c r="AN884" s="3"/>
      <c r="AO884" s="3"/>
      <c r="AP884" s="3"/>
      <c r="AQ884" s="3"/>
      <c r="AR884" s="3"/>
      <c r="AS884" s="3"/>
      <c r="AT884" s="3"/>
      <c r="AU884" s="3"/>
      <c r="AV884" s="3"/>
    </row>
    <row r="885" spans="1:48" hidden="1" x14ac:dyDescent="0.25">
      <c r="A885" s="31"/>
      <c r="B885" s="31"/>
      <c r="C885" s="3"/>
      <c r="D885" s="3"/>
      <c r="E885" s="2"/>
      <c r="F885" s="3"/>
      <c r="G885" s="3"/>
      <c r="H885" s="16"/>
      <c r="I885" s="16"/>
      <c r="J885" s="3"/>
      <c r="K885" s="17"/>
      <c r="L885" s="16"/>
      <c r="M885" s="3"/>
      <c r="N885" s="3"/>
      <c r="O885" s="2"/>
      <c r="P885" s="3" t="s">
        <v>54</v>
      </c>
      <c r="Q885" s="3"/>
      <c r="R885" s="3"/>
      <c r="S885" s="16"/>
      <c r="T885" s="3"/>
      <c r="U885" s="3"/>
      <c r="V885" s="3"/>
      <c r="W885" s="16"/>
      <c r="X885" s="16"/>
      <c r="Y885" s="3"/>
      <c r="Z885" s="18"/>
      <c r="AA885" s="3"/>
      <c r="AB885" s="16"/>
      <c r="AC885" s="16"/>
      <c r="AD885" s="16"/>
      <c r="AE885" s="9"/>
      <c r="AF885" s="16"/>
      <c r="AG885" s="16"/>
      <c r="AH885" s="16"/>
      <c r="AI885" s="16"/>
      <c r="AJ885" s="16"/>
      <c r="AK885" s="16"/>
      <c r="AL885" s="16"/>
      <c r="AM885" s="3"/>
      <c r="AN885" s="3"/>
      <c r="AO885" s="3"/>
      <c r="AP885" s="3"/>
      <c r="AQ885" s="3"/>
      <c r="AR885" s="3"/>
      <c r="AS885" s="3"/>
      <c r="AT885" s="3"/>
      <c r="AU885" s="3"/>
      <c r="AV885" s="3"/>
    </row>
    <row r="886" spans="1:48" hidden="1" x14ac:dyDescent="0.25">
      <c r="A886" s="31"/>
      <c r="B886" s="31"/>
      <c r="C886" s="3"/>
      <c r="D886" s="3"/>
      <c r="E886" s="2"/>
      <c r="F886" s="3"/>
      <c r="G886" s="3"/>
      <c r="H886" s="16"/>
      <c r="I886" s="16"/>
      <c r="J886" s="3"/>
      <c r="K886" s="17"/>
      <c r="L886" s="16"/>
      <c r="M886" s="3"/>
      <c r="N886" s="3"/>
      <c r="O886" s="2"/>
      <c r="P886" s="3" t="s">
        <v>54</v>
      </c>
      <c r="Q886" s="3"/>
      <c r="R886" s="3"/>
      <c r="S886" s="16"/>
      <c r="T886" s="3"/>
      <c r="U886" s="3"/>
      <c r="V886" s="3"/>
      <c r="W886" s="16"/>
      <c r="X886" s="16"/>
      <c r="Y886" s="3"/>
      <c r="Z886" s="18"/>
      <c r="AA886" s="3"/>
      <c r="AB886" s="16"/>
      <c r="AC886" s="16"/>
      <c r="AD886" s="16"/>
      <c r="AE886" s="9"/>
      <c r="AF886" s="16"/>
      <c r="AG886" s="16"/>
      <c r="AH886" s="16"/>
      <c r="AI886" s="16"/>
      <c r="AJ886" s="16"/>
      <c r="AK886" s="16"/>
      <c r="AL886" s="16"/>
      <c r="AM886" s="3"/>
      <c r="AN886" s="3"/>
      <c r="AO886" s="3"/>
      <c r="AP886" s="3"/>
      <c r="AQ886" s="3"/>
      <c r="AR886" s="3"/>
      <c r="AS886" s="3"/>
      <c r="AT886" s="3"/>
      <c r="AU886" s="3"/>
      <c r="AV886" s="3"/>
    </row>
    <row r="887" spans="1:48" hidden="1" x14ac:dyDescent="0.25">
      <c r="A887" s="31"/>
      <c r="B887" s="31"/>
      <c r="C887" s="3"/>
      <c r="D887" s="3"/>
      <c r="E887" s="2"/>
      <c r="F887" s="3"/>
      <c r="G887" s="3"/>
      <c r="H887" s="16"/>
      <c r="I887" s="16"/>
      <c r="J887" s="3"/>
      <c r="K887" s="17"/>
      <c r="L887" s="16"/>
      <c r="M887" s="3"/>
      <c r="N887" s="3"/>
      <c r="O887" s="2"/>
      <c r="P887" s="3" t="s">
        <v>54</v>
      </c>
      <c r="Q887" s="3"/>
      <c r="R887" s="3"/>
      <c r="S887" s="16"/>
      <c r="T887" s="3"/>
      <c r="U887" s="3"/>
      <c r="V887" s="3"/>
      <c r="W887" s="16"/>
      <c r="X887" s="16"/>
      <c r="Y887" s="3"/>
      <c r="Z887" s="18"/>
      <c r="AA887" s="3"/>
      <c r="AB887" s="16"/>
      <c r="AC887" s="16"/>
      <c r="AD887" s="16"/>
      <c r="AE887" s="9"/>
      <c r="AF887" s="16"/>
      <c r="AG887" s="16"/>
      <c r="AH887" s="16"/>
      <c r="AI887" s="16"/>
      <c r="AJ887" s="16"/>
      <c r="AK887" s="16"/>
      <c r="AL887" s="16"/>
      <c r="AM887" s="3"/>
      <c r="AN887" s="3"/>
      <c r="AO887" s="3"/>
      <c r="AP887" s="3"/>
      <c r="AQ887" s="3"/>
      <c r="AR887" s="3"/>
      <c r="AS887" s="3"/>
      <c r="AT887" s="3"/>
      <c r="AU887" s="3"/>
      <c r="AV887" s="3"/>
    </row>
    <row r="888" spans="1:48" hidden="1" x14ac:dyDescent="0.25">
      <c r="A888" s="31"/>
      <c r="B888" s="31"/>
      <c r="C888" s="3"/>
      <c r="D888" s="3"/>
      <c r="E888" s="2"/>
      <c r="F888" s="3"/>
      <c r="G888" s="3"/>
      <c r="H888" s="16"/>
      <c r="I888" s="16"/>
      <c r="J888" s="3"/>
      <c r="K888" s="17"/>
      <c r="L888" s="16"/>
      <c r="M888" s="3"/>
      <c r="N888" s="3"/>
      <c r="O888" s="2"/>
      <c r="P888" s="3" t="s">
        <v>54</v>
      </c>
      <c r="Q888" s="3"/>
      <c r="R888" s="3"/>
      <c r="S888" s="16"/>
      <c r="T888" s="3"/>
      <c r="U888" s="3"/>
      <c r="V888" s="3"/>
      <c r="W888" s="16"/>
      <c r="X888" s="16"/>
      <c r="Y888" s="3"/>
      <c r="Z888" s="18"/>
      <c r="AA888" s="3"/>
      <c r="AB888" s="16"/>
      <c r="AC888" s="16"/>
      <c r="AD888" s="16"/>
      <c r="AE888" s="9"/>
      <c r="AF888" s="16"/>
      <c r="AG888" s="16"/>
      <c r="AH888" s="16"/>
      <c r="AI888" s="16"/>
      <c r="AJ888" s="16"/>
      <c r="AK888" s="16"/>
      <c r="AL888" s="16"/>
      <c r="AM888" s="3"/>
      <c r="AN888" s="3"/>
      <c r="AO888" s="3"/>
      <c r="AP888" s="3"/>
      <c r="AQ888" s="3"/>
      <c r="AR888" s="3"/>
      <c r="AS888" s="3"/>
      <c r="AT888" s="3"/>
      <c r="AU888" s="3"/>
      <c r="AV888" s="3"/>
    </row>
    <row r="889" spans="1:48" hidden="1" x14ac:dyDescent="0.25">
      <c r="A889" s="31"/>
      <c r="B889" s="31"/>
      <c r="C889" s="3"/>
      <c r="D889" s="3"/>
      <c r="E889" s="2"/>
      <c r="F889" s="3"/>
      <c r="G889" s="3"/>
      <c r="H889" s="16"/>
      <c r="I889" s="16"/>
      <c r="J889" s="3"/>
      <c r="K889" s="17"/>
      <c r="L889" s="16"/>
      <c r="M889" s="3"/>
      <c r="N889" s="3"/>
      <c r="O889" s="2"/>
      <c r="P889" s="3" t="s">
        <v>54</v>
      </c>
      <c r="Q889" s="3"/>
      <c r="R889" s="3"/>
      <c r="S889" s="16"/>
      <c r="T889" s="3"/>
      <c r="U889" s="3"/>
      <c r="V889" s="3"/>
      <c r="W889" s="16"/>
      <c r="X889" s="16"/>
      <c r="Y889" s="3"/>
      <c r="Z889" s="18"/>
      <c r="AA889" s="3"/>
      <c r="AB889" s="16"/>
      <c r="AC889" s="16"/>
      <c r="AD889" s="16"/>
      <c r="AE889" s="9"/>
      <c r="AF889" s="16"/>
      <c r="AG889" s="16"/>
      <c r="AH889" s="16"/>
      <c r="AI889" s="16"/>
      <c r="AJ889" s="16"/>
      <c r="AK889" s="16"/>
      <c r="AL889" s="16"/>
      <c r="AM889" s="3"/>
      <c r="AN889" s="3"/>
      <c r="AO889" s="3"/>
      <c r="AP889" s="3"/>
      <c r="AQ889" s="3"/>
      <c r="AR889" s="3"/>
      <c r="AS889" s="3"/>
      <c r="AT889" s="3"/>
      <c r="AU889" s="3"/>
      <c r="AV889" s="3"/>
    </row>
    <row r="890" spans="1:48" hidden="1" x14ac:dyDescent="0.25">
      <c r="A890" s="31"/>
      <c r="B890" s="31"/>
      <c r="C890" s="3"/>
      <c r="D890" s="3"/>
      <c r="E890" s="2"/>
      <c r="F890" s="3"/>
      <c r="G890" s="3"/>
      <c r="H890" s="16"/>
      <c r="I890" s="16"/>
      <c r="J890" s="3"/>
      <c r="K890" s="17"/>
      <c r="L890" s="16"/>
      <c r="M890" s="3"/>
      <c r="N890" s="3"/>
      <c r="O890" s="2"/>
      <c r="P890" s="3" t="s">
        <v>54</v>
      </c>
      <c r="Q890" s="3"/>
      <c r="R890" s="3"/>
      <c r="S890" s="16"/>
      <c r="T890" s="3"/>
      <c r="U890" s="3"/>
      <c r="V890" s="3"/>
      <c r="W890" s="16"/>
      <c r="X890" s="16"/>
      <c r="Y890" s="3"/>
      <c r="Z890" s="18"/>
      <c r="AA890" s="3"/>
      <c r="AB890" s="16"/>
      <c r="AC890" s="16"/>
      <c r="AD890" s="16"/>
      <c r="AE890" s="9"/>
      <c r="AF890" s="16"/>
      <c r="AG890" s="16"/>
      <c r="AH890" s="16"/>
      <c r="AI890" s="16"/>
      <c r="AJ890" s="16"/>
      <c r="AK890" s="16"/>
      <c r="AL890" s="16"/>
      <c r="AM890" s="3"/>
      <c r="AN890" s="3"/>
      <c r="AO890" s="3"/>
      <c r="AP890" s="3"/>
      <c r="AQ890" s="3"/>
      <c r="AR890" s="3"/>
      <c r="AS890" s="3"/>
      <c r="AT890" s="3"/>
      <c r="AU890" s="3"/>
      <c r="AV890" s="3"/>
    </row>
    <row r="891" spans="1:48" hidden="1" x14ac:dyDescent="0.25">
      <c r="A891" s="31"/>
      <c r="B891" s="31"/>
      <c r="C891" s="3"/>
      <c r="D891" s="3"/>
      <c r="E891" s="2"/>
      <c r="F891" s="3"/>
      <c r="G891" s="3"/>
      <c r="H891" s="16"/>
      <c r="I891" s="16"/>
      <c r="J891" s="3"/>
      <c r="K891" s="17"/>
      <c r="L891" s="16"/>
      <c r="M891" s="3"/>
      <c r="N891" s="3"/>
      <c r="O891" s="2"/>
      <c r="P891" s="3" t="s">
        <v>54</v>
      </c>
      <c r="Q891" s="3"/>
      <c r="R891" s="3"/>
      <c r="S891" s="16"/>
      <c r="T891" s="3"/>
      <c r="U891" s="3"/>
      <c r="V891" s="3"/>
      <c r="W891" s="16"/>
      <c r="X891" s="16"/>
      <c r="Y891" s="3"/>
      <c r="Z891" s="18"/>
      <c r="AA891" s="3"/>
      <c r="AB891" s="16"/>
      <c r="AC891" s="16"/>
      <c r="AD891" s="16"/>
      <c r="AE891" s="9"/>
      <c r="AF891" s="16"/>
      <c r="AG891" s="16"/>
      <c r="AH891" s="16"/>
      <c r="AI891" s="16"/>
      <c r="AJ891" s="16"/>
      <c r="AK891" s="16"/>
      <c r="AL891" s="16"/>
      <c r="AM891" s="3"/>
      <c r="AN891" s="3"/>
      <c r="AO891" s="3"/>
      <c r="AP891" s="3"/>
      <c r="AQ891" s="3"/>
      <c r="AR891" s="3"/>
      <c r="AS891" s="3"/>
      <c r="AT891" s="3"/>
      <c r="AU891" s="3"/>
      <c r="AV891" s="3"/>
    </row>
    <row r="892" spans="1:48" hidden="1" x14ac:dyDescent="0.25">
      <c r="A892" s="31"/>
      <c r="B892" s="31"/>
      <c r="C892" s="3"/>
      <c r="D892" s="3"/>
      <c r="E892" s="2"/>
      <c r="F892" s="3"/>
      <c r="G892" s="3"/>
      <c r="H892" s="16"/>
      <c r="I892" s="16"/>
      <c r="J892" s="3"/>
      <c r="K892" s="17"/>
      <c r="L892" s="16"/>
      <c r="M892" s="3"/>
      <c r="N892" s="3"/>
      <c r="O892" s="2"/>
      <c r="P892" s="3" t="s">
        <v>54</v>
      </c>
      <c r="Q892" s="3"/>
      <c r="R892" s="3"/>
      <c r="S892" s="16"/>
      <c r="T892" s="3"/>
      <c r="U892" s="3"/>
      <c r="V892" s="3"/>
      <c r="W892" s="16"/>
      <c r="X892" s="16"/>
      <c r="Y892" s="3"/>
      <c r="Z892" s="18"/>
      <c r="AA892" s="3"/>
      <c r="AB892" s="16"/>
      <c r="AC892" s="16"/>
      <c r="AD892" s="16"/>
      <c r="AE892" s="9"/>
      <c r="AF892" s="16"/>
      <c r="AG892" s="16"/>
      <c r="AH892" s="16"/>
      <c r="AI892" s="16"/>
      <c r="AJ892" s="16"/>
      <c r="AK892" s="16"/>
      <c r="AL892" s="16"/>
      <c r="AM892" s="3"/>
      <c r="AN892" s="3"/>
      <c r="AO892" s="3"/>
      <c r="AP892" s="3"/>
      <c r="AQ892" s="3"/>
      <c r="AR892" s="3"/>
      <c r="AS892" s="3"/>
      <c r="AT892" s="3"/>
      <c r="AU892" s="3"/>
      <c r="AV892" s="3"/>
    </row>
    <row r="893" spans="1:48" hidden="1" x14ac:dyDescent="0.25">
      <c r="A893" s="31"/>
      <c r="B893" s="31"/>
      <c r="C893" s="3"/>
      <c r="D893" s="3"/>
      <c r="E893" s="2"/>
      <c r="F893" s="3"/>
      <c r="G893" s="3"/>
      <c r="H893" s="16"/>
      <c r="I893" s="16"/>
      <c r="J893" s="3"/>
      <c r="K893" s="17"/>
      <c r="L893" s="16"/>
      <c r="M893" s="3"/>
      <c r="N893" s="3"/>
      <c r="O893" s="2"/>
      <c r="P893" s="3" t="s">
        <v>54</v>
      </c>
      <c r="Q893" s="3"/>
      <c r="R893" s="3"/>
      <c r="S893" s="16"/>
      <c r="T893" s="3"/>
      <c r="U893" s="3"/>
      <c r="V893" s="3"/>
      <c r="W893" s="16"/>
      <c r="X893" s="16"/>
      <c r="Y893" s="3"/>
      <c r="Z893" s="18"/>
      <c r="AA893" s="3"/>
      <c r="AB893" s="16"/>
      <c r="AC893" s="16"/>
      <c r="AD893" s="16"/>
      <c r="AE893" s="9"/>
      <c r="AF893" s="16"/>
      <c r="AG893" s="16"/>
      <c r="AH893" s="16"/>
      <c r="AI893" s="16"/>
      <c r="AJ893" s="16"/>
      <c r="AK893" s="16"/>
      <c r="AL893" s="16"/>
      <c r="AM893" s="3"/>
      <c r="AN893" s="3"/>
      <c r="AO893" s="3"/>
      <c r="AP893" s="3"/>
      <c r="AQ893" s="3"/>
      <c r="AR893" s="3"/>
      <c r="AS893" s="3"/>
      <c r="AT893" s="3"/>
      <c r="AU893" s="3"/>
      <c r="AV893" s="3"/>
    </row>
    <row r="894" spans="1:48" hidden="1" x14ac:dyDescent="0.25">
      <c r="A894" s="31"/>
      <c r="B894" s="31"/>
      <c r="C894" s="3"/>
      <c r="D894" s="3"/>
      <c r="E894" s="2"/>
      <c r="F894" s="3"/>
      <c r="G894" s="3"/>
      <c r="H894" s="16"/>
      <c r="I894" s="16"/>
      <c r="J894" s="3"/>
      <c r="K894" s="17"/>
      <c r="L894" s="16"/>
      <c r="M894" s="3"/>
      <c r="N894" s="3"/>
      <c r="O894" s="2"/>
      <c r="P894" s="3" t="s">
        <v>54</v>
      </c>
      <c r="Q894" s="3"/>
      <c r="R894" s="3"/>
      <c r="S894" s="16"/>
      <c r="T894" s="3"/>
      <c r="U894" s="3"/>
      <c r="V894" s="3"/>
      <c r="W894" s="16"/>
      <c r="X894" s="16"/>
      <c r="Y894" s="3"/>
      <c r="Z894" s="18"/>
      <c r="AA894" s="3"/>
      <c r="AB894" s="16"/>
      <c r="AC894" s="16"/>
      <c r="AD894" s="16"/>
      <c r="AE894" s="9"/>
      <c r="AF894" s="16"/>
      <c r="AG894" s="16"/>
      <c r="AH894" s="16"/>
      <c r="AI894" s="16"/>
      <c r="AJ894" s="16"/>
      <c r="AK894" s="16"/>
      <c r="AL894" s="16"/>
      <c r="AM894" s="3"/>
      <c r="AN894" s="3"/>
      <c r="AO894" s="3"/>
      <c r="AP894" s="3"/>
      <c r="AQ894" s="3"/>
      <c r="AR894" s="3"/>
      <c r="AS894" s="3"/>
      <c r="AT894" s="3"/>
      <c r="AU894" s="3"/>
      <c r="AV894" s="3"/>
    </row>
    <row r="895" spans="1:48" hidden="1" x14ac:dyDescent="0.25">
      <c r="A895" s="31"/>
      <c r="B895" s="31"/>
      <c r="C895" s="3"/>
      <c r="D895" s="3"/>
      <c r="E895" s="2"/>
      <c r="F895" s="3"/>
      <c r="G895" s="3"/>
      <c r="H895" s="16"/>
      <c r="I895" s="16"/>
      <c r="J895" s="3"/>
      <c r="K895" s="17"/>
      <c r="L895" s="16"/>
      <c r="M895" s="3"/>
      <c r="N895" s="3"/>
      <c r="O895" s="2"/>
      <c r="P895" s="3" t="s">
        <v>54</v>
      </c>
      <c r="Q895" s="3"/>
      <c r="R895" s="3"/>
      <c r="S895" s="16"/>
      <c r="T895" s="3"/>
      <c r="U895" s="3"/>
      <c r="V895" s="3"/>
      <c r="W895" s="16"/>
      <c r="X895" s="16"/>
      <c r="Y895" s="3"/>
      <c r="Z895" s="18"/>
      <c r="AA895" s="3"/>
      <c r="AB895" s="16"/>
      <c r="AC895" s="16"/>
      <c r="AD895" s="16"/>
      <c r="AE895" s="9"/>
      <c r="AF895" s="16"/>
      <c r="AG895" s="16"/>
      <c r="AH895" s="16"/>
      <c r="AI895" s="16"/>
      <c r="AJ895" s="16"/>
      <c r="AK895" s="16"/>
      <c r="AL895" s="16"/>
      <c r="AM895" s="3"/>
      <c r="AN895" s="3"/>
      <c r="AO895" s="3"/>
      <c r="AP895" s="3"/>
      <c r="AQ895" s="3"/>
      <c r="AR895" s="3"/>
      <c r="AS895" s="3"/>
      <c r="AT895" s="3"/>
      <c r="AU895" s="3"/>
      <c r="AV895" s="3"/>
    </row>
    <row r="896" spans="1:48" hidden="1" x14ac:dyDescent="0.25">
      <c r="A896" s="31"/>
      <c r="B896" s="31"/>
      <c r="C896" s="3"/>
      <c r="D896" s="3"/>
      <c r="E896" s="2"/>
      <c r="F896" s="3"/>
      <c r="G896" s="3"/>
      <c r="H896" s="16"/>
      <c r="I896" s="16"/>
      <c r="J896" s="3"/>
      <c r="K896" s="17"/>
      <c r="L896" s="16"/>
      <c r="M896" s="3"/>
      <c r="N896" s="3"/>
      <c r="O896" s="2"/>
      <c r="P896" s="3" t="s">
        <v>54</v>
      </c>
      <c r="Q896" s="3"/>
      <c r="R896" s="3"/>
      <c r="S896" s="16"/>
      <c r="T896" s="3"/>
      <c r="U896" s="3"/>
      <c r="V896" s="3"/>
      <c r="W896" s="16"/>
      <c r="X896" s="16"/>
      <c r="Y896" s="3"/>
      <c r="Z896" s="18"/>
      <c r="AA896" s="3"/>
      <c r="AB896" s="16"/>
      <c r="AC896" s="16"/>
      <c r="AD896" s="16"/>
      <c r="AE896" s="9"/>
      <c r="AF896" s="16"/>
      <c r="AG896" s="16"/>
      <c r="AH896" s="16"/>
      <c r="AI896" s="16"/>
      <c r="AJ896" s="16"/>
      <c r="AK896" s="16"/>
      <c r="AL896" s="16"/>
      <c r="AM896" s="3"/>
      <c r="AN896" s="3"/>
      <c r="AO896" s="3"/>
      <c r="AP896" s="3"/>
      <c r="AQ896" s="3"/>
      <c r="AR896" s="3"/>
      <c r="AS896" s="3"/>
      <c r="AT896" s="3"/>
      <c r="AU896" s="3"/>
      <c r="AV896" s="3"/>
    </row>
    <row r="897" spans="1:48" hidden="1" x14ac:dyDescent="0.25">
      <c r="A897" s="31"/>
      <c r="B897" s="31"/>
      <c r="C897" s="3"/>
      <c r="D897" s="3"/>
      <c r="E897" s="2"/>
      <c r="F897" s="3"/>
      <c r="G897" s="3"/>
      <c r="H897" s="16"/>
      <c r="I897" s="16"/>
      <c r="J897" s="3"/>
      <c r="K897" s="17"/>
      <c r="L897" s="16"/>
      <c r="M897" s="3"/>
      <c r="N897" s="3"/>
      <c r="O897" s="2"/>
      <c r="P897" s="3" t="s">
        <v>54</v>
      </c>
      <c r="Q897" s="3"/>
      <c r="R897" s="3"/>
      <c r="S897" s="16"/>
      <c r="T897" s="3"/>
      <c r="U897" s="3"/>
      <c r="V897" s="3"/>
      <c r="W897" s="16"/>
      <c r="X897" s="16"/>
      <c r="Y897" s="3"/>
      <c r="Z897" s="18"/>
      <c r="AA897" s="3"/>
      <c r="AB897" s="16"/>
      <c r="AC897" s="16"/>
      <c r="AD897" s="16"/>
      <c r="AE897" s="9"/>
      <c r="AF897" s="16"/>
      <c r="AG897" s="16"/>
      <c r="AH897" s="16"/>
      <c r="AI897" s="16"/>
      <c r="AJ897" s="16"/>
      <c r="AK897" s="16"/>
      <c r="AL897" s="16"/>
      <c r="AM897" s="3"/>
      <c r="AN897" s="3"/>
      <c r="AO897" s="3"/>
      <c r="AP897" s="3"/>
      <c r="AQ897" s="3"/>
      <c r="AR897" s="3"/>
      <c r="AS897" s="3"/>
      <c r="AT897" s="3"/>
      <c r="AU897" s="3"/>
      <c r="AV897" s="3"/>
    </row>
    <row r="898" spans="1:48" hidden="1" x14ac:dyDescent="0.25">
      <c r="A898" s="31"/>
      <c r="B898" s="31"/>
      <c r="C898" s="3"/>
      <c r="D898" s="3"/>
      <c r="E898" s="2"/>
      <c r="F898" s="3"/>
      <c r="G898" s="3"/>
      <c r="H898" s="16"/>
      <c r="I898" s="16"/>
      <c r="J898" s="3"/>
      <c r="K898" s="17"/>
      <c r="L898" s="16"/>
      <c r="M898" s="3"/>
      <c r="N898" s="3"/>
      <c r="O898" s="2"/>
      <c r="P898" s="3" t="s">
        <v>54</v>
      </c>
      <c r="Q898" s="3"/>
      <c r="R898" s="3"/>
      <c r="S898" s="16"/>
      <c r="T898" s="3"/>
      <c r="U898" s="3"/>
      <c r="V898" s="3"/>
      <c r="W898" s="16"/>
      <c r="X898" s="16"/>
      <c r="Y898" s="3"/>
      <c r="Z898" s="18"/>
      <c r="AA898" s="3"/>
      <c r="AB898" s="16"/>
      <c r="AC898" s="16"/>
      <c r="AD898" s="16"/>
      <c r="AE898" s="9"/>
      <c r="AF898" s="16"/>
      <c r="AG898" s="16"/>
      <c r="AH898" s="16"/>
      <c r="AI898" s="16"/>
      <c r="AJ898" s="16"/>
      <c r="AK898" s="16"/>
      <c r="AL898" s="16"/>
      <c r="AM898" s="3"/>
      <c r="AN898" s="3"/>
      <c r="AO898" s="3"/>
      <c r="AP898" s="3"/>
      <c r="AQ898" s="3"/>
      <c r="AR898" s="3"/>
      <c r="AS898" s="3"/>
      <c r="AT898" s="3"/>
      <c r="AU898" s="3"/>
      <c r="AV898" s="3"/>
    </row>
    <row r="899" spans="1:48" hidden="1" x14ac:dyDescent="0.25">
      <c r="A899" s="31"/>
      <c r="B899" s="31"/>
      <c r="C899" s="3"/>
      <c r="D899" s="3"/>
      <c r="E899" s="2"/>
      <c r="F899" s="3"/>
      <c r="G899" s="3"/>
      <c r="H899" s="16"/>
      <c r="I899" s="16"/>
      <c r="J899" s="3"/>
      <c r="K899" s="17"/>
      <c r="L899" s="16"/>
      <c r="M899" s="3"/>
      <c r="N899" s="3"/>
      <c r="O899" s="2"/>
      <c r="P899" s="3" t="s">
        <v>54</v>
      </c>
      <c r="Q899" s="3"/>
      <c r="R899" s="3"/>
      <c r="S899" s="16"/>
      <c r="T899" s="3"/>
      <c r="U899" s="3"/>
      <c r="V899" s="3"/>
      <c r="W899" s="16"/>
      <c r="X899" s="16"/>
      <c r="Y899" s="3"/>
      <c r="Z899" s="18"/>
      <c r="AA899" s="3"/>
      <c r="AB899" s="16"/>
      <c r="AC899" s="16"/>
      <c r="AD899" s="16"/>
      <c r="AE899" s="9"/>
      <c r="AF899" s="16"/>
      <c r="AG899" s="16"/>
      <c r="AH899" s="16"/>
      <c r="AI899" s="16"/>
      <c r="AJ899" s="16"/>
      <c r="AK899" s="16"/>
      <c r="AL899" s="16"/>
      <c r="AM899" s="3"/>
      <c r="AN899" s="3"/>
      <c r="AO899" s="3"/>
      <c r="AP899" s="3"/>
      <c r="AQ899" s="3"/>
      <c r="AR899" s="3"/>
      <c r="AS899" s="3"/>
      <c r="AT899" s="3"/>
      <c r="AU899" s="3"/>
      <c r="AV899" s="3"/>
    </row>
    <row r="900" spans="1:48" hidden="1" x14ac:dyDescent="0.25">
      <c r="A900" s="31"/>
      <c r="B900" s="31"/>
      <c r="C900" s="3"/>
      <c r="D900" s="3"/>
      <c r="E900" s="2"/>
      <c r="F900" s="3"/>
      <c r="G900" s="3"/>
      <c r="H900" s="16"/>
      <c r="I900" s="16"/>
      <c r="J900" s="3"/>
      <c r="K900" s="17"/>
      <c r="L900" s="16"/>
      <c r="M900" s="3"/>
      <c r="N900" s="3"/>
      <c r="O900" s="2"/>
      <c r="P900" s="3" t="s">
        <v>54</v>
      </c>
      <c r="Q900" s="3"/>
      <c r="R900" s="3"/>
      <c r="S900" s="16"/>
      <c r="T900" s="3"/>
      <c r="U900" s="3"/>
      <c r="V900" s="3"/>
      <c r="W900" s="16"/>
      <c r="X900" s="16"/>
      <c r="Y900" s="3"/>
      <c r="Z900" s="18"/>
      <c r="AA900" s="3"/>
      <c r="AB900" s="16"/>
      <c r="AC900" s="16"/>
      <c r="AD900" s="16"/>
      <c r="AE900" s="9"/>
      <c r="AF900" s="16"/>
      <c r="AG900" s="16"/>
      <c r="AH900" s="16"/>
      <c r="AI900" s="16"/>
      <c r="AJ900" s="16"/>
      <c r="AK900" s="16"/>
      <c r="AL900" s="16"/>
      <c r="AM900" s="3"/>
      <c r="AN900" s="3"/>
      <c r="AO900" s="3"/>
      <c r="AP900" s="3"/>
      <c r="AQ900" s="3"/>
      <c r="AR900" s="3"/>
      <c r="AS900" s="3"/>
      <c r="AT900" s="3"/>
      <c r="AU900" s="3"/>
      <c r="AV900" s="3"/>
    </row>
    <row r="901" spans="1:48" hidden="1" x14ac:dyDescent="0.25">
      <c r="A901" s="31"/>
      <c r="B901" s="31"/>
      <c r="C901" s="3"/>
      <c r="D901" s="3"/>
      <c r="E901" s="2"/>
      <c r="F901" s="3"/>
      <c r="G901" s="3"/>
      <c r="H901" s="16"/>
      <c r="I901" s="16"/>
      <c r="J901" s="3"/>
      <c r="K901" s="17"/>
      <c r="L901" s="16"/>
      <c r="M901" s="3"/>
      <c r="N901" s="3"/>
      <c r="O901" s="2"/>
      <c r="P901" s="3" t="s">
        <v>54</v>
      </c>
      <c r="Q901" s="3"/>
      <c r="R901" s="3"/>
      <c r="S901" s="16"/>
      <c r="T901" s="3"/>
      <c r="U901" s="3"/>
      <c r="V901" s="3"/>
      <c r="W901" s="16"/>
      <c r="X901" s="16"/>
      <c r="Y901" s="3"/>
      <c r="Z901" s="18"/>
      <c r="AA901" s="3"/>
      <c r="AB901" s="16"/>
      <c r="AC901" s="16"/>
      <c r="AD901" s="16"/>
      <c r="AE901" s="9"/>
      <c r="AF901" s="16"/>
      <c r="AG901" s="16"/>
      <c r="AH901" s="16"/>
      <c r="AI901" s="16"/>
      <c r="AJ901" s="16"/>
      <c r="AK901" s="16"/>
      <c r="AL901" s="16"/>
      <c r="AM901" s="3"/>
      <c r="AN901" s="3"/>
      <c r="AO901" s="3"/>
      <c r="AP901" s="3"/>
      <c r="AQ901" s="3"/>
      <c r="AR901" s="3"/>
      <c r="AS901" s="3"/>
      <c r="AT901" s="3"/>
      <c r="AU901" s="3"/>
      <c r="AV901" s="3"/>
    </row>
    <row r="902" spans="1:48" hidden="1" x14ac:dyDescent="0.25">
      <c r="A902" s="31"/>
      <c r="B902" s="31"/>
      <c r="C902" s="3"/>
      <c r="D902" s="3"/>
      <c r="E902" s="2"/>
      <c r="F902" s="3"/>
      <c r="G902" s="3"/>
      <c r="H902" s="16"/>
      <c r="I902" s="16"/>
      <c r="J902" s="3"/>
      <c r="K902" s="17"/>
      <c r="L902" s="16"/>
      <c r="M902" s="3"/>
      <c r="N902" s="3"/>
      <c r="O902" s="2"/>
      <c r="P902" s="3" t="s">
        <v>54</v>
      </c>
      <c r="Q902" s="3"/>
      <c r="R902" s="3"/>
      <c r="S902" s="16"/>
      <c r="T902" s="3"/>
      <c r="U902" s="3"/>
      <c r="V902" s="3"/>
      <c r="W902" s="16"/>
      <c r="X902" s="16"/>
      <c r="Y902" s="3"/>
      <c r="Z902" s="18"/>
      <c r="AA902" s="3"/>
      <c r="AB902" s="16"/>
      <c r="AC902" s="16"/>
      <c r="AD902" s="16"/>
      <c r="AE902" s="9"/>
      <c r="AF902" s="16"/>
      <c r="AG902" s="16"/>
      <c r="AH902" s="16"/>
      <c r="AI902" s="16"/>
      <c r="AJ902" s="16"/>
      <c r="AK902" s="16"/>
      <c r="AL902" s="16"/>
      <c r="AM902" s="3"/>
      <c r="AN902" s="3"/>
      <c r="AO902" s="3"/>
      <c r="AP902" s="3"/>
      <c r="AQ902" s="3"/>
      <c r="AR902" s="3"/>
      <c r="AS902" s="3"/>
      <c r="AT902" s="3"/>
      <c r="AU902" s="3"/>
      <c r="AV902" s="3"/>
    </row>
    <row r="903" spans="1:48" hidden="1" x14ac:dyDescent="0.25">
      <c r="A903" s="31"/>
      <c r="B903" s="31"/>
      <c r="C903" s="3"/>
      <c r="D903" s="3"/>
      <c r="E903" s="2"/>
      <c r="F903" s="3"/>
      <c r="G903" s="3"/>
      <c r="H903" s="16"/>
      <c r="I903" s="16"/>
      <c r="J903" s="3"/>
      <c r="K903" s="17"/>
      <c r="L903" s="16"/>
      <c r="M903" s="3"/>
      <c r="N903" s="3"/>
      <c r="O903" s="2"/>
      <c r="P903" s="3" t="s">
        <v>54</v>
      </c>
      <c r="Q903" s="3"/>
      <c r="R903" s="3"/>
      <c r="S903" s="16"/>
      <c r="T903" s="3"/>
      <c r="U903" s="3"/>
      <c r="V903" s="3"/>
      <c r="W903" s="16"/>
      <c r="X903" s="16"/>
      <c r="Y903" s="3"/>
      <c r="Z903" s="18"/>
      <c r="AA903" s="3"/>
      <c r="AB903" s="16"/>
      <c r="AC903" s="16"/>
      <c r="AD903" s="16"/>
      <c r="AE903" s="9"/>
      <c r="AF903" s="16"/>
      <c r="AG903" s="16"/>
      <c r="AH903" s="16"/>
      <c r="AI903" s="16"/>
      <c r="AJ903" s="16"/>
      <c r="AK903" s="16"/>
      <c r="AL903" s="16"/>
      <c r="AM903" s="3"/>
      <c r="AN903" s="3"/>
      <c r="AO903" s="3"/>
      <c r="AP903" s="3"/>
      <c r="AQ903" s="3"/>
      <c r="AR903" s="3"/>
      <c r="AS903" s="3"/>
      <c r="AT903" s="3"/>
      <c r="AU903" s="3"/>
      <c r="AV903" s="3"/>
    </row>
    <row r="904" spans="1:48" hidden="1" x14ac:dyDescent="0.25">
      <c r="A904" s="31"/>
      <c r="B904" s="31"/>
      <c r="C904" s="3"/>
      <c r="D904" s="3"/>
      <c r="E904" s="2"/>
      <c r="F904" s="3"/>
      <c r="G904" s="3"/>
      <c r="H904" s="16"/>
      <c r="I904" s="16"/>
      <c r="J904" s="3"/>
      <c r="K904" s="17"/>
      <c r="L904" s="16"/>
      <c r="M904" s="3"/>
      <c r="N904" s="3"/>
      <c r="O904" s="2"/>
      <c r="P904" s="3" t="s">
        <v>54</v>
      </c>
      <c r="Q904" s="3"/>
      <c r="R904" s="3"/>
      <c r="S904" s="16"/>
      <c r="T904" s="3"/>
      <c r="U904" s="3"/>
      <c r="V904" s="3"/>
      <c r="W904" s="16"/>
      <c r="X904" s="16"/>
      <c r="Y904" s="3"/>
      <c r="Z904" s="18"/>
      <c r="AA904" s="3"/>
      <c r="AB904" s="16"/>
      <c r="AC904" s="16"/>
      <c r="AD904" s="16"/>
      <c r="AE904" s="9"/>
      <c r="AF904" s="16"/>
      <c r="AG904" s="16"/>
      <c r="AH904" s="16"/>
      <c r="AI904" s="16"/>
      <c r="AJ904" s="16"/>
      <c r="AK904" s="16"/>
      <c r="AL904" s="16"/>
      <c r="AM904" s="3"/>
      <c r="AN904" s="3"/>
      <c r="AO904" s="3"/>
      <c r="AP904" s="3"/>
      <c r="AQ904" s="3"/>
      <c r="AR904" s="3"/>
      <c r="AS904" s="3"/>
      <c r="AT904" s="3"/>
      <c r="AU904" s="3"/>
      <c r="AV904" s="3"/>
    </row>
    <row r="905" spans="1:48" hidden="1" x14ac:dyDescent="0.25">
      <c r="A905" s="31"/>
      <c r="B905" s="31"/>
      <c r="C905" s="3"/>
      <c r="D905" s="3"/>
      <c r="E905" s="2"/>
      <c r="F905" s="3"/>
      <c r="G905" s="3"/>
      <c r="H905" s="16"/>
      <c r="I905" s="16"/>
      <c r="J905" s="3"/>
      <c r="K905" s="17"/>
      <c r="L905" s="16"/>
      <c r="M905" s="3"/>
      <c r="N905" s="3"/>
      <c r="O905" s="2"/>
      <c r="P905" s="3" t="s">
        <v>54</v>
      </c>
      <c r="Q905" s="3"/>
      <c r="R905" s="3"/>
      <c r="S905" s="16"/>
      <c r="T905" s="3"/>
      <c r="U905" s="3"/>
      <c r="V905" s="3"/>
      <c r="W905" s="16"/>
      <c r="X905" s="16"/>
      <c r="Y905" s="3"/>
      <c r="Z905" s="18"/>
      <c r="AA905" s="3"/>
      <c r="AB905" s="16"/>
      <c r="AC905" s="16"/>
      <c r="AD905" s="16"/>
      <c r="AE905" s="9"/>
      <c r="AF905" s="16"/>
      <c r="AG905" s="16"/>
      <c r="AH905" s="16"/>
      <c r="AI905" s="16"/>
      <c r="AJ905" s="16"/>
      <c r="AK905" s="16"/>
      <c r="AL905" s="16"/>
      <c r="AM905" s="3"/>
      <c r="AN905" s="3"/>
      <c r="AO905" s="3"/>
      <c r="AP905" s="3"/>
      <c r="AQ905" s="3"/>
      <c r="AR905" s="3"/>
      <c r="AS905" s="3"/>
      <c r="AT905" s="3"/>
      <c r="AU905" s="3"/>
      <c r="AV905" s="3"/>
    </row>
    <row r="906" spans="1:48" hidden="1" x14ac:dyDescent="0.25">
      <c r="A906" s="31"/>
      <c r="B906" s="31"/>
      <c r="C906" s="3"/>
      <c r="D906" s="3"/>
      <c r="E906" s="2"/>
      <c r="F906" s="3"/>
      <c r="G906" s="3"/>
      <c r="H906" s="16"/>
      <c r="I906" s="16"/>
      <c r="J906" s="3"/>
      <c r="K906" s="17"/>
      <c r="L906" s="16"/>
      <c r="M906" s="3"/>
      <c r="N906" s="3"/>
      <c r="O906" s="2"/>
      <c r="P906" s="3" t="s">
        <v>54</v>
      </c>
      <c r="Q906" s="3"/>
      <c r="R906" s="3"/>
      <c r="S906" s="16"/>
      <c r="T906" s="3"/>
      <c r="U906" s="3"/>
      <c r="V906" s="3"/>
      <c r="W906" s="16"/>
      <c r="X906" s="16"/>
      <c r="Y906" s="3"/>
      <c r="Z906" s="18"/>
      <c r="AA906" s="3"/>
      <c r="AB906" s="16"/>
      <c r="AC906" s="16"/>
      <c r="AD906" s="16"/>
      <c r="AE906" s="9"/>
      <c r="AF906" s="16"/>
      <c r="AG906" s="16"/>
      <c r="AH906" s="16"/>
      <c r="AI906" s="16"/>
      <c r="AJ906" s="16"/>
      <c r="AK906" s="16"/>
      <c r="AL906" s="16"/>
      <c r="AM906" s="3"/>
      <c r="AN906" s="3"/>
      <c r="AO906" s="3"/>
      <c r="AP906" s="3"/>
      <c r="AQ906" s="3"/>
      <c r="AR906" s="3"/>
      <c r="AS906" s="3"/>
      <c r="AT906" s="3"/>
      <c r="AU906" s="3"/>
      <c r="AV906" s="3"/>
    </row>
    <row r="907" spans="1:48" hidden="1" x14ac:dyDescent="0.25">
      <c r="A907" s="31"/>
      <c r="B907" s="31"/>
      <c r="C907" s="3"/>
      <c r="D907" s="3"/>
      <c r="E907" s="2"/>
      <c r="F907" s="3"/>
      <c r="G907" s="3"/>
      <c r="H907" s="16"/>
      <c r="I907" s="16"/>
      <c r="J907" s="3"/>
      <c r="K907" s="17"/>
      <c r="L907" s="16"/>
      <c r="M907" s="3"/>
      <c r="N907" s="3"/>
      <c r="O907" s="2"/>
      <c r="P907" s="3" t="s">
        <v>54</v>
      </c>
      <c r="Q907" s="3"/>
      <c r="R907" s="3"/>
      <c r="S907" s="16"/>
      <c r="T907" s="3"/>
      <c r="U907" s="3"/>
      <c r="V907" s="3"/>
      <c r="W907" s="16"/>
      <c r="X907" s="16"/>
      <c r="Y907" s="3"/>
      <c r="Z907" s="18"/>
      <c r="AA907" s="3"/>
      <c r="AB907" s="16"/>
      <c r="AC907" s="16"/>
      <c r="AD907" s="16"/>
      <c r="AE907" s="9"/>
      <c r="AF907" s="16"/>
      <c r="AG907" s="16"/>
      <c r="AH907" s="16"/>
      <c r="AI907" s="16"/>
      <c r="AJ907" s="16"/>
      <c r="AK907" s="16"/>
      <c r="AL907" s="16"/>
      <c r="AM907" s="3"/>
      <c r="AN907" s="3"/>
      <c r="AO907" s="3"/>
      <c r="AP907" s="3"/>
      <c r="AQ907" s="3"/>
      <c r="AR907" s="3"/>
      <c r="AS907" s="3"/>
      <c r="AT907" s="3"/>
      <c r="AU907" s="3"/>
      <c r="AV907" s="3"/>
    </row>
    <row r="908" spans="1:48" hidden="1" x14ac:dyDescent="0.25">
      <c r="A908" s="31"/>
      <c r="B908" s="31"/>
      <c r="C908" s="3"/>
      <c r="D908" s="3"/>
      <c r="E908" s="2"/>
      <c r="F908" s="3"/>
      <c r="G908" s="3"/>
      <c r="H908" s="16"/>
      <c r="I908" s="16"/>
      <c r="J908" s="3"/>
      <c r="K908" s="17"/>
      <c r="L908" s="16"/>
      <c r="M908" s="3"/>
      <c r="N908" s="3"/>
      <c r="O908" s="2"/>
      <c r="P908" s="3" t="s">
        <v>54</v>
      </c>
      <c r="Q908" s="3"/>
      <c r="R908" s="3"/>
      <c r="S908" s="16"/>
      <c r="T908" s="3"/>
      <c r="U908" s="3"/>
      <c r="V908" s="3"/>
      <c r="W908" s="16"/>
      <c r="X908" s="16"/>
      <c r="Y908" s="3"/>
      <c r="Z908" s="18"/>
      <c r="AA908" s="3"/>
      <c r="AB908" s="16"/>
      <c r="AC908" s="16"/>
      <c r="AD908" s="16"/>
      <c r="AE908" s="9"/>
      <c r="AF908" s="16"/>
      <c r="AG908" s="16"/>
      <c r="AH908" s="16"/>
      <c r="AI908" s="16"/>
      <c r="AJ908" s="16"/>
      <c r="AK908" s="16"/>
      <c r="AL908" s="16"/>
      <c r="AM908" s="3"/>
      <c r="AN908" s="3"/>
      <c r="AO908" s="3"/>
      <c r="AP908" s="3"/>
      <c r="AQ908" s="3"/>
      <c r="AR908" s="3"/>
      <c r="AS908" s="3"/>
      <c r="AT908" s="3"/>
      <c r="AU908" s="3"/>
      <c r="AV908" s="3"/>
    </row>
    <row r="909" spans="1:48" hidden="1" x14ac:dyDescent="0.25">
      <c r="A909" s="31"/>
      <c r="B909" s="31"/>
      <c r="C909" s="3"/>
      <c r="D909" s="3"/>
      <c r="E909" s="2"/>
      <c r="F909" s="3"/>
      <c r="G909" s="3"/>
      <c r="H909" s="16"/>
      <c r="I909" s="16"/>
      <c r="J909" s="3"/>
      <c r="K909" s="17"/>
      <c r="L909" s="16"/>
      <c r="M909" s="3"/>
      <c r="N909" s="3"/>
      <c r="O909" s="2"/>
      <c r="P909" s="3" t="s">
        <v>54</v>
      </c>
      <c r="Q909" s="3"/>
      <c r="R909" s="3"/>
      <c r="S909" s="16"/>
      <c r="T909" s="3"/>
      <c r="U909" s="3"/>
      <c r="V909" s="3"/>
      <c r="W909" s="16"/>
      <c r="X909" s="16"/>
      <c r="Y909" s="3"/>
      <c r="Z909" s="18"/>
      <c r="AA909" s="3"/>
      <c r="AB909" s="16"/>
      <c r="AC909" s="16"/>
      <c r="AD909" s="16"/>
      <c r="AE909" s="9"/>
      <c r="AF909" s="16"/>
      <c r="AG909" s="16"/>
      <c r="AH909" s="16"/>
      <c r="AI909" s="16"/>
      <c r="AJ909" s="16"/>
      <c r="AK909" s="16"/>
      <c r="AL909" s="16"/>
      <c r="AM909" s="3"/>
      <c r="AN909" s="3"/>
      <c r="AO909" s="3"/>
      <c r="AP909" s="3"/>
      <c r="AQ909" s="3"/>
      <c r="AR909" s="3"/>
      <c r="AS909" s="3"/>
      <c r="AT909" s="3"/>
      <c r="AU909" s="3"/>
      <c r="AV909" s="3"/>
    </row>
    <row r="910" spans="1:48" hidden="1" x14ac:dyDescent="0.25">
      <c r="A910" s="31"/>
      <c r="B910" s="31"/>
      <c r="C910" s="3"/>
      <c r="D910" s="3"/>
      <c r="E910" s="2"/>
      <c r="F910" s="3"/>
      <c r="G910" s="3"/>
      <c r="H910" s="16"/>
      <c r="I910" s="16"/>
      <c r="J910" s="3"/>
      <c r="K910" s="17"/>
      <c r="L910" s="16"/>
      <c r="M910" s="3"/>
      <c r="N910" s="3"/>
      <c r="O910" s="2"/>
      <c r="P910" s="3" t="s">
        <v>54</v>
      </c>
      <c r="Q910" s="3"/>
      <c r="R910" s="3"/>
      <c r="S910" s="16"/>
      <c r="T910" s="3"/>
      <c r="U910" s="3"/>
      <c r="V910" s="3"/>
      <c r="W910" s="16"/>
      <c r="X910" s="16"/>
      <c r="Y910" s="3"/>
      <c r="Z910" s="18"/>
      <c r="AA910" s="3"/>
      <c r="AB910" s="16"/>
      <c r="AC910" s="16"/>
      <c r="AD910" s="16"/>
      <c r="AE910" s="9"/>
      <c r="AF910" s="16"/>
      <c r="AG910" s="16"/>
      <c r="AH910" s="16"/>
      <c r="AI910" s="16"/>
      <c r="AJ910" s="16"/>
      <c r="AK910" s="16"/>
      <c r="AL910" s="16"/>
      <c r="AM910" s="3"/>
      <c r="AN910" s="3"/>
      <c r="AO910" s="3"/>
      <c r="AP910" s="3"/>
      <c r="AQ910" s="3"/>
      <c r="AR910" s="3"/>
      <c r="AS910" s="3"/>
      <c r="AT910" s="3"/>
      <c r="AU910" s="3"/>
      <c r="AV910" s="3"/>
    </row>
    <row r="911" spans="1:48" hidden="1" x14ac:dyDescent="0.25">
      <c r="A911" s="31"/>
      <c r="B911" s="31"/>
      <c r="C911" s="3"/>
      <c r="D911" s="3"/>
      <c r="E911" s="2"/>
      <c r="F911" s="3"/>
      <c r="G911" s="3"/>
      <c r="H911" s="16"/>
      <c r="I911" s="16"/>
      <c r="J911" s="3"/>
      <c r="K911" s="17"/>
      <c r="L911" s="16"/>
      <c r="M911" s="3"/>
      <c r="N911" s="3"/>
      <c r="O911" s="2"/>
      <c r="P911" s="3" t="s">
        <v>54</v>
      </c>
      <c r="Q911" s="3"/>
      <c r="R911" s="3"/>
      <c r="S911" s="16"/>
      <c r="T911" s="3"/>
      <c r="U911" s="3"/>
      <c r="V911" s="3"/>
      <c r="W911" s="16"/>
      <c r="X911" s="16"/>
      <c r="Y911" s="3"/>
      <c r="Z911" s="18"/>
      <c r="AA911" s="3"/>
      <c r="AB911" s="16"/>
      <c r="AC911" s="16"/>
      <c r="AD911" s="16"/>
      <c r="AE911" s="9"/>
      <c r="AF911" s="16"/>
      <c r="AG911" s="16"/>
      <c r="AH911" s="16"/>
      <c r="AI911" s="16"/>
      <c r="AJ911" s="16"/>
      <c r="AK911" s="16"/>
      <c r="AL911" s="16"/>
      <c r="AM911" s="3"/>
      <c r="AN911" s="3"/>
      <c r="AO911" s="3"/>
      <c r="AP911" s="3"/>
      <c r="AQ911" s="3"/>
      <c r="AR911" s="3"/>
      <c r="AS911" s="3"/>
      <c r="AT911" s="3"/>
      <c r="AU911" s="3"/>
      <c r="AV911" s="3"/>
    </row>
    <row r="912" spans="1:48" hidden="1" x14ac:dyDescent="0.25">
      <c r="A912" s="31"/>
      <c r="B912" s="31"/>
      <c r="C912" s="3"/>
      <c r="D912" s="3"/>
      <c r="E912" s="2"/>
      <c r="F912" s="3"/>
      <c r="G912" s="3"/>
      <c r="H912" s="16"/>
      <c r="I912" s="16"/>
      <c r="J912" s="3"/>
      <c r="K912" s="17"/>
      <c r="L912" s="16"/>
      <c r="M912" s="3"/>
      <c r="N912" s="3"/>
      <c r="O912" s="2"/>
      <c r="P912" s="3" t="s">
        <v>54</v>
      </c>
      <c r="Q912" s="3"/>
      <c r="R912" s="3"/>
      <c r="S912" s="16"/>
      <c r="T912" s="3"/>
      <c r="U912" s="3"/>
      <c r="V912" s="3"/>
      <c r="W912" s="16"/>
      <c r="X912" s="16"/>
      <c r="Y912" s="3"/>
      <c r="Z912" s="18"/>
      <c r="AA912" s="3"/>
      <c r="AB912" s="16"/>
      <c r="AC912" s="16"/>
      <c r="AD912" s="16"/>
      <c r="AE912" s="9"/>
      <c r="AF912" s="16"/>
      <c r="AG912" s="16"/>
      <c r="AH912" s="16"/>
      <c r="AI912" s="16"/>
      <c r="AJ912" s="16"/>
      <c r="AK912" s="16"/>
      <c r="AL912" s="16"/>
      <c r="AM912" s="3"/>
      <c r="AN912" s="3"/>
      <c r="AO912" s="3"/>
      <c r="AP912" s="3"/>
      <c r="AQ912" s="3"/>
      <c r="AR912" s="3"/>
      <c r="AS912" s="3"/>
      <c r="AT912" s="3"/>
      <c r="AU912" s="3"/>
      <c r="AV912" s="3"/>
    </row>
    <row r="913" spans="1:48" hidden="1" x14ac:dyDescent="0.25">
      <c r="A913" s="31"/>
      <c r="B913" s="31"/>
      <c r="C913" s="3"/>
      <c r="D913" s="3"/>
      <c r="E913" s="2"/>
      <c r="F913" s="3"/>
      <c r="G913" s="3"/>
      <c r="H913" s="16"/>
      <c r="I913" s="16"/>
      <c r="J913" s="3"/>
      <c r="K913" s="17"/>
      <c r="L913" s="16"/>
      <c r="M913" s="3"/>
      <c r="N913" s="3"/>
      <c r="O913" s="2"/>
      <c r="P913" s="3" t="s">
        <v>54</v>
      </c>
      <c r="Q913" s="3"/>
      <c r="R913" s="3"/>
      <c r="S913" s="16"/>
      <c r="T913" s="3"/>
      <c r="U913" s="3"/>
      <c r="V913" s="3"/>
      <c r="W913" s="16"/>
      <c r="X913" s="16"/>
      <c r="Y913" s="3"/>
      <c r="Z913" s="18"/>
      <c r="AA913" s="3"/>
      <c r="AB913" s="16"/>
      <c r="AC913" s="16"/>
      <c r="AD913" s="16"/>
      <c r="AE913" s="9"/>
      <c r="AF913" s="16"/>
      <c r="AG913" s="16"/>
      <c r="AH913" s="16"/>
      <c r="AI913" s="16"/>
      <c r="AJ913" s="16"/>
      <c r="AK913" s="16"/>
      <c r="AL913" s="16"/>
      <c r="AM913" s="3"/>
      <c r="AN913" s="3"/>
      <c r="AO913" s="3"/>
      <c r="AP913" s="3"/>
      <c r="AQ913" s="3"/>
      <c r="AR913" s="3"/>
      <c r="AS913" s="3"/>
      <c r="AT913" s="3"/>
      <c r="AU913" s="3"/>
      <c r="AV913" s="3"/>
    </row>
    <row r="914" spans="1:48" hidden="1" x14ac:dyDescent="0.25">
      <c r="A914" s="31"/>
      <c r="B914" s="31"/>
      <c r="C914" s="3"/>
      <c r="D914" s="3"/>
      <c r="E914" s="2"/>
      <c r="F914" s="3"/>
      <c r="G914" s="3"/>
      <c r="H914" s="16"/>
      <c r="I914" s="16"/>
      <c r="J914" s="3"/>
      <c r="K914" s="17"/>
      <c r="L914" s="16"/>
      <c r="M914" s="3"/>
      <c r="N914" s="3"/>
      <c r="O914" s="2"/>
      <c r="P914" s="3" t="s">
        <v>54</v>
      </c>
      <c r="Q914" s="3"/>
      <c r="R914" s="3"/>
      <c r="S914" s="16"/>
      <c r="T914" s="3"/>
      <c r="U914" s="3"/>
      <c r="V914" s="3"/>
      <c r="W914" s="16"/>
      <c r="X914" s="16"/>
      <c r="Y914" s="3"/>
      <c r="Z914" s="18"/>
      <c r="AA914" s="3"/>
      <c r="AB914" s="16"/>
      <c r="AC914" s="16"/>
      <c r="AD914" s="16"/>
      <c r="AE914" s="9"/>
      <c r="AF914" s="16"/>
      <c r="AG914" s="16"/>
      <c r="AH914" s="16"/>
      <c r="AI914" s="16"/>
      <c r="AJ914" s="16"/>
      <c r="AK914" s="16"/>
      <c r="AL914" s="16"/>
      <c r="AM914" s="3"/>
      <c r="AN914" s="3"/>
      <c r="AO914" s="3"/>
      <c r="AP914" s="3"/>
      <c r="AQ914" s="3"/>
      <c r="AR914" s="3"/>
      <c r="AS914" s="3"/>
      <c r="AT914" s="3"/>
      <c r="AU914" s="3"/>
      <c r="AV914" s="3"/>
    </row>
    <row r="915" spans="1:48" hidden="1" x14ac:dyDescent="0.25">
      <c r="A915" s="31"/>
      <c r="B915" s="31"/>
      <c r="C915" s="3"/>
      <c r="D915" s="3"/>
      <c r="E915" s="2"/>
      <c r="F915" s="3"/>
      <c r="G915" s="3"/>
      <c r="H915" s="16"/>
      <c r="I915" s="16"/>
      <c r="J915" s="3"/>
      <c r="K915" s="17"/>
      <c r="L915" s="16"/>
      <c r="M915" s="3"/>
      <c r="N915" s="3"/>
      <c r="O915" s="2"/>
      <c r="P915" s="3" t="s">
        <v>54</v>
      </c>
      <c r="Q915" s="3"/>
      <c r="R915" s="3"/>
      <c r="S915" s="16"/>
      <c r="T915" s="3"/>
      <c r="U915" s="3"/>
      <c r="V915" s="3"/>
      <c r="W915" s="16"/>
      <c r="X915" s="16"/>
      <c r="Y915" s="3"/>
      <c r="Z915" s="18"/>
      <c r="AA915" s="3"/>
      <c r="AB915" s="16"/>
      <c r="AC915" s="16"/>
      <c r="AD915" s="16"/>
      <c r="AE915" s="9"/>
      <c r="AF915" s="16"/>
      <c r="AG915" s="16"/>
      <c r="AH915" s="16"/>
      <c r="AI915" s="16"/>
      <c r="AJ915" s="16"/>
      <c r="AK915" s="16"/>
      <c r="AL915" s="16"/>
      <c r="AM915" s="3"/>
      <c r="AN915" s="3"/>
      <c r="AO915" s="3"/>
      <c r="AP915" s="3"/>
      <c r="AQ915" s="3"/>
      <c r="AR915" s="3"/>
      <c r="AS915" s="3"/>
      <c r="AT915" s="3"/>
      <c r="AU915" s="3"/>
      <c r="AV915" s="3"/>
    </row>
    <row r="916" spans="1:48" hidden="1" x14ac:dyDescent="0.25">
      <c r="A916" s="31"/>
      <c r="B916" s="31"/>
      <c r="C916" s="3"/>
      <c r="D916" s="3"/>
      <c r="E916" s="2"/>
      <c r="F916" s="3"/>
      <c r="G916" s="3"/>
      <c r="H916" s="16"/>
      <c r="I916" s="16"/>
      <c r="J916" s="3"/>
      <c r="K916" s="17"/>
      <c r="L916" s="16"/>
      <c r="M916" s="3"/>
      <c r="N916" s="3"/>
      <c r="O916" s="2"/>
      <c r="P916" s="3" t="s">
        <v>54</v>
      </c>
      <c r="Q916" s="3"/>
      <c r="R916" s="3"/>
      <c r="S916" s="16"/>
      <c r="T916" s="3"/>
      <c r="U916" s="3"/>
      <c r="V916" s="3"/>
      <c r="W916" s="16"/>
      <c r="X916" s="16"/>
      <c r="Y916" s="3"/>
      <c r="Z916" s="18"/>
      <c r="AA916" s="3"/>
      <c r="AB916" s="16"/>
      <c r="AC916" s="16"/>
      <c r="AD916" s="16"/>
      <c r="AE916" s="9"/>
      <c r="AF916" s="16"/>
      <c r="AG916" s="16"/>
      <c r="AH916" s="16"/>
      <c r="AI916" s="16"/>
      <c r="AJ916" s="16"/>
      <c r="AK916" s="16"/>
      <c r="AL916" s="16"/>
      <c r="AM916" s="3"/>
      <c r="AN916" s="3"/>
      <c r="AO916" s="3"/>
      <c r="AP916" s="3"/>
      <c r="AQ916" s="3"/>
      <c r="AR916" s="3"/>
      <c r="AS916" s="3"/>
      <c r="AT916" s="3"/>
      <c r="AU916" s="3"/>
      <c r="AV916" s="3"/>
    </row>
    <row r="917" spans="1:48" hidden="1" x14ac:dyDescent="0.25">
      <c r="A917" s="31"/>
      <c r="B917" s="31"/>
      <c r="C917" s="3"/>
      <c r="D917" s="3"/>
      <c r="E917" s="2"/>
      <c r="F917" s="3"/>
      <c r="G917" s="3"/>
      <c r="H917" s="16"/>
      <c r="I917" s="16"/>
      <c r="J917" s="3"/>
      <c r="K917" s="17"/>
      <c r="L917" s="16"/>
      <c r="M917" s="3"/>
      <c r="N917" s="3"/>
      <c r="O917" s="2"/>
      <c r="P917" s="3" t="s">
        <v>54</v>
      </c>
      <c r="Q917" s="3"/>
      <c r="R917" s="3"/>
      <c r="S917" s="16"/>
      <c r="T917" s="3"/>
      <c r="U917" s="3"/>
      <c r="V917" s="3"/>
      <c r="W917" s="16"/>
      <c r="X917" s="16"/>
      <c r="Y917" s="3"/>
      <c r="Z917" s="18"/>
      <c r="AA917" s="3"/>
      <c r="AB917" s="16"/>
      <c r="AC917" s="16"/>
      <c r="AD917" s="16"/>
      <c r="AE917" s="9"/>
      <c r="AF917" s="16"/>
      <c r="AG917" s="16"/>
      <c r="AH917" s="16"/>
      <c r="AI917" s="16"/>
      <c r="AJ917" s="16"/>
      <c r="AK917" s="16"/>
      <c r="AL917" s="16"/>
      <c r="AM917" s="3"/>
      <c r="AN917" s="3"/>
      <c r="AO917" s="3"/>
      <c r="AP917" s="3"/>
      <c r="AQ917" s="3"/>
      <c r="AR917" s="3"/>
      <c r="AS917" s="3"/>
      <c r="AT917" s="3"/>
      <c r="AU917" s="3"/>
      <c r="AV917" s="3"/>
    </row>
  </sheetData>
  <autoFilter ref="A1:A917" xr:uid="{41D5374C-19B4-438A-9A30-B29BCADE8204}">
    <filterColumn colId="0">
      <customFilters>
        <customFilter operator="notEqual" val=" "/>
      </customFilters>
    </filterColumn>
  </autoFilter>
  <phoneticPr fontId="3" type="noConversion"/>
  <pageMargins left="0.7" right="0.7" top="0.75" bottom="0.75" header="0.3" footer="0.3"/>
  <headerFooter>
    <oddFooter>&amp;L_x000D_&amp;1#&amp;"Calibri"&amp;8&amp;K000000 Classified as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7508-02E0-4146-9E1F-8E351D118524}">
  <sheetPr filterMode="1"/>
  <dimension ref="A1:N625"/>
  <sheetViews>
    <sheetView workbookViewId="0">
      <pane ySplit="1" topLeftCell="A2" activePane="bottomLeft" state="frozen"/>
      <selection pane="bottomLeft" activeCell="G20" sqref="G20"/>
    </sheetView>
  </sheetViews>
  <sheetFormatPr defaultColWidth="11.5703125" defaultRowHeight="15" x14ac:dyDescent="0.25"/>
  <cols>
    <col min="1" max="1" width="4" style="10" bestFit="1" customWidth="1"/>
    <col min="2" max="2" width="8.140625" style="35" bestFit="1" customWidth="1"/>
    <col min="3" max="3" width="7.42578125" bestFit="1" customWidth="1"/>
    <col min="4" max="4" width="9.5703125" bestFit="1" customWidth="1"/>
    <col min="5" max="6" width="9.28515625" bestFit="1" customWidth="1"/>
    <col min="7" max="7" width="18.140625" style="5" bestFit="1" customWidth="1"/>
    <col min="8" max="8" width="15.140625" bestFit="1" customWidth="1"/>
    <col min="9" max="9" width="15.7109375" bestFit="1" customWidth="1"/>
    <col min="10" max="10" width="22.42578125" bestFit="1" customWidth="1"/>
    <col min="11" max="11" width="10" bestFit="1" customWidth="1"/>
    <col min="12" max="12" width="13.7109375" bestFit="1" customWidth="1"/>
    <col min="13" max="13" width="20.28515625" bestFit="1" customWidth="1"/>
    <col min="14" max="14" width="13.140625" bestFit="1" customWidth="1"/>
  </cols>
  <sheetData>
    <row r="1" spans="1:14" s="12" customFormat="1" x14ac:dyDescent="0.25">
      <c r="A1" s="13"/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  <c r="G1" s="6" t="s">
        <v>42</v>
      </c>
      <c r="H1" s="13" t="s">
        <v>43</v>
      </c>
      <c r="I1" s="13" t="s">
        <v>44</v>
      </c>
      <c r="J1" s="13" t="s">
        <v>45</v>
      </c>
      <c r="K1" s="13" t="s">
        <v>46</v>
      </c>
      <c r="L1" s="13" t="s">
        <v>47</v>
      </c>
      <c r="M1" s="13" t="s">
        <v>48</v>
      </c>
      <c r="N1" s="13" t="s">
        <v>49</v>
      </c>
    </row>
    <row r="2" spans="1:14" s="12" customFormat="1" x14ac:dyDescent="0.25">
      <c r="A2" s="11">
        <v>1</v>
      </c>
      <c r="B2" s="42" t="str">
        <f>+'libro compras'!$AK$1</f>
        <v>281130</v>
      </c>
      <c r="C2" s="9" t="s">
        <v>0</v>
      </c>
      <c r="D2" s="9"/>
      <c r="E2" s="14" t="str">
        <f>+'libro compras'!S3</f>
        <v/>
      </c>
      <c r="F2" s="9"/>
      <c r="G2" s="4">
        <f>+'libro compras'!AI3</f>
        <v>0</v>
      </c>
      <c r="H2" s="9"/>
      <c r="I2" s="9" t="s">
        <v>33</v>
      </c>
      <c r="J2" s="9" t="str">
        <f>+CONCATENATE('libro compras'!C3," ",'libro compras'!D3)</f>
        <v xml:space="preserve"> </v>
      </c>
      <c r="K2" s="7">
        <f>+'libro compras'!F3</f>
        <v>0</v>
      </c>
      <c r="L2" s="3">
        <f>+'libro compras'!C3</f>
        <v>0</v>
      </c>
      <c r="M2" s="3">
        <f>+'libro compras'!D3</f>
        <v>0</v>
      </c>
      <c r="N2" s="9" t="s">
        <v>34</v>
      </c>
    </row>
    <row r="3" spans="1:14" s="12" customFormat="1" x14ac:dyDescent="0.25">
      <c r="A3" s="11">
        <v>1</v>
      </c>
      <c r="B3" s="43" t="str">
        <f>+'libro compras'!$AL$1</f>
        <v>401110</v>
      </c>
      <c r="C3" s="9" t="s">
        <v>0</v>
      </c>
      <c r="D3" s="9"/>
      <c r="E3" s="14" t="str">
        <f>+E2</f>
        <v/>
      </c>
      <c r="F3" s="9"/>
      <c r="G3" s="4">
        <f>+'libro compras'!AJ3</f>
        <v>0</v>
      </c>
      <c r="H3" s="9"/>
      <c r="I3" s="9" t="s">
        <v>33</v>
      </c>
      <c r="J3" s="9" t="str">
        <f>+J2</f>
        <v xml:space="preserve"> </v>
      </c>
      <c r="K3" s="7">
        <f>+K2</f>
        <v>0</v>
      </c>
      <c r="L3" s="3">
        <f>+L2</f>
        <v>0</v>
      </c>
      <c r="M3" s="3">
        <f>+M2</f>
        <v>0</v>
      </c>
      <c r="N3" s="9" t="s">
        <v>34</v>
      </c>
    </row>
    <row r="4" spans="1:14" s="12" customFormat="1" x14ac:dyDescent="0.25">
      <c r="A4" s="11">
        <v>1</v>
      </c>
      <c r="B4" s="32">
        <f>+'libro compras'!P3</f>
        <v>0</v>
      </c>
      <c r="C4" s="9" t="s">
        <v>0</v>
      </c>
      <c r="D4" s="9"/>
      <c r="E4" s="14" t="str">
        <f>+E3</f>
        <v/>
      </c>
      <c r="F4" s="9"/>
      <c r="G4" s="4">
        <f>-'libro compras'!AK3</f>
        <v>0</v>
      </c>
      <c r="H4" s="9"/>
      <c r="I4" s="9" t="s">
        <v>2</v>
      </c>
      <c r="J4" s="9" t="str">
        <f>+J3</f>
        <v xml:space="preserve"> </v>
      </c>
      <c r="K4" s="7">
        <f t="shared" ref="K4:K9" si="0">+K3</f>
        <v>0</v>
      </c>
      <c r="L4" s="3">
        <f>+L3</f>
        <v>0</v>
      </c>
      <c r="M4" s="3">
        <f>+M3</f>
        <v>0</v>
      </c>
      <c r="N4" s="9" t="s">
        <v>34</v>
      </c>
    </row>
    <row r="5" spans="1:14" s="12" customFormat="1" x14ac:dyDescent="0.25">
      <c r="A5" s="11">
        <v>1</v>
      </c>
      <c r="B5" s="34" t="e">
        <f>+VLOOKUP(B4,Hoja1!$A$1:$B$2,2,FALSE)</f>
        <v>#N/A</v>
      </c>
      <c r="C5" s="9" t="s">
        <v>0</v>
      </c>
      <c r="D5" s="9"/>
      <c r="E5" s="14" t="str">
        <f>+E4</f>
        <v/>
      </c>
      <c r="F5" s="9"/>
      <c r="G5" s="4">
        <f>-'libro compras'!I3</f>
        <v>0</v>
      </c>
      <c r="H5" s="9"/>
      <c r="I5" s="9" t="s">
        <v>2</v>
      </c>
      <c r="J5" s="9" t="str">
        <f>+J4</f>
        <v xml:space="preserve"> </v>
      </c>
      <c r="K5" s="7">
        <f t="shared" si="0"/>
        <v>0</v>
      </c>
      <c r="L5" s="3">
        <f>+L4</f>
        <v>0</v>
      </c>
      <c r="M5" s="3">
        <f>+M4</f>
        <v>0</v>
      </c>
      <c r="N5" s="9" t="s">
        <v>34</v>
      </c>
    </row>
    <row r="6" spans="1:14" x14ac:dyDescent="0.25">
      <c r="A6" s="11">
        <f>1+A2</f>
        <v>2</v>
      </c>
      <c r="B6" s="42" t="str">
        <f>+'libro compras'!$AK$1</f>
        <v>281130</v>
      </c>
      <c r="C6" s="9" t="s">
        <v>0</v>
      </c>
      <c r="D6" s="9"/>
      <c r="E6" s="14" t="str">
        <f>+'libro compras'!S7</f>
        <v/>
      </c>
      <c r="F6" s="9"/>
      <c r="G6" s="4">
        <f>+'libro compras'!AI7</f>
        <v>0</v>
      </c>
      <c r="H6" s="9"/>
      <c r="I6" s="9" t="s">
        <v>33</v>
      </c>
      <c r="J6" s="9" t="str">
        <f>+CONCATENATE('libro compras'!C7," ",'libro compras'!D7)</f>
        <v xml:space="preserve"> </v>
      </c>
      <c r="K6" s="7">
        <f t="shared" si="0"/>
        <v>0</v>
      </c>
      <c r="L6" s="3">
        <f>+'libro compras'!C7</f>
        <v>0</v>
      </c>
      <c r="M6" s="3">
        <f>+'libro compras'!D7</f>
        <v>0</v>
      </c>
      <c r="N6" s="9" t="s">
        <v>34</v>
      </c>
    </row>
    <row r="7" spans="1:14" x14ac:dyDescent="0.25">
      <c r="A7" s="11">
        <f>1+A3</f>
        <v>2</v>
      </c>
      <c r="B7" s="43" t="str">
        <f>+'libro compras'!$AL$1</f>
        <v>401110</v>
      </c>
      <c r="C7" s="9" t="s">
        <v>0</v>
      </c>
      <c r="D7" s="9"/>
      <c r="E7" s="14" t="str">
        <f>+E6</f>
        <v/>
      </c>
      <c r="F7" s="9"/>
      <c r="G7" s="4">
        <f>+'libro compras'!AJ7</f>
        <v>0</v>
      </c>
      <c r="H7" s="9"/>
      <c r="I7" s="9" t="s">
        <v>33</v>
      </c>
      <c r="J7" s="9" t="str">
        <f>+J6</f>
        <v xml:space="preserve"> </v>
      </c>
      <c r="K7" s="7">
        <f t="shared" si="0"/>
        <v>0</v>
      </c>
      <c r="L7" s="3">
        <f t="shared" ref="L7:M9" si="1">+L6</f>
        <v>0</v>
      </c>
      <c r="M7" s="3">
        <f t="shared" si="1"/>
        <v>0</v>
      </c>
      <c r="N7" s="9" t="s">
        <v>34</v>
      </c>
    </row>
    <row r="8" spans="1:14" x14ac:dyDescent="0.25">
      <c r="A8" s="11">
        <f>1+A4</f>
        <v>2</v>
      </c>
      <c r="B8" s="32">
        <f>+'libro compras'!P7</f>
        <v>0</v>
      </c>
      <c r="C8" s="9" t="s">
        <v>0</v>
      </c>
      <c r="D8" s="9"/>
      <c r="E8" s="14" t="str">
        <f>+E7</f>
        <v/>
      </c>
      <c r="F8" s="9"/>
      <c r="G8" s="4">
        <f>-'libro compras'!AK7</f>
        <v>0</v>
      </c>
      <c r="H8" s="9"/>
      <c r="I8" s="9" t="s">
        <v>2</v>
      </c>
      <c r="J8" s="9" t="str">
        <f>+J7</f>
        <v xml:space="preserve"> </v>
      </c>
      <c r="K8" s="7">
        <f t="shared" si="0"/>
        <v>0</v>
      </c>
      <c r="L8" s="3">
        <f t="shared" si="1"/>
        <v>0</v>
      </c>
      <c r="M8" s="3">
        <f t="shared" si="1"/>
        <v>0</v>
      </c>
      <c r="N8" s="9" t="s">
        <v>34</v>
      </c>
    </row>
    <row r="9" spans="1:14" x14ac:dyDescent="0.25">
      <c r="A9" s="11">
        <f>1+A5</f>
        <v>2</v>
      </c>
      <c r="B9" s="34" t="e">
        <f>+VLOOKUP(B8,Hoja1!$A$1:$B$2,2,FALSE)</f>
        <v>#N/A</v>
      </c>
      <c r="C9" s="9" t="s">
        <v>0</v>
      </c>
      <c r="D9" s="9"/>
      <c r="E9" s="14" t="str">
        <f>+E8</f>
        <v/>
      </c>
      <c r="F9" s="9"/>
      <c r="G9" s="4">
        <f>-'libro compras'!I7</f>
        <v>0</v>
      </c>
      <c r="H9" s="9"/>
      <c r="I9" s="9" t="s">
        <v>2</v>
      </c>
      <c r="J9" s="9" t="str">
        <f>+J8</f>
        <v xml:space="preserve"> </v>
      </c>
      <c r="K9" s="7">
        <f t="shared" si="0"/>
        <v>0</v>
      </c>
      <c r="L9" s="3">
        <f t="shared" si="1"/>
        <v>0</v>
      </c>
      <c r="M9" s="3">
        <f t="shared" si="1"/>
        <v>0</v>
      </c>
      <c r="N9" s="9" t="s">
        <v>34</v>
      </c>
    </row>
    <row r="10" spans="1:14" x14ac:dyDescent="0.25">
      <c r="A10" s="11">
        <f>+A9+1</f>
        <v>3</v>
      </c>
      <c r="B10" s="42" t="str">
        <f>+'libro compras'!$AK$1</f>
        <v>281130</v>
      </c>
      <c r="C10" s="9" t="s">
        <v>0</v>
      </c>
      <c r="D10" s="9"/>
      <c r="E10" s="14" t="str">
        <f>+'libro compras'!S11</f>
        <v/>
      </c>
      <c r="F10" s="9"/>
      <c r="G10" s="4">
        <f>+'libro compras'!AI11</f>
        <v>0</v>
      </c>
      <c r="H10" s="9"/>
      <c r="I10" s="9" t="s">
        <v>33</v>
      </c>
      <c r="J10" s="9" t="str">
        <f>+CONCATENATE('libro compras'!C11," ",'libro compras'!D11)</f>
        <v xml:space="preserve"> </v>
      </c>
      <c r="K10" s="7">
        <f>+'libro compras'!F11</f>
        <v>0</v>
      </c>
      <c r="L10" s="3">
        <f>+'libro compras'!C11</f>
        <v>0</v>
      </c>
      <c r="M10" s="3">
        <f>+'libro compras'!D11</f>
        <v>0</v>
      </c>
      <c r="N10" s="9" t="s">
        <v>34</v>
      </c>
    </row>
    <row r="11" spans="1:14" x14ac:dyDescent="0.25">
      <c r="A11" s="11">
        <f>+A10</f>
        <v>3</v>
      </c>
      <c r="B11" s="43" t="str">
        <f>+'libro compras'!$AL$1</f>
        <v>401110</v>
      </c>
      <c r="C11" s="9" t="s">
        <v>0</v>
      </c>
      <c r="D11" s="9"/>
      <c r="E11" s="14" t="str">
        <f>+E10</f>
        <v/>
      </c>
      <c r="F11" s="9"/>
      <c r="G11" s="4">
        <f>+'libro compras'!AJ11</f>
        <v>0</v>
      </c>
      <c r="H11" s="9"/>
      <c r="I11" s="9" t="s">
        <v>33</v>
      </c>
      <c r="J11" s="9" t="str">
        <f t="shared" ref="J11:K13" si="2">+J10</f>
        <v xml:space="preserve"> </v>
      </c>
      <c r="K11" s="7">
        <f>+K10</f>
        <v>0</v>
      </c>
      <c r="L11" s="3">
        <f>+L10</f>
        <v>0</v>
      </c>
      <c r="M11" s="3">
        <f>+M10</f>
        <v>0</v>
      </c>
      <c r="N11" s="9" t="s">
        <v>34</v>
      </c>
    </row>
    <row r="12" spans="1:14" x14ac:dyDescent="0.25">
      <c r="A12" s="11">
        <f>+A11</f>
        <v>3</v>
      </c>
      <c r="B12" s="32">
        <f>+'libro compras'!P11</f>
        <v>0</v>
      </c>
      <c r="C12" s="9" t="s">
        <v>0</v>
      </c>
      <c r="D12" s="9"/>
      <c r="E12" s="14" t="str">
        <f>+E11</f>
        <v/>
      </c>
      <c r="F12" s="9"/>
      <c r="G12" s="4">
        <f>-'libro compras'!AK11</f>
        <v>0</v>
      </c>
      <c r="H12" s="9"/>
      <c r="I12" s="9" t="s">
        <v>2</v>
      </c>
      <c r="J12" s="9" t="str">
        <f t="shared" si="2"/>
        <v xml:space="preserve"> </v>
      </c>
      <c r="K12" s="7">
        <f t="shared" si="2"/>
        <v>0</v>
      </c>
      <c r="L12" s="3">
        <f>+L11</f>
        <v>0</v>
      </c>
      <c r="M12" s="3">
        <f>+M11</f>
        <v>0</v>
      </c>
      <c r="N12" s="9" t="s">
        <v>34</v>
      </c>
    </row>
    <row r="13" spans="1:14" x14ac:dyDescent="0.25">
      <c r="A13" s="11">
        <f>+A12</f>
        <v>3</v>
      </c>
      <c r="B13" s="34" t="e">
        <f>+VLOOKUP(B12,Hoja1!$A$1:$B$2,2,FALSE)</f>
        <v>#N/A</v>
      </c>
      <c r="C13" s="9" t="s">
        <v>0</v>
      </c>
      <c r="D13" s="9"/>
      <c r="E13" s="14" t="str">
        <f>+E12</f>
        <v/>
      </c>
      <c r="F13" s="9"/>
      <c r="G13" s="4">
        <f>-'libro compras'!I11</f>
        <v>0</v>
      </c>
      <c r="H13" s="9"/>
      <c r="I13" s="9" t="s">
        <v>2</v>
      </c>
      <c r="J13" s="9" t="str">
        <f t="shared" si="2"/>
        <v xml:space="preserve"> </v>
      </c>
      <c r="K13" s="7">
        <f t="shared" si="2"/>
        <v>0</v>
      </c>
      <c r="L13" s="3">
        <f>+L12</f>
        <v>0</v>
      </c>
      <c r="M13" s="3">
        <f>+M12</f>
        <v>0</v>
      </c>
      <c r="N13" s="9" t="s">
        <v>34</v>
      </c>
    </row>
    <row r="14" spans="1:14" x14ac:dyDescent="0.25">
      <c r="A14" s="11">
        <f>1+A10</f>
        <v>4</v>
      </c>
      <c r="B14" s="42" t="str">
        <f>+'libro compras'!$AK$1</f>
        <v>281130</v>
      </c>
      <c r="C14" s="9" t="s">
        <v>0</v>
      </c>
      <c r="D14" s="9"/>
      <c r="E14" s="14" t="str">
        <f>+'libro compras'!S15</f>
        <v/>
      </c>
      <c r="F14" s="9"/>
      <c r="G14" s="4">
        <f>+'libro compras'!AI15</f>
        <v>0</v>
      </c>
      <c r="H14" s="9"/>
      <c r="I14" s="9" t="s">
        <v>33</v>
      </c>
      <c r="J14" s="9" t="str">
        <f>+CONCATENATE('libro compras'!C15," ",'libro compras'!D15)</f>
        <v xml:space="preserve"> </v>
      </c>
      <c r="K14" s="7">
        <f>+K13</f>
        <v>0</v>
      </c>
      <c r="L14" s="3">
        <f>+'libro compras'!C15</f>
        <v>0</v>
      </c>
      <c r="M14" s="3">
        <f>+'libro compras'!D15</f>
        <v>0</v>
      </c>
      <c r="N14" s="9" t="s">
        <v>34</v>
      </c>
    </row>
    <row r="15" spans="1:14" x14ac:dyDescent="0.25">
      <c r="A15" s="11">
        <f>1+A11</f>
        <v>4</v>
      </c>
      <c r="B15" s="43" t="str">
        <f>+'libro compras'!$AL$1</f>
        <v>401110</v>
      </c>
      <c r="C15" s="9" t="s">
        <v>0</v>
      </c>
      <c r="D15" s="9"/>
      <c r="E15" s="14" t="str">
        <f>+E14</f>
        <v/>
      </c>
      <c r="F15" s="9"/>
      <c r="G15" s="4">
        <f>+'libro compras'!AJ15</f>
        <v>0</v>
      </c>
      <c r="H15" s="9"/>
      <c r="I15" s="9" t="s">
        <v>33</v>
      </c>
      <c r="J15" s="9" t="str">
        <f t="shared" ref="J15:K17" si="3">+J14</f>
        <v xml:space="preserve"> </v>
      </c>
      <c r="K15" s="7">
        <f t="shared" si="3"/>
        <v>0</v>
      </c>
      <c r="L15" s="3">
        <f t="shared" ref="L15:M17" si="4">+L14</f>
        <v>0</v>
      </c>
      <c r="M15" s="3">
        <f t="shared" si="4"/>
        <v>0</v>
      </c>
      <c r="N15" s="9" t="s">
        <v>34</v>
      </c>
    </row>
    <row r="16" spans="1:14" x14ac:dyDescent="0.25">
      <c r="A16" s="11">
        <f>1+A12</f>
        <v>4</v>
      </c>
      <c r="B16" s="32">
        <f>+'libro compras'!P15</f>
        <v>0</v>
      </c>
      <c r="C16" s="9" t="s">
        <v>0</v>
      </c>
      <c r="D16" s="9"/>
      <c r="E16" s="14" t="str">
        <f>+E15</f>
        <v/>
      </c>
      <c r="F16" s="9"/>
      <c r="G16" s="4">
        <f>-'libro compras'!AK15</f>
        <v>0</v>
      </c>
      <c r="H16" s="9"/>
      <c r="I16" s="9" t="s">
        <v>2</v>
      </c>
      <c r="J16" s="9" t="str">
        <f t="shared" si="3"/>
        <v xml:space="preserve"> </v>
      </c>
      <c r="K16" s="7">
        <f t="shared" si="3"/>
        <v>0</v>
      </c>
      <c r="L16" s="3">
        <f t="shared" si="4"/>
        <v>0</v>
      </c>
      <c r="M16" s="3">
        <f t="shared" si="4"/>
        <v>0</v>
      </c>
      <c r="N16" s="9" t="s">
        <v>34</v>
      </c>
    </row>
    <row r="17" spans="1:14" hidden="1" x14ac:dyDescent="0.25">
      <c r="A17" s="11">
        <f>1+A13</f>
        <v>4</v>
      </c>
      <c r="B17" s="34" t="e">
        <f>+VLOOKUP(B16,Hoja1!$A$1:$B$2,2,FALSE)</f>
        <v>#N/A</v>
      </c>
      <c r="C17" s="9" t="s">
        <v>0</v>
      </c>
      <c r="D17" s="9"/>
      <c r="E17" s="14" t="str">
        <f>+E16</f>
        <v/>
      </c>
      <c r="F17" s="9"/>
      <c r="G17" s="4">
        <f>-'libro compras'!I15</f>
        <v>0</v>
      </c>
      <c r="H17" s="9"/>
      <c r="I17" s="9" t="s">
        <v>2</v>
      </c>
      <c r="J17" s="9" t="str">
        <f t="shared" si="3"/>
        <v xml:space="preserve"> </v>
      </c>
      <c r="K17" s="7">
        <f t="shared" si="3"/>
        <v>0</v>
      </c>
      <c r="L17" s="3">
        <f t="shared" si="4"/>
        <v>0</v>
      </c>
      <c r="M17" s="3">
        <f t="shared" si="4"/>
        <v>0</v>
      </c>
      <c r="N17" s="9" t="s">
        <v>34</v>
      </c>
    </row>
    <row r="18" spans="1:14" x14ac:dyDescent="0.25">
      <c r="A18" s="11">
        <f>+A17+1</f>
        <v>5</v>
      </c>
      <c r="B18" s="42" t="str">
        <f>+'libro compras'!$AK$1</f>
        <v>281130</v>
      </c>
      <c r="C18" s="9" t="s">
        <v>0</v>
      </c>
      <c r="D18" s="9"/>
      <c r="E18" s="14" t="str">
        <f>+'libro compras'!S19</f>
        <v/>
      </c>
      <c r="F18" s="9"/>
      <c r="G18" s="4">
        <f>+'libro compras'!AI19</f>
        <v>0</v>
      </c>
      <c r="H18" s="9"/>
      <c r="I18" s="9" t="s">
        <v>33</v>
      </c>
      <c r="J18" s="9" t="str">
        <f>+CONCATENATE('libro compras'!C19," ",'libro compras'!D19)</f>
        <v xml:space="preserve"> </v>
      </c>
      <c r="K18" s="7">
        <f>+'libro compras'!F19</f>
        <v>0</v>
      </c>
      <c r="L18" s="3">
        <f>+'libro compras'!C19</f>
        <v>0</v>
      </c>
      <c r="M18" s="3">
        <f>+'libro compras'!D19</f>
        <v>0</v>
      </c>
      <c r="N18" s="9" t="s">
        <v>34</v>
      </c>
    </row>
    <row r="19" spans="1:14" x14ac:dyDescent="0.25">
      <c r="A19" s="11">
        <f>+A18</f>
        <v>5</v>
      </c>
      <c r="B19" s="43" t="str">
        <f>+'libro compras'!$AL$1</f>
        <v>401110</v>
      </c>
      <c r="C19" s="9" t="s">
        <v>0</v>
      </c>
      <c r="D19" s="9"/>
      <c r="E19" s="14" t="str">
        <f>+E18</f>
        <v/>
      </c>
      <c r="F19" s="9"/>
      <c r="G19" s="4">
        <f>+'libro compras'!AJ19</f>
        <v>0</v>
      </c>
      <c r="H19" s="9"/>
      <c r="I19" s="9" t="s">
        <v>33</v>
      </c>
      <c r="J19" s="9" t="str">
        <f t="shared" ref="J19:K21" si="5">+J18</f>
        <v xml:space="preserve"> </v>
      </c>
      <c r="K19" s="7">
        <f>+K18</f>
        <v>0</v>
      </c>
      <c r="L19" s="3">
        <f>+L18</f>
        <v>0</v>
      </c>
      <c r="M19" s="3">
        <f>+M18</f>
        <v>0</v>
      </c>
      <c r="N19" s="9" t="s">
        <v>34</v>
      </c>
    </row>
    <row r="20" spans="1:14" x14ac:dyDescent="0.25">
      <c r="A20" s="11">
        <f>+A19</f>
        <v>5</v>
      </c>
      <c r="B20" s="32">
        <f>+'libro compras'!P19</f>
        <v>0</v>
      </c>
      <c r="C20" s="9" t="s">
        <v>0</v>
      </c>
      <c r="D20" s="9"/>
      <c r="E20" s="14" t="str">
        <f>+E19</f>
        <v/>
      </c>
      <c r="F20" s="9"/>
      <c r="G20" s="4">
        <f>-'libro compras'!AK19</f>
        <v>0</v>
      </c>
      <c r="H20" s="9"/>
      <c r="I20" s="9" t="s">
        <v>2</v>
      </c>
      <c r="J20" s="9" t="str">
        <f t="shared" si="5"/>
        <v xml:space="preserve"> </v>
      </c>
      <c r="K20" s="7">
        <f t="shared" si="5"/>
        <v>0</v>
      </c>
      <c r="L20" s="3">
        <f>+L19</f>
        <v>0</v>
      </c>
      <c r="M20" s="3">
        <f>+M19</f>
        <v>0</v>
      </c>
      <c r="N20" s="9" t="s">
        <v>34</v>
      </c>
    </row>
    <row r="21" spans="1:14" x14ac:dyDescent="0.25">
      <c r="A21" s="11">
        <f>+A20</f>
        <v>5</v>
      </c>
      <c r="B21" s="34" t="e">
        <f>+VLOOKUP(B20,Hoja1!$A$1:$B$2,2,FALSE)</f>
        <v>#N/A</v>
      </c>
      <c r="C21" s="9" t="s">
        <v>0</v>
      </c>
      <c r="D21" s="9"/>
      <c r="E21" s="14" t="str">
        <f>+E20</f>
        <v/>
      </c>
      <c r="F21" s="9"/>
      <c r="G21" s="4">
        <f>-'libro compras'!I19</f>
        <v>0</v>
      </c>
      <c r="H21" s="9"/>
      <c r="I21" s="9" t="s">
        <v>2</v>
      </c>
      <c r="J21" s="9" t="str">
        <f t="shared" si="5"/>
        <v xml:space="preserve"> </v>
      </c>
      <c r="K21" s="7">
        <f t="shared" si="5"/>
        <v>0</v>
      </c>
      <c r="L21" s="3">
        <f>+L20</f>
        <v>0</v>
      </c>
      <c r="M21" s="3">
        <f>+M20</f>
        <v>0</v>
      </c>
      <c r="N21" s="9" t="s">
        <v>34</v>
      </c>
    </row>
    <row r="22" spans="1:14" x14ac:dyDescent="0.25">
      <c r="A22" s="11">
        <f t="shared" ref="A22:A85" si="6">1+A18</f>
        <v>6</v>
      </c>
      <c r="B22" s="42" t="str">
        <f>+'libro compras'!$AK$1</f>
        <v>281130</v>
      </c>
      <c r="C22" s="9" t="s">
        <v>0</v>
      </c>
      <c r="D22" s="9"/>
      <c r="E22" s="14" t="str">
        <f>+'libro compras'!S23</f>
        <v/>
      </c>
      <c r="F22" s="9"/>
      <c r="G22" s="4">
        <f>+'libro compras'!AI23</f>
        <v>0</v>
      </c>
      <c r="H22" s="9"/>
      <c r="I22" s="9" t="s">
        <v>33</v>
      </c>
      <c r="J22" s="9" t="str">
        <f>+CONCATENATE('libro compras'!C23," ",'libro compras'!D23)</f>
        <v xml:space="preserve"> </v>
      </c>
      <c r="K22" s="7">
        <f>+K21</f>
        <v>0</v>
      </c>
      <c r="L22" s="3">
        <f>+'libro compras'!C23</f>
        <v>0</v>
      </c>
      <c r="M22" s="3">
        <f>+'libro compras'!D23</f>
        <v>0</v>
      </c>
      <c r="N22" s="9" t="s">
        <v>34</v>
      </c>
    </row>
    <row r="23" spans="1:14" x14ac:dyDescent="0.25">
      <c r="A23" s="11">
        <f t="shared" si="6"/>
        <v>6</v>
      </c>
      <c r="B23" s="43" t="str">
        <f>+'libro compras'!$AL$1</f>
        <v>401110</v>
      </c>
      <c r="C23" s="9" t="s">
        <v>0</v>
      </c>
      <c r="D23" s="9"/>
      <c r="E23" s="14" t="str">
        <f>+E22</f>
        <v/>
      </c>
      <c r="F23" s="9"/>
      <c r="G23" s="4">
        <f>+'libro compras'!AJ23</f>
        <v>0</v>
      </c>
      <c r="H23" s="9"/>
      <c r="I23" s="9" t="s">
        <v>33</v>
      </c>
      <c r="J23" s="9" t="str">
        <f t="shared" ref="J23:K25" si="7">+J22</f>
        <v xml:space="preserve"> </v>
      </c>
      <c r="K23" s="7">
        <f t="shared" si="7"/>
        <v>0</v>
      </c>
      <c r="L23" s="3">
        <f t="shared" ref="L23:M25" si="8">+L22</f>
        <v>0</v>
      </c>
      <c r="M23" s="3">
        <f t="shared" si="8"/>
        <v>0</v>
      </c>
      <c r="N23" s="9" t="s">
        <v>34</v>
      </c>
    </row>
    <row r="24" spans="1:14" x14ac:dyDescent="0.25">
      <c r="A24" s="11">
        <f t="shared" si="6"/>
        <v>6</v>
      </c>
      <c r="B24" s="32">
        <f>+'libro compras'!P23</f>
        <v>0</v>
      </c>
      <c r="C24" s="9" t="s">
        <v>0</v>
      </c>
      <c r="D24" s="9"/>
      <c r="E24" s="14" t="str">
        <f>+E23</f>
        <v/>
      </c>
      <c r="F24" s="9"/>
      <c r="G24" s="4">
        <f>-'libro compras'!AK23</f>
        <v>0</v>
      </c>
      <c r="H24" s="9"/>
      <c r="I24" s="9" t="s">
        <v>2</v>
      </c>
      <c r="J24" s="9" t="str">
        <f t="shared" si="7"/>
        <v xml:space="preserve"> </v>
      </c>
      <c r="K24" s="7">
        <f t="shared" si="7"/>
        <v>0</v>
      </c>
      <c r="L24" s="3">
        <f t="shared" si="8"/>
        <v>0</v>
      </c>
      <c r="M24" s="3">
        <f t="shared" si="8"/>
        <v>0</v>
      </c>
      <c r="N24" s="9" t="s">
        <v>34</v>
      </c>
    </row>
    <row r="25" spans="1:14" x14ac:dyDescent="0.25">
      <c r="A25" s="11">
        <f t="shared" si="6"/>
        <v>6</v>
      </c>
      <c r="B25" s="34" t="e">
        <f>+VLOOKUP(B24,Hoja1!$A$1:$B$2,2,FALSE)</f>
        <v>#N/A</v>
      </c>
      <c r="C25" s="9" t="s">
        <v>0</v>
      </c>
      <c r="D25" s="9"/>
      <c r="E25" s="14" t="str">
        <f>+E24</f>
        <v/>
      </c>
      <c r="F25" s="9"/>
      <c r="G25" s="4">
        <f>-'libro compras'!I23</f>
        <v>0</v>
      </c>
      <c r="H25" s="9"/>
      <c r="I25" s="9" t="s">
        <v>2</v>
      </c>
      <c r="J25" s="9" t="str">
        <f t="shared" si="7"/>
        <v xml:space="preserve"> </v>
      </c>
      <c r="K25" s="7">
        <f t="shared" si="7"/>
        <v>0</v>
      </c>
      <c r="L25" s="3">
        <f t="shared" si="8"/>
        <v>0</v>
      </c>
      <c r="M25" s="3">
        <f t="shared" si="8"/>
        <v>0</v>
      </c>
      <c r="N25" s="9" t="s">
        <v>34</v>
      </c>
    </row>
    <row r="26" spans="1:14" x14ac:dyDescent="0.25">
      <c r="A26" s="11">
        <f t="shared" si="6"/>
        <v>7</v>
      </c>
      <c r="B26" s="42" t="str">
        <f>+'libro compras'!$AK$1</f>
        <v>281130</v>
      </c>
      <c r="C26" s="9" t="s">
        <v>0</v>
      </c>
      <c r="D26" s="9"/>
      <c r="E26" s="14" t="str">
        <f>+'libro compras'!S27</f>
        <v/>
      </c>
      <c r="F26" s="9"/>
      <c r="G26" s="4">
        <f>+'libro compras'!AI27</f>
        <v>0</v>
      </c>
      <c r="H26" s="9"/>
      <c r="I26" s="9" t="s">
        <v>33</v>
      </c>
      <c r="J26" s="9" t="str">
        <f>+CONCATENATE('libro compras'!C27," ",'libro compras'!D27)</f>
        <v xml:space="preserve"> </v>
      </c>
      <c r="K26" s="7">
        <f t="shared" ref="K26" si="9">+K25</f>
        <v>0</v>
      </c>
      <c r="L26" s="3">
        <f>+'libro compras'!C27</f>
        <v>0</v>
      </c>
      <c r="M26" s="3">
        <f>+'libro compras'!D27</f>
        <v>0</v>
      </c>
      <c r="N26" s="9" t="s">
        <v>34</v>
      </c>
    </row>
    <row r="27" spans="1:14" x14ac:dyDescent="0.25">
      <c r="A27" s="11">
        <f t="shared" si="6"/>
        <v>7</v>
      </c>
      <c r="B27" s="43" t="str">
        <f>+'libro compras'!$AL$1</f>
        <v>401110</v>
      </c>
      <c r="C27" s="9" t="s">
        <v>0</v>
      </c>
      <c r="D27" s="9"/>
      <c r="E27" s="14" t="str">
        <f t="shared" ref="E27:E29" si="10">+E26</f>
        <v/>
      </c>
      <c r="F27" s="9"/>
      <c r="G27" s="4">
        <f>+'libro compras'!AJ27</f>
        <v>0</v>
      </c>
      <c r="H27" s="9"/>
      <c r="I27" s="9" t="s">
        <v>33</v>
      </c>
      <c r="J27" s="9" t="str">
        <f t="shared" ref="J27:K27" si="11">+J26</f>
        <v xml:space="preserve"> </v>
      </c>
      <c r="K27" s="7">
        <f t="shared" si="11"/>
        <v>0</v>
      </c>
      <c r="L27" s="3">
        <f t="shared" ref="L27:L29" si="12">+L26</f>
        <v>0</v>
      </c>
      <c r="M27" s="3">
        <f t="shared" ref="M27:M29" si="13">+M26</f>
        <v>0</v>
      </c>
      <c r="N27" s="9" t="s">
        <v>34</v>
      </c>
    </row>
    <row r="28" spans="1:14" x14ac:dyDescent="0.25">
      <c r="A28" s="11">
        <f t="shared" si="6"/>
        <v>7</v>
      </c>
      <c r="B28" s="32">
        <f>+'libro compras'!P27</f>
        <v>0</v>
      </c>
      <c r="C28" s="9" t="s">
        <v>0</v>
      </c>
      <c r="D28" s="9"/>
      <c r="E28" s="14" t="str">
        <f t="shared" si="10"/>
        <v/>
      </c>
      <c r="F28" s="9"/>
      <c r="G28" s="4">
        <f>-'libro compras'!AK27</f>
        <v>0</v>
      </c>
      <c r="H28" s="9"/>
      <c r="I28" s="9" t="s">
        <v>2</v>
      </c>
      <c r="J28" s="9" t="str">
        <f t="shared" ref="J28:K28" si="14">+J27</f>
        <v xml:space="preserve"> </v>
      </c>
      <c r="K28" s="7">
        <f t="shared" si="14"/>
        <v>0</v>
      </c>
      <c r="L28" s="3">
        <f t="shared" si="12"/>
        <v>0</v>
      </c>
      <c r="M28" s="3">
        <f t="shared" si="13"/>
        <v>0</v>
      </c>
      <c r="N28" s="9" t="s">
        <v>34</v>
      </c>
    </row>
    <row r="29" spans="1:14" x14ac:dyDescent="0.25">
      <c r="A29" s="11">
        <f t="shared" si="6"/>
        <v>7</v>
      </c>
      <c r="B29" s="34" t="e">
        <f>+VLOOKUP(B28,Hoja1!$A$1:$B$2,2,FALSE)</f>
        <v>#N/A</v>
      </c>
      <c r="C29" s="9" t="s">
        <v>0</v>
      </c>
      <c r="D29" s="9"/>
      <c r="E29" s="14" t="str">
        <f t="shared" si="10"/>
        <v/>
      </c>
      <c r="F29" s="9"/>
      <c r="G29" s="4">
        <f>-'libro compras'!I27</f>
        <v>0</v>
      </c>
      <c r="H29" s="9"/>
      <c r="I29" s="9" t="s">
        <v>2</v>
      </c>
      <c r="J29" s="9" t="str">
        <f t="shared" ref="J29:K29" si="15">+J28</f>
        <v xml:space="preserve"> </v>
      </c>
      <c r="K29" s="7">
        <f t="shared" si="15"/>
        <v>0</v>
      </c>
      <c r="L29" s="3">
        <f t="shared" si="12"/>
        <v>0</v>
      </c>
      <c r="M29" s="3">
        <f t="shared" si="13"/>
        <v>0</v>
      </c>
      <c r="N29" s="9" t="s">
        <v>34</v>
      </c>
    </row>
    <row r="30" spans="1:14" x14ac:dyDescent="0.25">
      <c r="A30" s="11">
        <f t="shared" ref="A30" si="16">+A29+1</f>
        <v>8</v>
      </c>
      <c r="B30" s="42" t="str">
        <f>+'libro compras'!$AK$1</f>
        <v>281130</v>
      </c>
      <c r="C30" s="9" t="s">
        <v>0</v>
      </c>
      <c r="D30" s="9"/>
      <c r="E30" s="14" t="str">
        <f>+'libro compras'!S31</f>
        <v/>
      </c>
      <c r="F30" s="9"/>
      <c r="G30" s="4">
        <f>+'libro compras'!AI31</f>
        <v>0</v>
      </c>
      <c r="H30" s="9"/>
      <c r="I30" s="9" t="s">
        <v>33</v>
      </c>
      <c r="J30" s="9" t="str">
        <f>+CONCATENATE('libro compras'!C31," ",'libro compras'!D31)</f>
        <v xml:space="preserve"> </v>
      </c>
      <c r="K30" s="7">
        <f>+'libro compras'!F31</f>
        <v>0</v>
      </c>
      <c r="L30" s="3">
        <f>+'libro compras'!C31</f>
        <v>0</v>
      </c>
      <c r="M30" s="3">
        <f>+'libro compras'!D31</f>
        <v>0</v>
      </c>
      <c r="N30" s="9" t="s">
        <v>34</v>
      </c>
    </row>
    <row r="31" spans="1:14" x14ac:dyDescent="0.25">
      <c r="A31" s="11">
        <f t="shared" ref="A31:A33" si="17">+A30</f>
        <v>8</v>
      </c>
      <c r="B31" s="43" t="str">
        <f>+'libro compras'!$AL$1</f>
        <v>401110</v>
      </c>
      <c r="C31" s="9" t="s">
        <v>0</v>
      </c>
      <c r="D31" s="9"/>
      <c r="E31" s="14" t="str">
        <f t="shared" ref="E31:E33" si="18">+E30</f>
        <v/>
      </c>
      <c r="F31" s="9"/>
      <c r="G31" s="4">
        <f>+'libro compras'!AJ31</f>
        <v>0</v>
      </c>
      <c r="H31" s="9"/>
      <c r="I31" s="9" t="s">
        <v>33</v>
      </c>
      <c r="J31" s="9" t="str">
        <f t="shared" ref="J31:M31" si="19">+J30</f>
        <v xml:space="preserve"> </v>
      </c>
      <c r="K31" s="7">
        <f t="shared" si="19"/>
        <v>0</v>
      </c>
      <c r="L31" s="3">
        <f t="shared" si="19"/>
        <v>0</v>
      </c>
      <c r="M31" s="3">
        <f t="shared" si="19"/>
        <v>0</v>
      </c>
      <c r="N31" s="9" t="s">
        <v>34</v>
      </c>
    </row>
    <row r="32" spans="1:14" x14ac:dyDescent="0.25">
      <c r="A32" s="11">
        <f t="shared" si="17"/>
        <v>8</v>
      </c>
      <c r="B32" s="32">
        <f>+'libro compras'!P31</f>
        <v>0</v>
      </c>
      <c r="C32" s="9" t="s">
        <v>0</v>
      </c>
      <c r="D32" s="9"/>
      <c r="E32" s="14" t="str">
        <f t="shared" si="18"/>
        <v/>
      </c>
      <c r="F32" s="9"/>
      <c r="G32" s="4">
        <f>-'libro compras'!AK31</f>
        <v>0</v>
      </c>
      <c r="H32" s="9"/>
      <c r="I32" s="9" t="s">
        <v>2</v>
      </c>
      <c r="J32" s="9" t="str">
        <f t="shared" ref="J32:M32" si="20">+J31</f>
        <v xml:space="preserve"> </v>
      </c>
      <c r="K32" s="7">
        <f t="shared" si="20"/>
        <v>0</v>
      </c>
      <c r="L32" s="3">
        <f t="shared" si="20"/>
        <v>0</v>
      </c>
      <c r="M32" s="3">
        <f t="shared" si="20"/>
        <v>0</v>
      </c>
      <c r="N32" s="9" t="s">
        <v>34</v>
      </c>
    </row>
    <row r="33" spans="1:14" x14ac:dyDescent="0.25">
      <c r="A33" s="11">
        <f t="shared" si="17"/>
        <v>8</v>
      </c>
      <c r="B33" s="34" t="e">
        <f>+VLOOKUP(B32,Hoja1!$A$1:$B$2,2,FALSE)</f>
        <v>#N/A</v>
      </c>
      <c r="C33" s="9" t="s">
        <v>0</v>
      </c>
      <c r="D33" s="9"/>
      <c r="E33" s="14" t="str">
        <f t="shared" si="18"/>
        <v/>
      </c>
      <c r="F33" s="9"/>
      <c r="G33" s="4">
        <f>-'libro compras'!I31</f>
        <v>0</v>
      </c>
      <c r="H33" s="9"/>
      <c r="I33" s="9" t="s">
        <v>2</v>
      </c>
      <c r="J33" s="9" t="str">
        <f t="shared" ref="J33:M33" si="21">+J32</f>
        <v xml:space="preserve"> </v>
      </c>
      <c r="K33" s="7">
        <f t="shared" si="21"/>
        <v>0</v>
      </c>
      <c r="L33" s="3">
        <f t="shared" si="21"/>
        <v>0</v>
      </c>
      <c r="M33" s="3">
        <f t="shared" si="21"/>
        <v>0</v>
      </c>
      <c r="N33" s="9" t="s">
        <v>34</v>
      </c>
    </row>
    <row r="34" spans="1:14" x14ac:dyDescent="0.25">
      <c r="A34" s="11">
        <f t="shared" si="6"/>
        <v>9</v>
      </c>
      <c r="B34" s="42" t="str">
        <f>+'libro compras'!$AK$1</f>
        <v>281130</v>
      </c>
      <c r="C34" s="9" t="s">
        <v>0</v>
      </c>
      <c r="D34" s="9"/>
      <c r="E34" s="14" t="str">
        <f>+'libro compras'!S35</f>
        <v/>
      </c>
      <c r="F34" s="9"/>
      <c r="G34" s="4">
        <f>+'libro compras'!AI35</f>
        <v>0</v>
      </c>
      <c r="H34" s="9"/>
      <c r="I34" s="9" t="s">
        <v>33</v>
      </c>
      <c r="J34" s="9" t="str">
        <f>+CONCATENATE('libro compras'!C35," ",'libro compras'!D35)</f>
        <v xml:space="preserve"> </v>
      </c>
      <c r="K34" s="7">
        <f t="shared" ref="K34" si="22">+K33</f>
        <v>0</v>
      </c>
      <c r="L34" s="3">
        <f>+'libro compras'!C35</f>
        <v>0</v>
      </c>
      <c r="M34" s="3">
        <f>+'libro compras'!D35</f>
        <v>0</v>
      </c>
      <c r="N34" s="9" t="s">
        <v>34</v>
      </c>
    </row>
    <row r="35" spans="1:14" x14ac:dyDescent="0.25">
      <c r="A35" s="11">
        <f t="shared" si="6"/>
        <v>9</v>
      </c>
      <c r="B35" s="43" t="str">
        <f>+'libro compras'!$AL$1</f>
        <v>401110</v>
      </c>
      <c r="C35" s="9" t="s">
        <v>0</v>
      </c>
      <c r="D35" s="9"/>
      <c r="E35" s="14" t="str">
        <f t="shared" ref="E35:E37" si="23">+E34</f>
        <v/>
      </c>
      <c r="F35" s="9"/>
      <c r="G35" s="4">
        <f>+'libro compras'!AJ35</f>
        <v>0</v>
      </c>
      <c r="H35" s="9"/>
      <c r="I35" s="9" t="s">
        <v>33</v>
      </c>
      <c r="J35" s="9" t="str">
        <f t="shared" ref="J35:K35" si="24">+J34</f>
        <v xml:space="preserve"> </v>
      </c>
      <c r="K35" s="7">
        <f t="shared" si="24"/>
        <v>0</v>
      </c>
      <c r="L35" s="3">
        <f t="shared" ref="L35:L37" si="25">+L34</f>
        <v>0</v>
      </c>
      <c r="M35" s="3">
        <f t="shared" ref="M35:M37" si="26">+M34</f>
        <v>0</v>
      </c>
      <c r="N35" s="9" t="s">
        <v>34</v>
      </c>
    </row>
    <row r="36" spans="1:14" x14ac:dyDescent="0.25">
      <c r="A36" s="11">
        <f t="shared" si="6"/>
        <v>9</v>
      </c>
      <c r="B36" s="32">
        <f>+'libro compras'!P35</f>
        <v>0</v>
      </c>
      <c r="C36" s="9" t="s">
        <v>0</v>
      </c>
      <c r="D36" s="9"/>
      <c r="E36" s="14" t="str">
        <f t="shared" si="23"/>
        <v/>
      </c>
      <c r="F36" s="9"/>
      <c r="G36" s="4">
        <f>-'libro compras'!AK35</f>
        <v>0</v>
      </c>
      <c r="H36" s="9"/>
      <c r="I36" s="9" t="s">
        <v>2</v>
      </c>
      <c r="J36" s="9" t="str">
        <f t="shared" ref="J36:K36" si="27">+J35</f>
        <v xml:space="preserve"> </v>
      </c>
      <c r="K36" s="7">
        <f t="shared" si="27"/>
        <v>0</v>
      </c>
      <c r="L36" s="3">
        <f t="shared" si="25"/>
        <v>0</v>
      </c>
      <c r="M36" s="3">
        <f t="shared" si="26"/>
        <v>0</v>
      </c>
      <c r="N36" s="9" t="s">
        <v>34</v>
      </c>
    </row>
    <row r="37" spans="1:14" x14ac:dyDescent="0.25">
      <c r="A37" s="11">
        <f t="shared" si="6"/>
        <v>9</v>
      </c>
      <c r="B37" s="34" t="e">
        <f>+VLOOKUP(B36,Hoja1!$A$1:$B$2,2,FALSE)</f>
        <v>#N/A</v>
      </c>
      <c r="C37" s="9" t="s">
        <v>0</v>
      </c>
      <c r="D37" s="9"/>
      <c r="E37" s="14" t="str">
        <f t="shared" si="23"/>
        <v/>
      </c>
      <c r="F37" s="9"/>
      <c r="G37" s="4">
        <f>-'libro compras'!I35</f>
        <v>0</v>
      </c>
      <c r="H37" s="9"/>
      <c r="I37" s="9" t="s">
        <v>2</v>
      </c>
      <c r="J37" s="9" t="str">
        <f t="shared" ref="J37:K37" si="28">+J36</f>
        <v xml:space="preserve"> </v>
      </c>
      <c r="K37" s="7">
        <f t="shared" si="28"/>
        <v>0</v>
      </c>
      <c r="L37" s="3">
        <f t="shared" si="25"/>
        <v>0</v>
      </c>
      <c r="M37" s="3">
        <f t="shared" si="26"/>
        <v>0</v>
      </c>
      <c r="N37" s="9" t="s">
        <v>34</v>
      </c>
    </row>
    <row r="38" spans="1:14" x14ac:dyDescent="0.25">
      <c r="A38" s="11">
        <f t="shared" si="6"/>
        <v>10</v>
      </c>
      <c r="B38" s="42" t="str">
        <f>+'libro compras'!$AK$1</f>
        <v>281130</v>
      </c>
      <c r="C38" s="9" t="s">
        <v>0</v>
      </c>
      <c r="D38" s="9"/>
      <c r="E38" s="14" t="str">
        <f>+'libro compras'!S39</f>
        <v/>
      </c>
      <c r="F38" s="9"/>
      <c r="G38" s="4">
        <f>+'libro compras'!AI39</f>
        <v>0</v>
      </c>
      <c r="H38" s="9"/>
      <c r="I38" s="9" t="s">
        <v>33</v>
      </c>
      <c r="J38" s="9" t="str">
        <f>+CONCATENATE('libro compras'!C39," ",'libro compras'!D39)</f>
        <v xml:space="preserve"> </v>
      </c>
      <c r="K38" s="7">
        <f t="shared" ref="K38" si="29">+K37</f>
        <v>0</v>
      </c>
      <c r="L38" s="3">
        <f>+'libro compras'!C39</f>
        <v>0</v>
      </c>
      <c r="M38" s="3">
        <f>+'libro compras'!D39</f>
        <v>0</v>
      </c>
      <c r="N38" s="9" t="s">
        <v>34</v>
      </c>
    </row>
    <row r="39" spans="1:14" x14ac:dyDescent="0.25">
      <c r="A39" s="11">
        <f t="shared" si="6"/>
        <v>10</v>
      </c>
      <c r="B39" s="43" t="str">
        <f>+'libro compras'!$AL$1</f>
        <v>401110</v>
      </c>
      <c r="C39" s="9" t="s">
        <v>0</v>
      </c>
      <c r="D39" s="9"/>
      <c r="E39" s="14" t="str">
        <f t="shared" ref="E39:E41" si="30">+E38</f>
        <v/>
      </c>
      <c r="F39" s="9"/>
      <c r="G39" s="4">
        <f>+'libro compras'!AJ39</f>
        <v>0</v>
      </c>
      <c r="H39" s="9"/>
      <c r="I39" s="9" t="s">
        <v>33</v>
      </c>
      <c r="J39" s="9" t="str">
        <f t="shared" ref="J39:K39" si="31">+J38</f>
        <v xml:space="preserve"> </v>
      </c>
      <c r="K39" s="7">
        <f t="shared" si="31"/>
        <v>0</v>
      </c>
      <c r="L39" s="3">
        <f t="shared" ref="L39:L41" si="32">+L38</f>
        <v>0</v>
      </c>
      <c r="M39" s="3">
        <f t="shared" ref="M39:M41" si="33">+M38</f>
        <v>0</v>
      </c>
      <c r="N39" s="9" t="s">
        <v>34</v>
      </c>
    </row>
    <row r="40" spans="1:14" x14ac:dyDescent="0.25">
      <c r="A40" s="11">
        <f t="shared" si="6"/>
        <v>10</v>
      </c>
      <c r="B40" s="32">
        <f>+'libro compras'!P39</f>
        <v>0</v>
      </c>
      <c r="C40" s="9" t="s">
        <v>0</v>
      </c>
      <c r="D40" s="9"/>
      <c r="E40" s="14" t="str">
        <f t="shared" si="30"/>
        <v/>
      </c>
      <c r="F40" s="9"/>
      <c r="G40" s="4">
        <f>-'libro compras'!AK39</f>
        <v>0</v>
      </c>
      <c r="H40" s="9"/>
      <c r="I40" s="9" t="s">
        <v>2</v>
      </c>
      <c r="J40" s="9" t="str">
        <f t="shared" ref="J40:K40" si="34">+J39</f>
        <v xml:space="preserve"> </v>
      </c>
      <c r="K40" s="7">
        <f t="shared" si="34"/>
        <v>0</v>
      </c>
      <c r="L40" s="3">
        <f t="shared" si="32"/>
        <v>0</v>
      </c>
      <c r="M40" s="3">
        <f t="shared" si="33"/>
        <v>0</v>
      </c>
      <c r="N40" s="9" t="s">
        <v>34</v>
      </c>
    </row>
    <row r="41" spans="1:14" hidden="1" x14ac:dyDescent="0.25">
      <c r="A41" s="11">
        <f t="shared" si="6"/>
        <v>10</v>
      </c>
      <c r="B41" s="34" t="e">
        <f>+VLOOKUP(B40,Hoja1!$A$1:$B$2,2,FALSE)</f>
        <v>#N/A</v>
      </c>
      <c r="C41" s="9" t="s">
        <v>0</v>
      </c>
      <c r="D41" s="9"/>
      <c r="E41" s="14" t="str">
        <f t="shared" si="30"/>
        <v/>
      </c>
      <c r="F41" s="9"/>
      <c r="G41" s="4">
        <f>-'libro compras'!I39</f>
        <v>0</v>
      </c>
      <c r="H41" s="9"/>
      <c r="I41" s="9" t="s">
        <v>2</v>
      </c>
      <c r="J41" s="9" t="str">
        <f t="shared" ref="J41:K41" si="35">+J40</f>
        <v xml:space="preserve"> </v>
      </c>
      <c r="K41" s="7">
        <f t="shared" si="35"/>
        <v>0</v>
      </c>
      <c r="L41" s="3">
        <f t="shared" si="32"/>
        <v>0</v>
      </c>
      <c r="M41" s="3">
        <f t="shared" si="33"/>
        <v>0</v>
      </c>
      <c r="N41" s="9" t="s">
        <v>34</v>
      </c>
    </row>
    <row r="42" spans="1:14" x14ac:dyDescent="0.25">
      <c r="A42" s="11">
        <f t="shared" ref="A42" si="36">+A41+1</f>
        <v>11</v>
      </c>
      <c r="B42" s="42" t="str">
        <f>+'libro compras'!$AK$1</f>
        <v>281130</v>
      </c>
      <c r="C42" s="9" t="s">
        <v>0</v>
      </c>
      <c r="D42" s="9"/>
      <c r="E42" s="14" t="str">
        <f>+'libro compras'!S43</f>
        <v/>
      </c>
      <c r="F42" s="9"/>
      <c r="G42" s="4">
        <f>+'libro compras'!AI43</f>
        <v>0</v>
      </c>
      <c r="H42" s="9"/>
      <c r="I42" s="9" t="s">
        <v>33</v>
      </c>
      <c r="J42" s="9" t="str">
        <f>+CONCATENATE('libro compras'!C43," ",'libro compras'!D43)</f>
        <v xml:space="preserve"> </v>
      </c>
      <c r="K42" s="7">
        <f>+'libro compras'!F43</f>
        <v>0</v>
      </c>
      <c r="L42" s="3">
        <f>+'libro compras'!C43</f>
        <v>0</v>
      </c>
      <c r="M42" s="3">
        <f>+'libro compras'!D43</f>
        <v>0</v>
      </c>
      <c r="N42" s="9" t="s">
        <v>34</v>
      </c>
    </row>
    <row r="43" spans="1:14" x14ac:dyDescent="0.25">
      <c r="A43" s="11">
        <f t="shared" ref="A43:A45" si="37">+A42</f>
        <v>11</v>
      </c>
      <c r="B43" s="43" t="str">
        <f>+'libro compras'!$AL$1</f>
        <v>401110</v>
      </c>
      <c r="C43" s="9" t="s">
        <v>0</v>
      </c>
      <c r="D43" s="9"/>
      <c r="E43" s="14" t="str">
        <f t="shared" ref="E43:E45" si="38">+E42</f>
        <v/>
      </c>
      <c r="F43" s="9"/>
      <c r="G43" s="4">
        <f>+'libro compras'!AJ43</f>
        <v>0</v>
      </c>
      <c r="H43" s="9"/>
      <c r="I43" s="9" t="s">
        <v>33</v>
      </c>
      <c r="J43" s="9" t="str">
        <f t="shared" ref="J43:M43" si="39">+J42</f>
        <v xml:space="preserve"> </v>
      </c>
      <c r="K43" s="7">
        <f t="shared" si="39"/>
        <v>0</v>
      </c>
      <c r="L43" s="3">
        <f t="shared" si="39"/>
        <v>0</v>
      </c>
      <c r="M43" s="3">
        <f t="shared" si="39"/>
        <v>0</v>
      </c>
      <c r="N43" s="9" t="s">
        <v>34</v>
      </c>
    </row>
    <row r="44" spans="1:14" x14ac:dyDescent="0.25">
      <c r="A44" s="11">
        <f t="shared" si="37"/>
        <v>11</v>
      </c>
      <c r="B44" s="32">
        <f>+'libro compras'!P43</f>
        <v>0</v>
      </c>
      <c r="C44" s="9" t="s">
        <v>0</v>
      </c>
      <c r="D44" s="9"/>
      <c r="E44" s="14" t="str">
        <f t="shared" si="38"/>
        <v/>
      </c>
      <c r="F44" s="9"/>
      <c r="G44" s="4">
        <f>-'libro compras'!AK43</f>
        <v>0</v>
      </c>
      <c r="H44" s="9"/>
      <c r="I44" s="9" t="s">
        <v>2</v>
      </c>
      <c r="J44" s="9" t="str">
        <f t="shared" ref="J44:M44" si="40">+J43</f>
        <v xml:space="preserve"> </v>
      </c>
      <c r="K44" s="7">
        <f t="shared" si="40"/>
        <v>0</v>
      </c>
      <c r="L44" s="3">
        <f t="shared" si="40"/>
        <v>0</v>
      </c>
      <c r="M44" s="3">
        <f t="shared" si="40"/>
        <v>0</v>
      </c>
      <c r="N44" s="9" t="s">
        <v>34</v>
      </c>
    </row>
    <row r="45" spans="1:14" hidden="1" x14ac:dyDescent="0.25">
      <c r="A45" s="11">
        <f t="shared" si="37"/>
        <v>11</v>
      </c>
      <c r="B45" s="34" t="e">
        <f>+VLOOKUP(B44,Hoja1!$A$1:$B$2,2,FALSE)</f>
        <v>#N/A</v>
      </c>
      <c r="C45" s="9" t="s">
        <v>0</v>
      </c>
      <c r="D45" s="9"/>
      <c r="E45" s="14" t="str">
        <f t="shared" si="38"/>
        <v/>
      </c>
      <c r="F45" s="9"/>
      <c r="G45" s="4">
        <f>-'libro compras'!I43</f>
        <v>0</v>
      </c>
      <c r="H45" s="9"/>
      <c r="I45" s="9" t="s">
        <v>2</v>
      </c>
      <c r="J45" s="9" t="str">
        <f t="shared" ref="J45:M45" si="41">+J44</f>
        <v xml:space="preserve"> </v>
      </c>
      <c r="K45" s="7">
        <f t="shared" si="41"/>
        <v>0</v>
      </c>
      <c r="L45" s="3">
        <f t="shared" si="41"/>
        <v>0</v>
      </c>
      <c r="M45" s="3">
        <f t="shared" si="41"/>
        <v>0</v>
      </c>
      <c r="N45" s="9" t="s">
        <v>34</v>
      </c>
    </row>
    <row r="46" spans="1:14" x14ac:dyDescent="0.25">
      <c r="A46" s="11">
        <f t="shared" si="6"/>
        <v>12</v>
      </c>
      <c r="B46" s="42" t="str">
        <f>+'libro compras'!$AK$1</f>
        <v>281130</v>
      </c>
      <c r="C46" s="9" t="s">
        <v>0</v>
      </c>
      <c r="D46" s="9"/>
      <c r="E46" s="14" t="str">
        <f>+'libro compras'!S47</f>
        <v/>
      </c>
      <c r="F46" s="9"/>
      <c r="G46" s="4">
        <f>+'libro compras'!AI47</f>
        <v>0</v>
      </c>
      <c r="H46" s="9"/>
      <c r="I46" s="9" t="s">
        <v>33</v>
      </c>
      <c r="J46" s="9" t="str">
        <f>+CONCATENATE('libro compras'!C47," ",'libro compras'!D47)</f>
        <v xml:space="preserve"> </v>
      </c>
      <c r="K46" s="7">
        <f t="shared" ref="K46" si="42">+K45</f>
        <v>0</v>
      </c>
      <c r="L46" s="3">
        <f>+'libro compras'!C47</f>
        <v>0</v>
      </c>
      <c r="M46" s="3">
        <f>+'libro compras'!D47</f>
        <v>0</v>
      </c>
      <c r="N46" s="9" t="s">
        <v>34</v>
      </c>
    </row>
    <row r="47" spans="1:14" x14ac:dyDescent="0.25">
      <c r="A47" s="11">
        <f t="shared" si="6"/>
        <v>12</v>
      </c>
      <c r="B47" s="43" t="str">
        <f>+'libro compras'!$AL$1</f>
        <v>401110</v>
      </c>
      <c r="C47" s="9" t="s">
        <v>0</v>
      </c>
      <c r="D47" s="9"/>
      <c r="E47" s="14" t="str">
        <f t="shared" ref="E47:E49" si="43">+E46</f>
        <v/>
      </c>
      <c r="F47" s="9"/>
      <c r="G47" s="4">
        <f>+'libro compras'!AJ47</f>
        <v>0</v>
      </c>
      <c r="H47" s="9"/>
      <c r="I47" s="9" t="s">
        <v>33</v>
      </c>
      <c r="J47" s="9" t="str">
        <f t="shared" ref="J47:K47" si="44">+J46</f>
        <v xml:space="preserve"> </v>
      </c>
      <c r="K47" s="7">
        <f t="shared" si="44"/>
        <v>0</v>
      </c>
      <c r="L47" s="3">
        <f t="shared" ref="L47:L49" si="45">+L46</f>
        <v>0</v>
      </c>
      <c r="M47" s="3">
        <f t="shared" ref="M47:M49" si="46">+M46</f>
        <v>0</v>
      </c>
      <c r="N47" s="9" t="s">
        <v>34</v>
      </c>
    </row>
    <row r="48" spans="1:14" x14ac:dyDescent="0.25">
      <c r="A48" s="11">
        <f t="shared" si="6"/>
        <v>12</v>
      </c>
      <c r="B48" s="32">
        <f>+'libro compras'!P47</f>
        <v>0</v>
      </c>
      <c r="C48" s="9" t="s">
        <v>0</v>
      </c>
      <c r="D48" s="9"/>
      <c r="E48" s="14" t="str">
        <f t="shared" si="43"/>
        <v/>
      </c>
      <c r="F48" s="9"/>
      <c r="G48" s="4">
        <f>-'libro compras'!AK47</f>
        <v>0</v>
      </c>
      <c r="H48" s="9"/>
      <c r="I48" s="9" t="s">
        <v>2</v>
      </c>
      <c r="J48" s="9" t="str">
        <f t="shared" ref="J48:K48" si="47">+J47</f>
        <v xml:space="preserve"> </v>
      </c>
      <c r="K48" s="7">
        <f t="shared" si="47"/>
        <v>0</v>
      </c>
      <c r="L48" s="3">
        <f t="shared" si="45"/>
        <v>0</v>
      </c>
      <c r="M48" s="3">
        <f t="shared" si="46"/>
        <v>0</v>
      </c>
      <c r="N48" s="9" t="s">
        <v>34</v>
      </c>
    </row>
    <row r="49" spans="1:14" hidden="1" x14ac:dyDescent="0.25">
      <c r="A49" s="11">
        <f t="shared" si="6"/>
        <v>12</v>
      </c>
      <c r="B49" s="34" t="e">
        <f>+VLOOKUP(B48,Hoja1!$A$1:$B$2,2,FALSE)</f>
        <v>#N/A</v>
      </c>
      <c r="C49" s="9" t="s">
        <v>0</v>
      </c>
      <c r="D49" s="9"/>
      <c r="E49" s="14" t="str">
        <f t="shared" si="43"/>
        <v/>
      </c>
      <c r="F49" s="9"/>
      <c r="G49" s="4">
        <f>-'libro compras'!I47</f>
        <v>0</v>
      </c>
      <c r="H49" s="9"/>
      <c r="I49" s="9" t="s">
        <v>2</v>
      </c>
      <c r="J49" s="9" t="str">
        <f t="shared" ref="J49:K49" si="48">+J48</f>
        <v xml:space="preserve"> </v>
      </c>
      <c r="K49" s="7">
        <f t="shared" si="48"/>
        <v>0</v>
      </c>
      <c r="L49" s="3">
        <f t="shared" si="45"/>
        <v>0</v>
      </c>
      <c r="M49" s="3">
        <f t="shared" si="46"/>
        <v>0</v>
      </c>
      <c r="N49" s="9" t="s">
        <v>34</v>
      </c>
    </row>
    <row r="50" spans="1:14" x14ac:dyDescent="0.25">
      <c r="A50" s="11">
        <f t="shared" si="6"/>
        <v>13</v>
      </c>
      <c r="B50" s="42" t="str">
        <f>+'libro compras'!$AK$1</f>
        <v>281130</v>
      </c>
      <c r="C50" s="9" t="s">
        <v>0</v>
      </c>
      <c r="D50" s="9"/>
      <c r="E50" s="14" t="str">
        <f>+'libro compras'!S51</f>
        <v/>
      </c>
      <c r="F50" s="9"/>
      <c r="G50" s="4">
        <f>+'libro compras'!AI51</f>
        <v>0</v>
      </c>
      <c r="H50" s="9"/>
      <c r="I50" s="9" t="s">
        <v>33</v>
      </c>
      <c r="J50" s="9" t="str">
        <f>+CONCATENATE('libro compras'!C51," ",'libro compras'!D51)</f>
        <v xml:space="preserve"> </v>
      </c>
      <c r="K50" s="7">
        <f t="shared" ref="K50" si="49">+K49</f>
        <v>0</v>
      </c>
      <c r="L50" s="3">
        <f>+'libro compras'!C51</f>
        <v>0</v>
      </c>
      <c r="M50" s="3">
        <f>+'libro compras'!D51</f>
        <v>0</v>
      </c>
      <c r="N50" s="9" t="s">
        <v>34</v>
      </c>
    </row>
    <row r="51" spans="1:14" x14ac:dyDescent="0.25">
      <c r="A51" s="11">
        <f t="shared" si="6"/>
        <v>13</v>
      </c>
      <c r="B51" s="43" t="str">
        <f>+'libro compras'!$AL$1</f>
        <v>401110</v>
      </c>
      <c r="C51" s="9" t="s">
        <v>0</v>
      </c>
      <c r="D51" s="9"/>
      <c r="E51" s="14" t="str">
        <f t="shared" ref="E51:E53" si="50">+E50</f>
        <v/>
      </c>
      <c r="F51" s="9"/>
      <c r="G51" s="4">
        <f>+'libro compras'!AJ51</f>
        <v>0</v>
      </c>
      <c r="H51" s="9"/>
      <c r="I51" s="9" t="s">
        <v>33</v>
      </c>
      <c r="J51" s="9" t="str">
        <f t="shared" ref="J51:K51" si="51">+J50</f>
        <v xml:space="preserve"> </v>
      </c>
      <c r="K51" s="7">
        <f t="shared" si="51"/>
        <v>0</v>
      </c>
      <c r="L51" s="3">
        <f t="shared" ref="L51:L53" si="52">+L50</f>
        <v>0</v>
      </c>
      <c r="M51" s="3">
        <f t="shared" ref="M51:M53" si="53">+M50</f>
        <v>0</v>
      </c>
      <c r="N51" s="9" t="s">
        <v>34</v>
      </c>
    </row>
    <row r="52" spans="1:14" x14ac:dyDescent="0.25">
      <c r="A52" s="11">
        <f t="shared" si="6"/>
        <v>13</v>
      </c>
      <c r="B52" s="32">
        <f>+'libro compras'!P51</f>
        <v>0</v>
      </c>
      <c r="C52" s="9" t="s">
        <v>0</v>
      </c>
      <c r="D52" s="9"/>
      <c r="E52" s="14" t="str">
        <f t="shared" si="50"/>
        <v/>
      </c>
      <c r="F52" s="9"/>
      <c r="G52" s="4">
        <f>-'libro compras'!AK51</f>
        <v>0</v>
      </c>
      <c r="H52" s="9"/>
      <c r="I52" s="9" t="s">
        <v>2</v>
      </c>
      <c r="J52" s="9" t="str">
        <f t="shared" ref="J52:K52" si="54">+J51</f>
        <v xml:space="preserve"> </v>
      </c>
      <c r="K52" s="7">
        <f t="shared" si="54"/>
        <v>0</v>
      </c>
      <c r="L52" s="3">
        <f t="shared" si="52"/>
        <v>0</v>
      </c>
      <c r="M52" s="3">
        <f t="shared" si="53"/>
        <v>0</v>
      </c>
      <c r="N52" s="9" t="s">
        <v>34</v>
      </c>
    </row>
    <row r="53" spans="1:14" x14ac:dyDescent="0.25">
      <c r="A53" s="11">
        <f t="shared" si="6"/>
        <v>13</v>
      </c>
      <c r="B53" s="34" t="e">
        <f>+VLOOKUP(B52,Hoja1!$A$1:$B$2,2,FALSE)</f>
        <v>#N/A</v>
      </c>
      <c r="C53" s="9" t="s">
        <v>0</v>
      </c>
      <c r="D53" s="9"/>
      <c r="E53" s="14" t="str">
        <f t="shared" si="50"/>
        <v/>
      </c>
      <c r="F53" s="9"/>
      <c r="G53" s="4">
        <f>-'libro compras'!I51</f>
        <v>0</v>
      </c>
      <c r="H53" s="9"/>
      <c r="I53" s="9" t="s">
        <v>2</v>
      </c>
      <c r="J53" s="9" t="str">
        <f t="shared" ref="J53:K53" si="55">+J52</f>
        <v xml:space="preserve"> </v>
      </c>
      <c r="K53" s="7">
        <f t="shared" si="55"/>
        <v>0</v>
      </c>
      <c r="L53" s="3">
        <f t="shared" si="52"/>
        <v>0</v>
      </c>
      <c r="M53" s="3">
        <f t="shared" si="53"/>
        <v>0</v>
      </c>
      <c r="N53" s="9" t="s">
        <v>34</v>
      </c>
    </row>
    <row r="54" spans="1:14" x14ac:dyDescent="0.25">
      <c r="A54" s="11">
        <f t="shared" ref="A54" si="56">+A53+1</f>
        <v>14</v>
      </c>
      <c r="B54" s="42" t="str">
        <f>+'libro compras'!$AK$1</f>
        <v>281130</v>
      </c>
      <c r="C54" s="9" t="s">
        <v>0</v>
      </c>
      <c r="D54" s="9"/>
      <c r="E54" s="14" t="str">
        <f>+'libro compras'!S55</f>
        <v/>
      </c>
      <c r="F54" s="9"/>
      <c r="G54" s="4">
        <f>+'libro compras'!AI55</f>
        <v>0</v>
      </c>
      <c r="H54" s="9"/>
      <c r="I54" s="9" t="s">
        <v>33</v>
      </c>
      <c r="J54" s="9" t="str">
        <f>+CONCATENATE('libro compras'!C55," ",'libro compras'!D55)</f>
        <v xml:space="preserve"> </v>
      </c>
      <c r="K54" s="7">
        <f>+'libro compras'!F55</f>
        <v>0</v>
      </c>
      <c r="L54" s="3">
        <f>+'libro compras'!C55</f>
        <v>0</v>
      </c>
      <c r="M54" s="3">
        <f>+'libro compras'!D55</f>
        <v>0</v>
      </c>
      <c r="N54" s="9" t="s">
        <v>34</v>
      </c>
    </row>
    <row r="55" spans="1:14" x14ac:dyDescent="0.25">
      <c r="A55" s="11">
        <f t="shared" ref="A55:A57" si="57">+A54</f>
        <v>14</v>
      </c>
      <c r="B55" s="43" t="str">
        <f>+'libro compras'!$AL$1</f>
        <v>401110</v>
      </c>
      <c r="C55" s="9" t="s">
        <v>0</v>
      </c>
      <c r="D55" s="9"/>
      <c r="E55" s="14" t="str">
        <f t="shared" ref="E55:E57" si="58">+E54</f>
        <v/>
      </c>
      <c r="F55" s="9"/>
      <c r="G55" s="4">
        <f>+'libro compras'!AJ55</f>
        <v>0</v>
      </c>
      <c r="H55" s="9"/>
      <c r="I55" s="9" t="s">
        <v>33</v>
      </c>
      <c r="J55" s="9" t="str">
        <f t="shared" ref="J55:M55" si="59">+J54</f>
        <v xml:space="preserve"> </v>
      </c>
      <c r="K55" s="7">
        <f t="shared" si="59"/>
        <v>0</v>
      </c>
      <c r="L55" s="3">
        <f t="shared" si="59"/>
        <v>0</v>
      </c>
      <c r="M55" s="3">
        <f t="shared" si="59"/>
        <v>0</v>
      </c>
      <c r="N55" s="9" t="s">
        <v>34</v>
      </c>
    </row>
    <row r="56" spans="1:14" x14ac:dyDescent="0.25">
      <c r="A56" s="11">
        <f t="shared" si="57"/>
        <v>14</v>
      </c>
      <c r="B56" s="32">
        <f>+'libro compras'!P55</f>
        <v>0</v>
      </c>
      <c r="C56" s="9" t="s">
        <v>0</v>
      </c>
      <c r="D56" s="9"/>
      <c r="E56" s="14" t="str">
        <f t="shared" si="58"/>
        <v/>
      </c>
      <c r="F56" s="9"/>
      <c r="G56" s="4">
        <f>-'libro compras'!AK55</f>
        <v>0</v>
      </c>
      <c r="H56" s="9"/>
      <c r="I56" s="9" t="s">
        <v>2</v>
      </c>
      <c r="J56" s="9" t="str">
        <f t="shared" ref="J56:M56" si="60">+J55</f>
        <v xml:space="preserve"> </v>
      </c>
      <c r="K56" s="7">
        <f t="shared" si="60"/>
        <v>0</v>
      </c>
      <c r="L56" s="3">
        <f t="shared" si="60"/>
        <v>0</v>
      </c>
      <c r="M56" s="3">
        <f t="shared" si="60"/>
        <v>0</v>
      </c>
      <c r="N56" s="9" t="s">
        <v>34</v>
      </c>
    </row>
    <row r="57" spans="1:14" x14ac:dyDescent="0.25">
      <c r="A57" s="11">
        <f t="shared" si="57"/>
        <v>14</v>
      </c>
      <c r="B57" s="34" t="e">
        <f>+VLOOKUP(B56,Hoja1!$A$1:$B$2,2,FALSE)</f>
        <v>#N/A</v>
      </c>
      <c r="C57" s="9" t="s">
        <v>0</v>
      </c>
      <c r="D57" s="9"/>
      <c r="E57" s="14" t="str">
        <f t="shared" si="58"/>
        <v/>
      </c>
      <c r="F57" s="9"/>
      <c r="G57" s="4">
        <f>-'libro compras'!I55</f>
        <v>0</v>
      </c>
      <c r="H57" s="9"/>
      <c r="I57" s="9" t="s">
        <v>2</v>
      </c>
      <c r="J57" s="9" t="str">
        <f t="shared" ref="J57:M57" si="61">+J56</f>
        <v xml:space="preserve"> </v>
      </c>
      <c r="K57" s="7">
        <f t="shared" si="61"/>
        <v>0</v>
      </c>
      <c r="L57" s="3">
        <f t="shared" si="61"/>
        <v>0</v>
      </c>
      <c r="M57" s="3">
        <f t="shared" si="61"/>
        <v>0</v>
      </c>
      <c r="N57" s="9" t="s">
        <v>34</v>
      </c>
    </row>
    <row r="58" spans="1:14" x14ac:dyDescent="0.25">
      <c r="A58" s="11">
        <f t="shared" si="6"/>
        <v>15</v>
      </c>
      <c r="B58" s="42" t="str">
        <f>+'libro compras'!$AK$1</f>
        <v>281130</v>
      </c>
      <c r="C58" s="9" t="s">
        <v>0</v>
      </c>
      <c r="D58" s="9"/>
      <c r="E58" s="14" t="str">
        <f>+'libro compras'!S59</f>
        <v/>
      </c>
      <c r="F58" s="9"/>
      <c r="G58" s="4">
        <f>+'libro compras'!AI59</f>
        <v>0</v>
      </c>
      <c r="H58" s="9"/>
      <c r="I58" s="9" t="s">
        <v>33</v>
      </c>
      <c r="J58" s="9" t="str">
        <f>+CONCATENATE('libro compras'!C59," ",'libro compras'!D59)</f>
        <v xml:space="preserve"> </v>
      </c>
      <c r="K58" s="7">
        <f t="shared" ref="K58" si="62">+K57</f>
        <v>0</v>
      </c>
      <c r="L58" s="3">
        <f>+'libro compras'!C59</f>
        <v>0</v>
      </c>
      <c r="M58" s="3">
        <f>+'libro compras'!D59</f>
        <v>0</v>
      </c>
      <c r="N58" s="9" t="s">
        <v>34</v>
      </c>
    </row>
    <row r="59" spans="1:14" x14ac:dyDescent="0.25">
      <c r="A59" s="11">
        <f t="shared" si="6"/>
        <v>15</v>
      </c>
      <c r="B59" s="43" t="str">
        <f>+'libro compras'!$AL$1</f>
        <v>401110</v>
      </c>
      <c r="C59" s="9" t="s">
        <v>0</v>
      </c>
      <c r="D59" s="9"/>
      <c r="E59" s="14" t="str">
        <f t="shared" ref="E59:E61" si="63">+E58</f>
        <v/>
      </c>
      <c r="F59" s="9"/>
      <c r="G59" s="4">
        <f>+'libro compras'!AJ59</f>
        <v>0</v>
      </c>
      <c r="H59" s="9"/>
      <c r="I59" s="9" t="s">
        <v>33</v>
      </c>
      <c r="J59" s="9" t="str">
        <f t="shared" ref="J59:K59" si="64">+J58</f>
        <v xml:space="preserve"> </v>
      </c>
      <c r="K59" s="7">
        <f t="shared" si="64"/>
        <v>0</v>
      </c>
      <c r="L59" s="3">
        <f t="shared" ref="L59:L61" si="65">+L58</f>
        <v>0</v>
      </c>
      <c r="M59" s="3">
        <f t="shared" ref="M59:M61" si="66">+M58</f>
        <v>0</v>
      </c>
      <c r="N59" s="9" t="s">
        <v>34</v>
      </c>
    </row>
    <row r="60" spans="1:14" x14ac:dyDescent="0.25">
      <c r="A60" s="11">
        <f t="shared" si="6"/>
        <v>15</v>
      </c>
      <c r="B60" s="32">
        <f>+'libro compras'!P59</f>
        <v>0</v>
      </c>
      <c r="C60" s="9" t="s">
        <v>0</v>
      </c>
      <c r="D60" s="9"/>
      <c r="E60" s="14" t="str">
        <f t="shared" si="63"/>
        <v/>
      </c>
      <c r="F60" s="9"/>
      <c r="G60" s="4">
        <f>-'libro compras'!AK59</f>
        <v>0</v>
      </c>
      <c r="H60" s="9"/>
      <c r="I60" s="9" t="s">
        <v>2</v>
      </c>
      <c r="J60" s="9" t="str">
        <f t="shared" ref="J60:K60" si="67">+J59</f>
        <v xml:space="preserve"> </v>
      </c>
      <c r="K60" s="7">
        <f t="shared" si="67"/>
        <v>0</v>
      </c>
      <c r="L60" s="3">
        <f t="shared" si="65"/>
        <v>0</v>
      </c>
      <c r="M60" s="3">
        <f t="shared" si="66"/>
        <v>0</v>
      </c>
      <c r="N60" s="9" t="s">
        <v>34</v>
      </c>
    </row>
    <row r="61" spans="1:14" x14ac:dyDescent="0.25">
      <c r="A61" s="11">
        <f t="shared" si="6"/>
        <v>15</v>
      </c>
      <c r="B61" s="34" t="e">
        <f>+VLOOKUP(B60,Hoja1!$A$1:$B$2,2,FALSE)</f>
        <v>#N/A</v>
      </c>
      <c r="C61" s="9" t="s">
        <v>0</v>
      </c>
      <c r="D61" s="9"/>
      <c r="E61" s="14" t="str">
        <f t="shared" si="63"/>
        <v/>
      </c>
      <c r="F61" s="9"/>
      <c r="G61" s="4">
        <f>-'libro compras'!I59</f>
        <v>0</v>
      </c>
      <c r="H61" s="9"/>
      <c r="I61" s="9" t="s">
        <v>2</v>
      </c>
      <c r="J61" s="9" t="str">
        <f t="shared" ref="J61:K61" si="68">+J60</f>
        <v xml:space="preserve"> </v>
      </c>
      <c r="K61" s="7">
        <f t="shared" si="68"/>
        <v>0</v>
      </c>
      <c r="L61" s="3">
        <f t="shared" si="65"/>
        <v>0</v>
      </c>
      <c r="M61" s="3">
        <f t="shared" si="66"/>
        <v>0</v>
      </c>
      <c r="N61" s="9" t="s">
        <v>34</v>
      </c>
    </row>
    <row r="62" spans="1:14" x14ac:dyDescent="0.25">
      <c r="A62" s="11">
        <f t="shared" si="6"/>
        <v>16</v>
      </c>
      <c r="B62" s="42" t="str">
        <f>+'libro compras'!$AK$1</f>
        <v>281130</v>
      </c>
      <c r="C62" s="9" t="s">
        <v>0</v>
      </c>
      <c r="D62" s="9"/>
      <c r="E62" s="14" t="str">
        <f>+'libro compras'!S63</f>
        <v/>
      </c>
      <c r="F62" s="9"/>
      <c r="G62" s="4">
        <f>+'libro compras'!AI63</f>
        <v>0</v>
      </c>
      <c r="H62" s="9"/>
      <c r="I62" s="9" t="s">
        <v>33</v>
      </c>
      <c r="J62" s="9" t="str">
        <f>+CONCATENATE('libro compras'!C63," ",'libro compras'!D63)</f>
        <v xml:space="preserve"> </v>
      </c>
      <c r="K62" s="7">
        <f t="shared" ref="K62" si="69">+K61</f>
        <v>0</v>
      </c>
      <c r="L62" s="3">
        <f>+'libro compras'!C63</f>
        <v>0</v>
      </c>
      <c r="M62" s="3">
        <f>+'libro compras'!D63</f>
        <v>0</v>
      </c>
      <c r="N62" s="9" t="s">
        <v>34</v>
      </c>
    </row>
    <row r="63" spans="1:14" x14ac:dyDescent="0.25">
      <c r="A63" s="11">
        <f t="shared" si="6"/>
        <v>16</v>
      </c>
      <c r="B63" s="43" t="str">
        <f>+'libro compras'!$AL$1</f>
        <v>401110</v>
      </c>
      <c r="C63" s="9" t="s">
        <v>0</v>
      </c>
      <c r="D63" s="9"/>
      <c r="E63" s="14" t="str">
        <f t="shared" ref="E63:E65" si="70">+E62</f>
        <v/>
      </c>
      <c r="F63" s="9"/>
      <c r="G63" s="4">
        <f>+'libro compras'!AJ63</f>
        <v>0</v>
      </c>
      <c r="H63" s="9"/>
      <c r="I63" s="9" t="s">
        <v>33</v>
      </c>
      <c r="J63" s="9" t="str">
        <f t="shared" ref="J63:K63" si="71">+J62</f>
        <v xml:space="preserve"> </v>
      </c>
      <c r="K63" s="7">
        <f t="shared" si="71"/>
        <v>0</v>
      </c>
      <c r="L63" s="3">
        <f t="shared" ref="L63:L65" si="72">+L62</f>
        <v>0</v>
      </c>
      <c r="M63" s="3">
        <f t="shared" ref="M63:M65" si="73">+M62</f>
        <v>0</v>
      </c>
      <c r="N63" s="9" t="s">
        <v>34</v>
      </c>
    </row>
    <row r="64" spans="1:14" x14ac:dyDescent="0.25">
      <c r="A64" s="11">
        <f t="shared" si="6"/>
        <v>16</v>
      </c>
      <c r="B64" s="32">
        <f>+'libro compras'!P63</f>
        <v>0</v>
      </c>
      <c r="C64" s="9" t="s">
        <v>0</v>
      </c>
      <c r="D64" s="9"/>
      <c r="E64" s="14" t="str">
        <f t="shared" si="70"/>
        <v/>
      </c>
      <c r="F64" s="9"/>
      <c r="G64" s="4">
        <f>-'libro compras'!AK63</f>
        <v>0</v>
      </c>
      <c r="H64" s="9"/>
      <c r="I64" s="9" t="s">
        <v>2</v>
      </c>
      <c r="J64" s="9" t="str">
        <f t="shared" ref="J64:K64" si="74">+J63</f>
        <v xml:space="preserve"> </v>
      </c>
      <c r="K64" s="7">
        <f t="shared" si="74"/>
        <v>0</v>
      </c>
      <c r="L64" s="3">
        <f t="shared" si="72"/>
        <v>0</v>
      </c>
      <c r="M64" s="3">
        <f t="shared" si="73"/>
        <v>0</v>
      </c>
      <c r="N64" s="9" t="s">
        <v>34</v>
      </c>
    </row>
    <row r="65" spans="1:14" x14ac:dyDescent="0.25">
      <c r="A65" s="11">
        <f t="shared" si="6"/>
        <v>16</v>
      </c>
      <c r="B65" s="34" t="e">
        <f>+VLOOKUP(B64,Hoja1!$A$1:$B$2,2,FALSE)</f>
        <v>#N/A</v>
      </c>
      <c r="C65" s="9" t="s">
        <v>0</v>
      </c>
      <c r="D65" s="9"/>
      <c r="E65" s="14" t="str">
        <f t="shared" si="70"/>
        <v/>
      </c>
      <c r="F65" s="9"/>
      <c r="G65" s="4">
        <f>-'libro compras'!I63</f>
        <v>0</v>
      </c>
      <c r="H65" s="9"/>
      <c r="I65" s="9" t="s">
        <v>2</v>
      </c>
      <c r="J65" s="9" t="str">
        <f t="shared" ref="J65:K65" si="75">+J64</f>
        <v xml:space="preserve"> </v>
      </c>
      <c r="K65" s="7">
        <f t="shared" si="75"/>
        <v>0</v>
      </c>
      <c r="L65" s="3">
        <f t="shared" si="72"/>
        <v>0</v>
      </c>
      <c r="M65" s="3">
        <f t="shared" si="73"/>
        <v>0</v>
      </c>
      <c r="N65" s="9" t="s">
        <v>34</v>
      </c>
    </row>
    <row r="66" spans="1:14" x14ac:dyDescent="0.25">
      <c r="A66" s="11">
        <f t="shared" ref="A66" si="76">+A65+1</f>
        <v>17</v>
      </c>
      <c r="B66" s="42" t="str">
        <f>+'libro compras'!$AK$1</f>
        <v>281130</v>
      </c>
      <c r="C66" s="9" t="s">
        <v>0</v>
      </c>
      <c r="D66" s="9"/>
      <c r="E66" s="14" t="str">
        <f>+'libro compras'!S67</f>
        <v/>
      </c>
      <c r="F66" s="9"/>
      <c r="G66" s="4">
        <f>+'libro compras'!AI67</f>
        <v>0</v>
      </c>
      <c r="H66" s="9"/>
      <c r="I66" s="9" t="s">
        <v>33</v>
      </c>
      <c r="J66" s="9" t="str">
        <f>+CONCATENATE('libro compras'!C67," ",'libro compras'!D67)</f>
        <v xml:space="preserve"> </v>
      </c>
      <c r="K66" s="7">
        <f>+'libro compras'!F67</f>
        <v>0</v>
      </c>
      <c r="L66" s="3">
        <f>+'libro compras'!C67</f>
        <v>0</v>
      </c>
      <c r="M66" s="3">
        <f>+'libro compras'!D67</f>
        <v>0</v>
      </c>
      <c r="N66" s="9" t="s">
        <v>34</v>
      </c>
    </row>
    <row r="67" spans="1:14" x14ac:dyDescent="0.25">
      <c r="A67" s="11">
        <f t="shared" ref="A67:A69" si="77">+A66</f>
        <v>17</v>
      </c>
      <c r="B67" s="43" t="str">
        <f>+'libro compras'!$AL$1</f>
        <v>401110</v>
      </c>
      <c r="C67" s="9" t="s">
        <v>0</v>
      </c>
      <c r="D67" s="9"/>
      <c r="E67" s="14" t="str">
        <f t="shared" ref="E67:E69" si="78">+E66</f>
        <v/>
      </c>
      <c r="F67" s="9"/>
      <c r="G67" s="4">
        <f>+'libro compras'!AJ67</f>
        <v>0</v>
      </c>
      <c r="H67" s="9"/>
      <c r="I67" s="9" t="s">
        <v>33</v>
      </c>
      <c r="J67" s="9" t="str">
        <f t="shared" ref="J67:M67" si="79">+J66</f>
        <v xml:space="preserve"> </v>
      </c>
      <c r="K67" s="7">
        <f t="shared" si="79"/>
        <v>0</v>
      </c>
      <c r="L67" s="3">
        <f t="shared" si="79"/>
        <v>0</v>
      </c>
      <c r="M67" s="3">
        <f t="shared" si="79"/>
        <v>0</v>
      </c>
      <c r="N67" s="9" t="s">
        <v>34</v>
      </c>
    </row>
    <row r="68" spans="1:14" x14ac:dyDescent="0.25">
      <c r="A68" s="11">
        <f t="shared" si="77"/>
        <v>17</v>
      </c>
      <c r="B68" s="32">
        <f>+'libro compras'!P67</f>
        <v>0</v>
      </c>
      <c r="C68" s="9" t="s">
        <v>0</v>
      </c>
      <c r="D68" s="9"/>
      <c r="E68" s="14" t="str">
        <f t="shared" si="78"/>
        <v/>
      </c>
      <c r="F68" s="9"/>
      <c r="G68" s="4">
        <f>-'libro compras'!AK67</f>
        <v>0</v>
      </c>
      <c r="H68" s="9"/>
      <c r="I68" s="9" t="s">
        <v>2</v>
      </c>
      <c r="J68" s="9" t="str">
        <f t="shared" ref="J68:M68" si="80">+J67</f>
        <v xml:space="preserve"> </v>
      </c>
      <c r="K68" s="7">
        <f t="shared" si="80"/>
        <v>0</v>
      </c>
      <c r="L68" s="3">
        <f t="shared" si="80"/>
        <v>0</v>
      </c>
      <c r="M68" s="3">
        <f t="shared" si="80"/>
        <v>0</v>
      </c>
      <c r="N68" s="9" t="s">
        <v>34</v>
      </c>
    </row>
    <row r="69" spans="1:14" x14ac:dyDescent="0.25">
      <c r="A69" s="11">
        <f t="shared" si="77"/>
        <v>17</v>
      </c>
      <c r="B69" s="34" t="e">
        <f>+VLOOKUP(B68,Hoja1!$A$1:$B$2,2,FALSE)</f>
        <v>#N/A</v>
      </c>
      <c r="C69" s="9" t="s">
        <v>0</v>
      </c>
      <c r="D69" s="9"/>
      <c r="E69" s="14" t="str">
        <f t="shared" si="78"/>
        <v/>
      </c>
      <c r="F69" s="9"/>
      <c r="G69" s="4">
        <f>-'libro compras'!I67</f>
        <v>0</v>
      </c>
      <c r="H69" s="9"/>
      <c r="I69" s="9" t="s">
        <v>2</v>
      </c>
      <c r="J69" s="9" t="str">
        <f t="shared" ref="J69:M69" si="81">+J68</f>
        <v xml:space="preserve"> </v>
      </c>
      <c r="K69" s="7">
        <f t="shared" si="81"/>
        <v>0</v>
      </c>
      <c r="L69" s="3">
        <f t="shared" si="81"/>
        <v>0</v>
      </c>
      <c r="M69" s="3">
        <f t="shared" si="81"/>
        <v>0</v>
      </c>
      <c r="N69" s="9" t="s">
        <v>34</v>
      </c>
    </row>
    <row r="70" spans="1:14" x14ac:dyDescent="0.25">
      <c r="A70" s="11">
        <f t="shared" si="6"/>
        <v>18</v>
      </c>
      <c r="B70" s="42" t="str">
        <f>+'libro compras'!$AK$1</f>
        <v>281130</v>
      </c>
      <c r="C70" s="9" t="s">
        <v>0</v>
      </c>
      <c r="D70" s="9"/>
      <c r="E70" s="14" t="str">
        <f>+'libro compras'!S71</f>
        <v/>
      </c>
      <c r="F70" s="9"/>
      <c r="G70" s="4">
        <f>+'libro compras'!AI71</f>
        <v>0</v>
      </c>
      <c r="H70" s="9"/>
      <c r="I70" s="9" t="s">
        <v>33</v>
      </c>
      <c r="J70" s="9" t="str">
        <f>+CONCATENATE('libro compras'!C71," ",'libro compras'!D71)</f>
        <v xml:space="preserve"> </v>
      </c>
      <c r="K70" s="7">
        <f t="shared" ref="K70" si="82">+K69</f>
        <v>0</v>
      </c>
      <c r="L70" s="3">
        <f>+'libro compras'!C71</f>
        <v>0</v>
      </c>
      <c r="M70" s="3">
        <f>+'libro compras'!D71</f>
        <v>0</v>
      </c>
      <c r="N70" s="9" t="s">
        <v>34</v>
      </c>
    </row>
    <row r="71" spans="1:14" x14ac:dyDescent="0.25">
      <c r="A71" s="11">
        <f t="shared" si="6"/>
        <v>18</v>
      </c>
      <c r="B71" s="43" t="str">
        <f>+'libro compras'!$AL$1</f>
        <v>401110</v>
      </c>
      <c r="C71" s="9" t="s">
        <v>0</v>
      </c>
      <c r="D71" s="9"/>
      <c r="E71" s="14" t="str">
        <f t="shared" ref="E71:E73" si="83">+E70</f>
        <v/>
      </c>
      <c r="F71" s="9"/>
      <c r="G71" s="4">
        <f>+'libro compras'!AJ71</f>
        <v>0</v>
      </c>
      <c r="H71" s="9"/>
      <c r="I71" s="9" t="s">
        <v>33</v>
      </c>
      <c r="J71" s="9" t="str">
        <f t="shared" ref="J71:K71" si="84">+J70</f>
        <v xml:space="preserve"> </v>
      </c>
      <c r="K71" s="7">
        <f t="shared" si="84"/>
        <v>0</v>
      </c>
      <c r="L71" s="3">
        <f t="shared" ref="L71:L73" si="85">+L70</f>
        <v>0</v>
      </c>
      <c r="M71" s="3">
        <f t="shared" ref="M71:M73" si="86">+M70</f>
        <v>0</v>
      </c>
      <c r="N71" s="9" t="s">
        <v>34</v>
      </c>
    </row>
    <row r="72" spans="1:14" x14ac:dyDescent="0.25">
      <c r="A72" s="11">
        <f t="shared" si="6"/>
        <v>18</v>
      </c>
      <c r="B72" s="32">
        <f>+'libro compras'!P71</f>
        <v>0</v>
      </c>
      <c r="C72" s="9" t="s">
        <v>0</v>
      </c>
      <c r="D72" s="9"/>
      <c r="E72" s="14" t="str">
        <f t="shared" si="83"/>
        <v/>
      </c>
      <c r="F72" s="9"/>
      <c r="G72" s="4">
        <f>-'libro compras'!AK71</f>
        <v>0</v>
      </c>
      <c r="H72" s="9"/>
      <c r="I72" s="9" t="s">
        <v>2</v>
      </c>
      <c r="J72" s="9" t="str">
        <f t="shared" ref="J72:K72" si="87">+J71</f>
        <v xml:space="preserve"> </v>
      </c>
      <c r="K72" s="7">
        <f t="shared" si="87"/>
        <v>0</v>
      </c>
      <c r="L72" s="3">
        <f t="shared" si="85"/>
        <v>0</v>
      </c>
      <c r="M72" s="3">
        <f t="shared" si="86"/>
        <v>0</v>
      </c>
      <c r="N72" s="9" t="s">
        <v>34</v>
      </c>
    </row>
    <row r="73" spans="1:14" x14ac:dyDescent="0.25">
      <c r="A73" s="11">
        <f t="shared" si="6"/>
        <v>18</v>
      </c>
      <c r="B73" s="34" t="e">
        <f>+VLOOKUP(B72,Hoja1!$A$1:$B$2,2,FALSE)</f>
        <v>#N/A</v>
      </c>
      <c r="C73" s="9" t="s">
        <v>0</v>
      </c>
      <c r="D73" s="9"/>
      <c r="E73" s="14" t="str">
        <f t="shared" si="83"/>
        <v/>
      </c>
      <c r="F73" s="9"/>
      <c r="G73" s="4">
        <f>-'libro compras'!I71</f>
        <v>0</v>
      </c>
      <c r="H73" s="9"/>
      <c r="I73" s="9" t="s">
        <v>2</v>
      </c>
      <c r="J73" s="9" t="str">
        <f t="shared" ref="J73:K73" si="88">+J72</f>
        <v xml:space="preserve"> </v>
      </c>
      <c r="K73" s="7">
        <f t="shared" si="88"/>
        <v>0</v>
      </c>
      <c r="L73" s="3">
        <f t="shared" si="85"/>
        <v>0</v>
      </c>
      <c r="M73" s="3">
        <f t="shared" si="86"/>
        <v>0</v>
      </c>
      <c r="N73" s="9" t="s">
        <v>34</v>
      </c>
    </row>
    <row r="74" spans="1:14" x14ac:dyDescent="0.25">
      <c r="A74" s="11">
        <f t="shared" si="6"/>
        <v>19</v>
      </c>
      <c r="B74" s="42" t="str">
        <f>+'libro compras'!$AK$1</f>
        <v>281130</v>
      </c>
      <c r="C74" s="9" t="s">
        <v>0</v>
      </c>
      <c r="D74" s="9"/>
      <c r="E74" s="14" t="str">
        <f>+'libro compras'!S75</f>
        <v/>
      </c>
      <c r="F74" s="9"/>
      <c r="G74" s="4">
        <f>+'libro compras'!AI75</f>
        <v>0</v>
      </c>
      <c r="H74" s="9"/>
      <c r="I74" s="9" t="s">
        <v>33</v>
      </c>
      <c r="J74" s="9" t="str">
        <f>+CONCATENATE('libro compras'!C75," ",'libro compras'!D75)</f>
        <v xml:space="preserve"> </v>
      </c>
      <c r="K74" s="7">
        <f t="shared" ref="K74" si="89">+K73</f>
        <v>0</v>
      </c>
      <c r="L74" s="3">
        <f>+'libro compras'!C75</f>
        <v>0</v>
      </c>
      <c r="M74" s="3">
        <f>+'libro compras'!D75</f>
        <v>0</v>
      </c>
      <c r="N74" s="9" t="s">
        <v>34</v>
      </c>
    </row>
    <row r="75" spans="1:14" x14ac:dyDescent="0.25">
      <c r="A75" s="11">
        <f t="shared" si="6"/>
        <v>19</v>
      </c>
      <c r="B75" s="43" t="str">
        <f>+'libro compras'!$AL$1</f>
        <v>401110</v>
      </c>
      <c r="C75" s="9" t="s">
        <v>0</v>
      </c>
      <c r="D75" s="9"/>
      <c r="E75" s="14" t="str">
        <f t="shared" ref="E75:E77" si="90">+E74</f>
        <v/>
      </c>
      <c r="F75" s="9"/>
      <c r="G75" s="4">
        <f>+'libro compras'!AJ75</f>
        <v>0</v>
      </c>
      <c r="H75" s="9"/>
      <c r="I75" s="9" t="s">
        <v>33</v>
      </c>
      <c r="J75" s="9" t="str">
        <f t="shared" ref="J75:K75" si="91">+J74</f>
        <v xml:space="preserve"> </v>
      </c>
      <c r="K75" s="7">
        <f t="shared" si="91"/>
        <v>0</v>
      </c>
      <c r="L75" s="3">
        <f t="shared" ref="L75:L77" si="92">+L74</f>
        <v>0</v>
      </c>
      <c r="M75" s="3">
        <f t="shared" ref="M75:M77" si="93">+M74</f>
        <v>0</v>
      </c>
      <c r="N75" s="9" t="s">
        <v>34</v>
      </c>
    </row>
    <row r="76" spans="1:14" x14ac:dyDescent="0.25">
      <c r="A76" s="11">
        <f t="shared" si="6"/>
        <v>19</v>
      </c>
      <c r="B76" s="32">
        <f>+'libro compras'!P75</f>
        <v>0</v>
      </c>
      <c r="C76" s="9" t="s">
        <v>0</v>
      </c>
      <c r="D76" s="9"/>
      <c r="E76" s="14" t="str">
        <f t="shared" si="90"/>
        <v/>
      </c>
      <c r="F76" s="9"/>
      <c r="G76" s="4">
        <f>-'libro compras'!AK75</f>
        <v>0</v>
      </c>
      <c r="H76" s="9"/>
      <c r="I76" s="9" t="s">
        <v>2</v>
      </c>
      <c r="J76" s="9" t="str">
        <f t="shared" ref="J76:K76" si="94">+J75</f>
        <v xml:space="preserve"> </v>
      </c>
      <c r="K76" s="7">
        <f t="shared" si="94"/>
        <v>0</v>
      </c>
      <c r="L76" s="3">
        <f t="shared" si="92"/>
        <v>0</v>
      </c>
      <c r="M76" s="3">
        <f t="shared" si="93"/>
        <v>0</v>
      </c>
      <c r="N76" s="9" t="s">
        <v>34</v>
      </c>
    </row>
    <row r="77" spans="1:14" x14ac:dyDescent="0.25">
      <c r="A77" s="11">
        <f t="shared" si="6"/>
        <v>19</v>
      </c>
      <c r="B77" s="34" t="e">
        <f>+VLOOKUP(B76,Hoja1!$A$1:$B$2,2,FALSE)</f>
        <v>#N/A</v>
      </c>
      <c r="C77" s="9" t="s">
        <v>0</v>
      </c>
      <c r="D77" s="9"/>
      <c r="E77" s="14" t="str">
        <f t="shared" si="90"/>
        <v/>
      </c>
      <c r="F77" s="9"/>
      <c r="G77" s="4">
        <f>-'libro compras'!I75</f>
        <v>0</v>
      </c>
      <c r="H77" s="9"/>
      <c r="I77" s="9" t="s">
        <v>2</v>
      </c>
      <c r="J77" s="9" t="str">
        <f t="shared" ref="J77:K77" si="95">+J76</f>
        <v xml:space="preserve"> </v>
      </c>
      <c r="K77" s="7">
        <f t="shared" si="95"/>
        <v>0</v>
      </c>
      <c r="L77" s="3">
        <f t="shared" si="92"/>
        <v>0</v>
      </c>
      <c r="M77" s="3">
        <f t="shared" si="93"/>
        <v>0</v>
      </c>
      <c r="N77" s="9" t="s">
        <v>34</v>
      </c>
    </row>
    <row r="78" spans="1:14" x14ac:dyDescent="0.25">
      <c r="A78" s="11">
        <f t="shared" ref="A78" si="96">+A77+1</f>
        <v>20</v>
      </c>
      <c r="B78" s="42" t="str">
        <f>+'libro compras'!$AK$1</f>
        <v>281130</v>
      </c>
      <c r="C78" s="9" t="s">
        <v>0</v>
      </c>
      <c r="D78" s="9"/>
      <c r="E78" s="14" t="str">
        <f>+'libro compras'!S79</f>
        <v/>
      </c>
      <c r="F78" s="9"/>
      <c r="G78" s="4">
        <f>+'libro compras'!AI79</f>
        <v>0</v>
      </c>
      <c r="H78" s="9"/>
      <c r="I78" s="9" t="s">
        <v>33</v>
      </c>
      <c r="J78" s="9" t="str">
        <f>+CONCATENATE('libro compras'!C79," ",'libro compras'!D79)</f>
        <v xml:space="preserve"> </v>
      </c>
      <c r="K78" s="7">
        <f>+'libro compras'!F79</f>
        <v>0</v>
      </c>
      <c r="L78" s="3">
        <f>+'libro compras'!C79</f>
        <v>0</v>
      </c>
      <c r="M78" s="3">
        <f>+'libro compras'!D79</f>
        <v>0</v>
      </c>
      <c r="N78" s="9" t="s">
        <v>34</v>
      </c>
    </row>
    <row r="79" spans="1:14" x14ac:dyDescent="0.25">
      <c r="A79" s="11">
        <f t="shared" ref="A79:A81" si="97">+A78</f>
        <v>20</v>
      </c>
      <c r="B79" s="43" t="str">
        <f>+'libro compras'!$AL$1</f>
        <v>401110</v>
      </c>
      <c r="C79" s="9" t="s">
        <v>0</v>
      </c>
      <c r="D79" s="9"/>
      <c r="E79" s="14" t="str">
        <f t="shared" ref="E79:E81" si="98">+E78</f>
        <v/>
      </c>
      <c r="F79" s="9"/>
      <c r="G79" s="4">
        <f>+'libro compras'!AJ79</f>
        <v>0</v>
      </c>
      <c r="H79" s="9"/>
      <c r="I79" s="9" t="s">
        <v>33</v>
      </c>
      <c r="J79" s="9" t="str">
        <f t="shared" ref="J79:M79" si="99">+J78</f>
        <v xml:space="preserve"> </v>
      </c>
      <c r="K79" s="7">
        <f t="shared" si="99"/>
        <v>0</v>
      </c>
      <c r="L79" s="3">
        <f t="shared" si="99"/>
        <v>0</v>
      </c>
      <c r="M79" s="3">
        <f t="shared" si="99"/>
        <v>0</v>
      </c>
      <c r="N79" s="9" t="s">
        <v>34</v>
      </c>
    </row>
    <row r="80" spans="1:14" x14ac:dyDescent="0.25">
      <c r="A80" s="11">
        <f t="shared" si="97"/>
        <v>20</v>
      </c>
      <c r="B80" s="32">
        <f>+'libro compras'!P79</f>
        <v>0</v>
      </c>
      <c r="C80" s="9" t="s">
        <v>0</v>
      </c>
      <c r="D80" s="9"/>
      <c r="E80" s="14" t="str">
        <f t="shared" si="98"/>
        <v/>
      </c>
      <c r="F80" s="9"/>
      <c r="G80" s="4">
        <f>-'libro compras'!AK79</f>
        <v>0</v>
      </c>
      <c r="H80" s="9"/>
      <c r="I80" s="9" t="s">
        <v>2</v>
      </c>
      <c r="J80" s="9" t="str">
        <f t="shared" ref="J80:M80" si="100">+J79</f>
        <v xml:space="preserve"> </v>
      </c>
      <c r="K80" s="7">
        <f t="shared" si="100"/>
        <v>0</v>
      </c>
      <c r="L80" s="3">
        <f t="shared" si="100"/>
        <v>0</v>
      </c>
      <c r="M80" s="3">
        <f t="shared" si="100"/>
        <v>0</v>
      </c>
      <c r="N80" s="9" t="s">
        <v>34</v>
      </c>
    </row>
    <row r="81" spans="1:14" x14ac:dyDescent="0.25">
      <c r="A81" s="11">
        <f t="shared" si="97"/>
        <v>20</v>
      </c>
      <c r="B81" s="34" t="e">
        <f>+VLOOKUP(B80,Hoja1!$A$1:$B$2,2,FALSE)</f>
        <v>#N/A</v>
      </c>
      <c r="C81" s="9" t="s">
        <v>0</v>
      </c>
      <c r="D81" s="9"/>
      <c r="E81" s="14" t="str">
        <f t="shared" si="98"/>
        <v/>
      </c>
      <c r="F81" s="9"/>
      <c r="G81" s="4">
        <f>-'libro compras'!I79</f>
        <v>0</v>
      </c>
      <c r="H81" s="9"/>
      <c r="I81" s="9" t="s">
        <v>2</v>
      </c>
      <c r="J81" s="9" t="str">
        <f t="shared" ref="J81:M81" si="101">+J80</f>
        <v xml:space="preserve"> </v>
      </c>
      <c r="K81" s="7">
        <f t="shared" si="101"/>
        <v>0</v>
      </c>
      <c r="L81" s="3">
        <f t="shared" si="101"/>
        <v>0</v>
      </c>
      <c r="M81" s="3">
        <f t="shared" si="101"/>
        <v>0</v>
      </c>
      <c r="N81" s="9" t="s">
        <v>34</v>
      </c>
    </row>
    <row r="82" spans="1:14" x14ac:dyDescent="0.25">
      <c r="A82" s="11">
        <f t="shared" si="6"/>
        <v>21</v>
      </c>
      <c r="B82" s="42" t="str">
        <f>+'libro compras'!$AK$1</f>
        <v>281130</v>
      </c>
      <c r="C82" s="9" t="s">
        <v>0</v>
      </c>
      <c r="D82" s="9"/>
      <c r="E82" s="14" t="str">
        <f>+'libro compras'!S83</f>
        <v/>
      </c>
      <c r="F82" s="9"/>
      <c r="G82" s="4">
        <f>+'libro compras'!AI83</f>
        <v>0</v>
      </c>
      <c r="H82" s="9"/>
      <c r="I82" s="9" t="s">
        <v>33</v>
      </c>
      <c r="J82" s="9" t="str">
        <f>+CONCATENATE('libro compras'!C83," ",'libro compras'!D83)</f>
        <v xml:space="preserve"> </v>
      </c>
      <c r="K82" s="7">
        <f t="shared" ref="K82" si="102">+K81</f>
        <v>0</v>
      </c>
      <c r="L82" s="3">
        <f>+'libro compras'!C83</f>
        <v>0</v>
      </c>
      <c r="M82" s="3">
        <f>+'libro compras'!D83</f>
        <v>0</v>
      </c>
      <c r="N82" s="9" t="s">
        <v>34</v>
      </c>
    </row>
    <row r="83" spans="1:14" x14ac:dyDescent="0.25">
      <c r="A83" s="11">
        <f t="shared" si="6"/>
        <v>21</v>
      </c>
      <c r="B83" s="43" t="str">
        <f>+'libro compras'!$AL$1</f>
        <v>401110</v>
      </c>
      <c r="C83" s="9" t="s">
        <v>0</v>
      </c>
      <c r="D83" s="9"/>
      <c r="E83" s="14" t="str">
        <f t="shared" ref="E83:E85" si="103">+E82</f>
        <v/>
      </c>
      <c r="F83" s="9"/>
      <c r="G83" s="4">
        <f>+'libro compras'!AJ83</f>
        <v>0</v>
      </c>
      <c r="H83" s="9"/>
      <c r="I83" s="9" t="s">
        <v>33</v>
      </c>
      <c r="J83" s="9" t="str">
        <f t="shared" ref="J83:K83" si="104">+J82</f>
        <v xml:space="preserve"> </v>
      </c>
      <c r="K83" s="7">
        <f t="shared" si="104"/>
        <v>0</v>
      </c>
      <c r="L83" s="3">
        <f t="shared" ref="L83:L85" si="105">+L82</f>
        <v>0</v>
      </c>
      <c r="M83" s="3">
        <f t="shared" ref="M83:M85" si="106">+M82</f>
        <v>0</v>
      </c>
      <c r="N83" s="9" t="s">
        <v>34</v>
      </c>
    </row>
    <row r="84" spans="1:14" x14ac:dyDescent="0.25">
      <c r="A84" s="11">
        <f t="shared" si="6"/>
        <v>21</v>
      </c>
      <c r="B84" s="32">
        <f>+'libro compras'!P83</f>
        <v>0</v>
      </c>
      <c r="C84" s="9" t="s">
        <v>0</v>
      </c>
      <c r="D84" s="9"/>
      <c r="E84" s="14" t="str">
        <f t="shared" si="103"/>
        <v/>
      </c>
      <c r="F84" s="9"/>
      <c r="G84" s="4">
        <f>-'libro compras'!AK83</f>
        <v>0</v>
      </c>
      <c r="H84" s="9"/>
      <c r="I84" s="9" t="s">
        <v>2</v>
      </c>
      <c r="J84" s="9" t="str">
        <f t="shared" ref="J84:K84" si="107">+J83</f>
        <v xml:space="preserve"> </v>
      </c>
      <c r="K84" s="7">
        <f t="shared" si="107"/>
        <v>0</v>
      </c>
      <c r="L84" s="3">
        <f t="shared" si="105"/>
        <v>0</v>
      </c>
      <c r="M84" s="3">
        <f t="shared" si="106"/>
        <v>0</v>
      </c>
      <c r="N84" s="9" t="s">
        <v>34</v>
      </c>
    </row>
    <row r="85" spans="1:14" x14ac:dyDescent="0.25">
      <c r="A85" s="11">
        <f t="shared" si="6"/>
        <v>21</v>
      </c>
      <c r="B85" s="34" t="e">
        <f>+VLOOKUP(B84,Hoja1!$A$1:$B$2,2,FALSE)</f>
        <v>#N/A</v>
      </c>
      <c r="C85" s="9" t="s">
        <v>0</v>
      </c>
      <c r="D85" s="9"/>
      <c r="E85" s="14" t="str">
        <f t="shared" si="103"/>
        <v/>
      </c>
      <c r="F85" s="9"/>
      <c r="G85" s="4">
        <f>-'libro compras'!I83</f>
        <v>0</v>
      </c>
      <c r="H85" s="9"/>
      <c r="I85" s="9" t="s">
        <v>2</v>
      </c>
      <c r="J85" s="9" t="str">
        <f t="shared" ref="J85:K85" si="108">+J84</f>
        <v xml:space="preserve"> </v>
      </c>
      <c r="K85" s="7">
        <f t="shared" si="108"/>
        <v>0</v>
      </c>
      <c r="L85" s="3">
        <f t="shared" si="105"/>
        <v>0</v>
      </c>
      <c r="M85" s="3">
        <f t="shared" si="106"/>
        <v>0</v>
      </c>
      <c r="N85" s="9" t="s">
        <v>34</v>
      </c>
    </row>
    <row r="86" spans="1:14" x14ac:dyDescent="0.25">
      <c r="A86" s="11">
        <f t="shared" ref="A86:A89" si="109">1+A82</f>
        <v>22</v>
      </c>
      <c r="B86" s="42" t="str">
        <f>+'libro compras'!$AK$1</f>
        <v>281130</v>
      </c>
      <c r="C86" s="9" t="s">
        <v>0</v>
      </c>
      <c r="D86" s="9"/>
      <c r="E86" s="14" t="str">
        <f>+'libro compras'!S87</f>
        <v/>
      </c>
      <c r="F86" s="9"/>
      <c r="G86" s="4">
        <f>+'libro compras'!AI87</f>
        <v>0</v>
      </c>
      <c r="H86" s="9"/>
      <c r="I86" s="9" t="s">
        <v>33</v>
      </c>
      <c r="J86" s="9" t="str">
        <f>+CONCATENATE('libro compras'!C87," ",'libro compras'!D87)</f>
        <v xml:space="preserve"> </v>
      </c>
      <c r="K86" s="7">
        <f t="shared" ref="K86" si="110">+K85</f>
        <v>0</v>
      </c>
      <c r="L86" s="3">
        <f>+'libro compras'!C87</f>
        <v>0</v>
      </c>
      <c r="M86" s="3">
        <f>+'libro compras'!D87</f>
        <v>0</v>
      </c>
      <c r="N86" s="9" t="s">
        <v>34</v>
      </c>
    </row>
    <row r="87" spans="1:14" x14ac:dyDescent="0.25">
      <c r="A87" s="11">
        <f t="shared" si="109"/>
        <v>22</v>
      </c>
      <c r="B87" s="43" t="str">
        <f>+'libro compras'!$AL$1</f>
        <v>401110</v>
      </c>
      <c r="C87" s="9" t="s">
        <v>0</v>
      </c>
      <c r="D87" s="9"/>
      <c r="E87" s="14" t="str">
        <f t="shared" ref="E87:E89" si="111">+E86</f>
        <v/>
      </c>
      <c r="F87" s="9"/>
      <c r="G87" s="4">
        <f>+'libro compras'!AJ87</f>
        <v>0</v>
      </c>
      <c r="H87" s="9"/>
      <c r="I87" s="9" t="s">
        <v>33</v>
      </c>
      <c r="J87" s="9" t="str">
        <f t="shared" ref="J87:K87" si="112">+J86</f>
        <v xml:space="preserve"> </v>
      </c>
      <c r="K87" s="7">
        <f t="shared" si="112"/>
        <v>0</v>
      </c>
      <c r="L87" s="3">
        <f t="shared" ref="L87:L89" si="113">+L86</f>
        <v>0</v>
      </c>
      <c r="M87" s="3">
        <f t="shared" ref="M87:M89" si="114">+M86</f>
        <v>0</v>
      </c>
      <c r="N87" s="9" t="s">
        <v>34</v>
      </c>
    </row>
    <row r="88" spans="1:14" x14ac:dyDescent="0.25">
      <c r="A88" s="11">
        <f t="shared" si="109"/>
        <v>22</v>
      </c>
      <c r="B88" s="32">
        <f>+'libro compras'!P87</f>
        <v>0</v>
      </c>
      <c r="C88" s="9" t="s">
        <v>0</v>
      </c>
      <c r="D88" s="9"/>
      <c r="E88" s="14" t="str">
        <f t="shared" si="111"/>
        <v/>
      </c>
      <c r="F88" s="9"/>
      <c r="G88" s="4">
        <f>-'libro compras'!AK87</f>
        <v>0</v>
      </c>
      <c r="H88" s="9"/>
      <c r="I88" s="9" t="s">
        <v>2</v>
      </c>
      <c r="J88" s="9" t="str">
        <f t="shared" ref="J88:K88" si="115">+J87</f>
        <v xml:space="preserve"> </v>
      </c>
      <c r="K88" s="7">
        <f t="shared" si="115"/>
        <v>0</v>
      </c>
      <c r="L88" s="3">
        <f t="shared" si="113"/>
        <v>0</v>
      </c>
      <c r="M88" s="3">
        <f t="shared" si="114"/>
        <v>0</v>
      </c>
      <c r="N88" s="9" t="s">
        <v>34</v>
      </c>
    </row>
    <row r="89" spans="1:14" x14ac:dyDescent="0.25">
      <c r="A89" s="11">
        <f t="shared" si="109"/>
        <v>22</v>
      </c>
      <c r="B89" s="34" t="e">
        <f>+VLOOKUP(B88,Hoja1!$A$1:$B$2,2,FALSE)</f>
        <v>#N/A</v>
      </c>
      <c r="C89" s="9" t="s">
        <v>0</v>
      </c>
      <c r="D89" s="9"/>
      <c r="E89" s="14" t="str">
        <f t="shared" si="111"/>
        <v/>
      </c>
      <c r="F89" s="9"/>
      <c r="G89" s="4">
        <f>-'libro compras'!I87</f>
        <v>0</v>
      </c>
      <c r="H89" s="9"/>
      <c r="I89" s="9" t="s">
        <v>2</v>
      </c>
      <c r="J89" s="9" t="str">
        <f t="shared" ref="J89:K89" si="116">+J88</f>
        <v xml:space="preserve"> </v>
      </c>
      <c r="K89" s="7">
        <f t="shared" si="116"/>
        <v>0</v>
      </c>
      <c r="L89" s="3">
        <f t="shared" si="113"/>
        <v>0</v>
      </c>
      <c r="M89" s="3">
        <f t="shared" si="114"/>
        <v>0</v>
      </c>
      <c r="N89" s="9" t="s">
        <v>34</v>
      </c>
    </row>
    <row r="90" spans="1:14" x14ac:dyDescent="0.25">
      <c r="A90" s="11">
        <f t="shared" ref="A90" si="117">+A89+1</f>
        <v>23</v>
      </c>
      <c r="B90" s="42" t="str">
        <f>+'libro compras'!$AK$1</f>
        <v>281130</v>
      </c>
      <c r="C90" s="9" t="s">
        <v>0</v>
      </c>
      <c r="D90" s="9"/>
      <c r="E90" s="14" t="str">
        <f>+'libro compras'!S91</f>
        <v/>
      </c>
      <c r="F90" s="9"/>
      <c r="G90" s="4">
        <f>+'libro compras'!AI91</f>
        <v>0</v>
      </c>
      <c r="H90" s="9"/>
      <c r="I90" s="9" t="s">
        <v>33</v>
      </c>
      <c r="J90" s="9" t="str">
        <f>+CONCATENATE('libro compras'!C91," ",'libro compras'!D91)</f>
        <v xml:space="preserve"> </v>
      </c>
      <c r="K90" s="7">
        <f>+'libro compras'!F91</f>
        <v>0</v>
      </c>
      <c r="L90" s="3">
        <f>+'libro compras'!C91</f>
        <v>0</v>
      </c>
      <c r="M90" s="3">
        <f>+'libro compras'!D91</f>
        <v>0</v>
      </c>
      <c r="N90" s="9" t="s">
        <v>34</v>
      </c>
    </row>
    <row r="91" spans="1:14" x14ac:dyDescent="0.25">
      <c r="A91" s="11">
        <f t="shared" ref="A91:A93" si="118">+A90</f>
        <v>23</v>
      </c>
      <c r="B91" s="43" t="str">
        <f>+'libro compras'!$AL$1</f>
        <v>401110</v>
      </c>
      <c r="C91" s="9" t="s">
        <v>0</v>
      </c>
      <c r="D91" s="9"/>
      <c r="E91" s="14" t="str">
        <f t="shared" ref="E91:E93" si="119">+E90</f>
        <v/>
      </c>
      <c r="F91" s="9"/>
      <c r="G91" s="4">
        <f>+'libro compras'!AJ91</f>
        <v>0</v>
      </c>
      <c r="H91" s="9"/>
      <c r="I91" s="9" t="s">
        <v>33</v>
      </c>
      <c r="J91" s="9" t="str">
        <f t="shared" ref="J91:M91" si="120">+J90</f>
        <v xml:space="preserve"> </v>
      </c>
      <c r="K91" s="7">
        <f t="shared" si="120"/>
        <v>0</v>
      </c>
      <c r="L91" s="3">
        <f t="shared" si="120"/>
        <v>0</v>
      </c>
      <c r="M91" s="3">
        <f t="shared" si="120"/>
        <v>0</v>
      </c>
      <c r="N91" s="9" t="s">
        <v>34</v>
      </c>
    </row>
    <row r="92" spans="1:14" x14ac:dyDescent="0.25">
      <c r="A92" s="11">
        <f t="shared" si="118"/>
        <v>23</v>
      </c>
      <c r="B92" s="32">
        <f>+'libro compras'!P91</f>
        <v>0</v>
      </c>
      <c r="C92" s="9" t="s">
        <v>0</v>
      </c>
      <c r="D92" s="9"/>
      <c r="E92" s="14" t="str">
        <f t="shared" si="119"/>
        <v/>
      </c>
      <c r="F92" s="9"/>
      <c r="G92" s="4">
        <f>-'libro compras'!AK91</f>
        <v>0</v>
      </c>
      <c r="H92" s="9"/>
      <c r="I92" s="9" t="s">
        <v>2</v>
      </c>
      <c r="J92" s="9" t="str">
        <f t="shared" ref="J92:M92" si="121">+J91</f>
        <v xml:space="preserve"> </v>
      </c>
      <c r="K92" s="7">
        <f t="shared" si="121"/>
        <v>0</v>
      </c>
      <c r="L92" s="3">
        <f t="shared" si="121"/>
        <v>0</v>
      </c>
      <c r="M92" s="3">
        <f t="shared" si="121"/>
        <v>0</v>
      </c>
      <c r="N92" s="9" t="s">
        <v>34</v>
      </c>
    </row>
    <row r="93" spans="1:14" x14ac:dyDescent="0.25">
      <c r="A93" s="11">
        <f t="shared" si="118"/>
        <v>23</v>
      </c>
      <c r="B93" s="34" t="e">
        <f>+VLOOKUP(B92,Hoja1!$A$1:$B$2,2,FALSE)</f>
        <v>#N/A</v>
      </c>
      <c r="C93" s="9" t="s">
        <v>0</v>
      </c>
      <c r="D93" s="9"/>
      <c r="E93" s="14" t="str">
        <f t="shared" si="119"/>
        <v/>
      </c>
      <c r="F93" s="9"/>
      <c r="G93" s="4">
        <f>-'libro compras'!I91</f>
        <v>0</v>
      </c>
      <c r="H93" s="9"/>
      <c r="I93" s="9" t="s">
        <v>2</v>
      </c>
      <c r="J93" s="9" t="str">
        <f t="shared" ref="J93:M93" si="122">+J92</f>
        <v xml:space="preserve"> </v>
      </c>
      <c r="K93" s="7">
        <f t="shared" si="122"/>
        <v>0</v>
      </c>
      <c r="L93" s="3">
        <f t="shared" si="122"/>
        <v>0</v>
      </c>
      <c r="M93" s="3">
        <f t="shared" si="122"/>
        <v>0</v>
      </c>
      <c r="N93" s="9" t="s">
        <v>34</v>
      </c>
    </row>
    <row r="94" spans="1:14" x14ac:dyDescent="0.25">
      <c r="A94" s="11">
        <f t="shared" ref="A94:A157" si="123">1+A90</f>
        <v>24</v>
      </c>
      <c r="B94" s="42" t="str">
        <f>+'libro compras'!$AK$1</f>
        <v>281130</v>
      </c>
      <c r="C94" s="9" t="s">
        <v>0</v>
      </c>
      <c r="D94" s="9"/>
      <c r="E94" s="14" t="str">
        <f>+'libro compras'!S95</f>
        <v/>
      </c>
      <c r="F94" s="9"/>
      <c r="G94" s="4">
        <f>+'libro compras'!AI95</f>
        <v>0</v>
      </c>
      <c r="H94" s="9"/>
      <c r="I94" s="9" t="s">
        <v>33</v>
      </c>
      <c r="J94" s="9" t="str">
        <f>+CONCATENATE('libro compras'!C95," ",'libro compras'!D95)</f>
        <v xml:space="preserve"> </v>
      </c>
      <c r="K94" s="7">
        <f t="shared" ref="K94" si="124">+K93</f>
        <v>0</v>
      </c>
      <c r="L94" s="3">
        <f>+'libro compras'!C95</f>
        <v>0</v>
      </c>
      <c r="M94" s="3">
        <f>+'libro compras'!D95</f>
        <v>0</v>
      </c>
      <c r="N94" s="9" t="s">
        <v>34</v>
      </c>
    </row>
    <row r="95" spans="1:14" x14ac:dyDescent="0.25">
      <c r="A95" s="11">
        <f t="shared" si="123"/>
        <v>24</v>
      </c>
      <c r="B95" s="43" t="str">
        <f>+'libro compras'!$AL$1</f>
        <v>401110</v>
      </c>
      <c r="C95" s="9" t="s">
        <v>0</v>
      </c>
      <c r="D95" s="9"/>
      <c r="E95" s="14" t="str">
        <f t="shared" ref="E95:E97" si="125">+E94</f>
        <v/>
      </c>
      <c r="F95" s="9"/>
      <c r="G95" s="4">
        <f>+'libro compras'!AJ95</f>
        <v>0</v>
      </c>
      <c r="H95" s="9"/>
      <c r="I95" s="9" t="s">
        <v>33</v>
      </c>
      <c r="J95" s="9" t="str">
        <f t="shared" ref="J95:K95" si="126">+J94</f>
        <v xml:space="preserve"> </v>
      </c>
      <c r="K95" s="7">
        <f t="shared" si="126"/>
        <v>0</v>
      </c>
      <c r="L95" s="3">
        <f t="shared" ref="L95:L97" si="127">+L94</f>
        <v>0</v>
      </c>
      <c r="M95" s="3">
        <f t="shared" ref="M95:M97" si="128">+M94</f>
        <v>0</v>
      </c>
      <c r="N95" s="9" t="s">
        <v>34</v>
      </c>
    </row>
    <row r="96" spans="1:14" x14ac:dyDescent="0.25">
      <c r="A96" s="11">
        <f t="shared" si="123"/>
        <v>24</v>
      </c>
      <c r="B96" s="32">
        <f>+'libro compras'!P95</f>
        <v>0</v>
      </c>
      <c r="C96" s="9" t="s">
        <v>0</v>
      </c>
      <c r="D96" s="9"/>
      <c r="E96" s="14" t="str">
        <f t="shared" si="125"/>
        <v/>
      </c>
      <c r="F96" s="9"/>
      <c r="G96" s="4">
        <f>-'libro compras'!AK95</f>
        <v>0</v>
      </c>
      <c r="H96" s="9"/>
      <c r="I96" s="9" t="s">
        <v>2</v>
      </c>
      <c r="J96" s="9" t="str">
        <f t="shared" ref="J96:K96" si="129">+J95</f>
        <v xml:space="preserve"> </v>
      </c>
      <c r="K96" s="7">
        <f t="shared" si="129"/>
        <v>0</v>
      </c>
      <c r="L96" s="3">
        <f t="shared" si="127"/>
        <v>0</v>
      </c>
      <c r="M96" s="3">
        <f t="shared" si="128"/>
        <v>0</v>
      </c>
      <c r="N96" s="9" t="s">
        <v>34</v>
      </c>
    </row>
    <row r="97" spans="1:14" x14ac:dyDescent="0.25">
      <c r="A97" s="11">
        <f t="shared" si="123"/>
        <v>24</v>
      </c>
      <c r="B97" s="34" t="e">
        <f>+VLOOKUP(B96,Hoja1!$A$1:$B$2,2,FALSE)</f>
        <v>#N/A</v>
      </c>
      <c r="C97" s="9" t="s">
        <v>0</v>
      </c>
      <c r="D97" s="9"/>
      <c r="E97" s="14" t="str">
        <f t="shared" si="125"/>
        <v/>
      </c>
      <c r="F97" s="9"/>
      <c r="G97" s="4">
        <f>-'libro compras'!I95</f>
        <v>0</v>
      </c>
      <c r="H97" s="9"/>
      <c r="I97" s="9" t="s">
        <v>2</v>
      </c>
      <c r="J97" s="9" t="str">
        <f t="shared" ref="J97:K97" si="130">+J96</f>
        <v xml:space="preserve"> </v>
      </c>
      <c r="K97" s="7">
        <f t="shared" si="130"/>
        <v>0</v>
      </c>
      <c r="L97" s="3">
        <f t="shared" si="127"/>
        <v>0</v>
      </c>
      <c r="M97" s="3">
        <f t="shared" si="128"/>
        <v>0</v>
      </c>
      <c r="N97" s="9" t="s">
        <v>34</v>
      </c>
    </row>
    <row r="98" spans="1:14" x14ac:dyDescent="0.25">
      <c r="A98" s="11">
        <f t="shared" si="123"/>
        <v>25</v>
      </c>
      <c r="B98" s="42" t="str">
        <f>+'libro compras'!$AK$1</f>
        <v>281130</v>
      </c>
      <c r="C98" s="9" t="s">
        <v>0</v>
      </c>
      <c r="D98" s="9"/>
      <c r="E98" s="14" t="str">
        <f>+'libro compras'!S99</f>
        <v/>
      </c>
      <c r="F98" s="9"/>
      <c r="G98" s="4">
        <f>+'libro compras'!AI99</f>
        <v>0</v>
      </c>
      <c r="H98" s="9"/>
      <c r="I98" s="9" t="s">
        <v>33</v>
      </c>
      <c r="J98" s="9" t="str">
        <f>+CONCATENATE('libro compras'!C99," ",'libro compras'!D99)</f>
        <v xml:space="preserve"> </v>
      </c>
      <c r="K98" s="7">
        <f t="shared" ref="K98" si="131">+K97</f>
        <v>0</v>
      </c>
      <c r="L98" s="3">
        <f>+'libro compras'!C99</f>
        <v>0</v>
      </c>
      <c r="M98" s="3">
        <f>+'libro compras'!D99</f>
        <v>0</v>
      </c>
      <c r="N98" s="9" t="s">
        <v>34</v>
      </c>
    </row>
    <row r="99" spans="1:14" x14ac:dyDescent="0.25">
      <c r="A99" s="11">
        <f t="shared" si="123"/>
        <v>25</v>
      </c>
      <c r="B99" s="43" t="str">
        <f>+'libro compras'!$AL$1</f>
        <v>401110</v>
      </c>
      <c r="C99" s="9" t="s">
        <v>0</v>
      </c>
      <c r="D99" s="9"/>
      <c r="E99" s="14" t="str">
        <f t="shared" ref="E99:E101" si="132">+E98</f>
        <v/>
      </c>
      <c r="F99" s="9"/>
      <c r="G99" s="4">
        <f>+'libro compras'!AJ99</f>
        <v>0</v>
      </c>
      <c r="H99" s="9"/>
      <c r="I99" s="9" t="s">
        <v>33</v>
      </c>
      <c r="J99" s="9" t="str">
        <f t="shared" ref="J99:K99" si="133">+J98</f>
        <v xml:space="preserve"> </v>
      </c>
      <c r="K99" s="7">
        <f t="shared" si="133"/>
        <v>0</v>
      </c>
      <c r="L99" s="3">
        <f t="shared" ref="L99:L101" si="134">+L98</f>
        <v>0</v>
      </c>
      <c r="M99" s="3">
        <f t="shared" ref="M99:M101" si="135">+M98</f>
        <v>0</v>
      </c>
      <c r="N99" s="9" t="s">
        <v>34</v>
      </c>
    </row>
    <row r="100" spans="1:14" x14ac:dyDescent="0.25">
      <c r="A100" s="11">
        <f t="shared" si="123"/>
        <v>25</v>
      </c>
      <c r="B100" s="32">
        <f>+'libro compras'!P99</f>
        <v>0</v>
      </c>
      <c r="C100" s="9" t="s">
        <v>0</v>
      </c>
      <c r="D100" s="9"/>
      <c r="E100" s="14" t="str">
        <f t="shared" si="132"/>
        <v/>
      </c>
      <c r="F100" s="9"/>
      <c r="G100" s="4">
        <f>-'libro compras'!AK99</f>
        <v>0</v>
      </c>
      <c r="H100" s="9"/>
      <c r="I100" s="9" t="s">
        <v>2</v>
      </c>
      <c r="J100" s="9" t="str">
        <f t="shared" ref="J100:K100" si="136">+J99</f>
        <v xml:space="preserve"> </v>
      </c>
      <c r="K100" s="7">
        <f t="shared" si="136"/>
        <v>0</v>
      </c>
      <c r="L100" s="3">
        <f t="shared" si="134"/>
        <v>0</v>
      </c>
      <c r="M100" s="3">
        <f t="shared" si="135"/>
        <v>0</v>
      </c>
      <c r="N100" s="9" t="s">
        <v>34</v>
      </c>
    </row>
    <row r="101" spans="1:14" x14ac:dyDescent="0.25">
      <c r="A101" s="11">
        <f t="shared" si="123"/>
        <v>25</v>
      </c>
      <c r="B101" s="34" t="e">
        <f>+VLOOKUP(B100,Hoja1!$A$1:$B$2,2,FALSE)</f>
        <v>#N/A</v>
      </c>
      <c r="C101" s="9" t="s">
        <v>0</v>
      </c>
      <c r="D101" s="9"/>
      <c r="E101" s="14" t="str">
        <f t="shared" si="132"/>
        <v/>
      </c>
      <c r="F101" s="9"/>
      <c r="G101" s="4">
        <f>-'libro compras'!I99</f>
        <v>0</v>
      </c>
      <c r="H101" s="9"/>
      <c r="I101" s="9" t="s">
        <v>2</v>
      </c>
      <c r="J101" s="9" t="str">
        <f t="shared" ref="J101:K101" si="137">+J100</f>
        <v xml:space="preserve"> </v>
      </c>
      <c r="K101" s="7">
        <f t="shared" si="137"/>
        <v>0</v>
      </c>
      <c r="L101" s="3">
        <f t="shared" si="134"/>
        <v>0</v>
      </c>
      <c r="M101" s="3">
        <f t="shared" si="135"/>
        <v>0</v>
      </c>
      <c r="N101" s="9" t="s">
        <v>34</v>
      </c>
    </row>
    <row r="102" spans="1:14" x14ac:dyDescent="0.25">
      <c r="A102" s="11">
        <f t="shared" ref="A102" si="138">+A101+1</f>
        <v>26</v>
      </c>
      <c r="B102" s="42" t="str">
        <f>+'libro compras'!$AK$1</f>
        <v>281130</v>
      </c>
      <c r="C102" s="9" t="s">
        <v>0</v>
      </c>
      <c r="D102" s="9"/>
      <c r="E102" s="14" t="str">
        <f>+'libro compras'!S103</f>
        <v/>
      </c>
      <c r="F102" s="9"/>
      <c r="G102" s="4">
        <f>+'libro compras'!AI103</f>
        <v>0</v>
      </c>
      <c r="H102" s="9"/>
      <c r="I102" s="9" t="s">
        <v>33</v>
      </c>
      <c r="J102" s="9" t="str">
        <f>+CONCATENATE('libro compras'!C103," ",'libro compras'!D103)</f>
        <v xml:space="preserve"> </v>
      </c>
      <c r="K102" s="7">
        <f>+'libro compras'!F103</f>
        <v>0</v>
      </c>
      <c r="L102" s="3">
        <f>+'libro compras'!C103</f>
        <v>0</v>
      </c>
      <c r="M102" s="3">
        <f>+'libro compras'!D103</f>
        <v>0</v>
      </c>
      <c r="N102" s="9" t="s">
        <v>34</v>
      </c>
    </row>
    <row r="103" spans="1:14" x14ac:dyDescent="0.25">
      <c r="A103" s="11">
        <f t="shared" ref="A103:A105" si="139">+A102</f>
        <v>26</v>
      </c>
      <c r="B103" s="43" t="str">
        <f>+'libro compras'!$AL$1</f>
        <v>401110</v>
      </c>
      <c r="C103" s="9" t="s">
        <v>0</v>
      </c>
      <c r="D103" s="9"/>
      <c r="E103" s="14" t="str">
        <f t="shared" ref="E103:E105" si="140">+E102</f>
        <v/>
      </c>
      <c r="F103" s="9"/>
      <c r="G103" s="4">
        <f>+'libro compras'!AJ103</f>
        <v>0</v>
      </c>
      <c r="H103" s="9"/>
      <c r="I103" s="9" t="s">
        <v>33</v>
      </c>
      <c r="J103" s="9" t="str">
        <f t="shared" ref="J103:M103" si="141">+J102</f>
        <v xml:space="preserve"> </v>
      </c>
      <c r="K103" s="7">
        <f t="shared" si="141"/>
        <v>0</v>
      </c>
      <c r="L103" s="3">
        <f t="shared" si="141"/>
        <v>0</v>
      </c>
      <c r="M103" s="3">
        <f t="shared" si="141"/>
        <v>0</v>
      </c>
      <c r="N103" s="9" t="s">
        <v>34</v>
      </c>
    </row>
    <row r="104" spans="1:14" x14ac:dyDescent="0.25">
      <c r="A104" s="11">
        <f t="shared" si="139"/>
        <v>26</v>
      </c>
      <c r="B104" s="32">
        <f>+'libro compras'!P103</f>
        <v>0</v>
      </c>
      <c r="C104" s="9" t="s">
        <v>0</v>
      </c>
      <c r="D104" s="9"/>
      <c r="E104" s="14" t="str">
        <f t="shared" si="140"/>
        <v/>
      </c>
      <c r="F104" s="9"/>
      <c r="G104" s="4">
        <f>-'libro compras'!AK103</f>
        <v>0</v>
      </c>
      <c r="H104" s="9"/>
      <c r="I104" s="9" t="s">
        <v>2</v>
      </c>
      <c r="J104" s="9" t="str">
        <f t="shared" ref="J104:M104" si="142">+J103</f>
        <v xml:space="preserve"> </v>
      </c>
      <c r="K104" s="7">
        <f t="shared" si="142"/>
        <v>0</v>
      </c>
      <c r="L104" s="3">
        <f t="shared" si="142"/>
        <v>0</v>
      </c>
      <c r="M104" s="3">
        <f t="shared" si="142"/>
        <v>0</v>
      </c>
      <c r="N104" s="9" t="s">
        <v>34</v>
      </c>
    </row>
    <row r="105" spans="1:14" x14ac:dyDescent="0.25">
      <c r="A105" s="11">
        <f t="shared" si="139"/>
        <v>26</v>
      </c>
      <c r="B105" s="34" t="e">
        <f>+VLOOKUP(B104,Hoja1!$A$1:$B$2,2,FALSE)</f>
        <v>#N/A</v>
      </c>
      <c r="C105" s="9" t="s">
        <v>0</v>
      </c>
      <c r="D105" s="9"/>
      <c r="E105" s="14" t="str">
        <f t="shared" si="140"/>
        <v/>
      </c>
      <c r="F105" s="9"/>
      <c r="G105" s="4">
        <f>-'libro compras'!I103</f>
        <v>0</v>
      </c>
      <c r="H105" s="9"/>
      <c r="I105" s="9" t="s">
        <v>2</v>
      </c>
      <c r="J105" s="9" t="str">
        <f t="shared" ref="J105:M105" si="143">+J104</f>
        <v xml:space="preserve"> </v>
      </c>
      <c r="K105" s="7">
        <f t="shared" si="143"/>
        <v>0</v>
      </c>
      <c r="L105" s="3">
        <f t="shared" si="143"/>
        <v>0</v>
      </c>
      <c r="M105" s="3">
        <f t="shared" si="143"/>
        <v>0</v>
      </c>
      <c r="N105" s="9" t="s">
        <v>34</v>
      </c>
    </row>
    <row r="106" spans="1:14" x14ac:dyDescent="0.25">
      <c r="A106" s="11">
        <f t="shared" si="123"/>
        <v>27</v>
      </c>
      <c r="B106" s="42" t="str">
        <f>+'libro compras'!$AK$1</f>
        <v>281130</v>
      </c>
      <c r="C106" s="9" t="s">
        <v>0</v>
      </c>
      <c r="D106" s="9"/>
      <c r="E106" s="14" t="str">
        <f>+'libro compras'!S107</f>
        <v/>
      </c>
      <c r="F106" s="9"/>
      <c r="G106" s="4">
        <f>+'libro compras'!AI107</f>
        <v>0</v>
      </c>
      <c r="H106" s="9"/>
      <c r="I106" s="9" t="s">
        <v>33</v>
      </c>
      <c r="J106" s="9" t="str">
        <f>+CONCATENATE('libro compras'!C107," ",'libro compras'!D107)</f>
        <v xml:space="preserve"> </v>
      </c>
      <c r="K106" s="7">
        <f t="shared" ref="K106" si="144">+K105</f>
        <v>0</v>
      </c>
      <c r="L106" s="3">
        <f>+'libro compras'!C107</f>
        <v>0</v>
      </c>
      <c r="M106" s="3">
        <f>+'libro compras'!D107</f>
        <v>0</v>
      </c>
      <c r="N106" s="9" t="s">
        <v>34</v>
      </c>
    </row>
    <row r="107" spans="1:14" x14ac:dyDescent="0.25">
      <c r="A107" s="11">
        <f t="shared" si="123"/>
        <v>27</v>
      </c>
      <c r="B107" s="43" t="str">
        <f>+'libro compras'!$AL$1</f>
        <v>401110</v>
      </c>
      <c r="C107" s="9" t="s">
        <v>0</v>
      </c>
      <c r="D107" s="9"/>
      <c r="E107" s="14" t="str">
        <f t="shared" ref="E107:E109" si="145">+E106</f>
        <v/>
      </c>
      <c r="F107" s="9"/>
      <c r="G107" s="4">
        <f>+'libro compras'!AJ107</f>
        <v>0</v>
      </c>
      <c r="H107" s="9"/>
      <c r="I107" s="9" t="s">
        <v>33</v>
      </c>
      <c r="J107" s="9" t="str">
        <f t="shared" ref="J107:K107" si="146">+J106</f>
        <v xml:space="preserve"> </v>
      </c>
      <c r="K107" s="7">
        <f t="shared" si="146"/>
        <v>0</v>
      </c>
      <c r="L107" s="3">
        <f t="shared" ref="L107:L109" si="147">+L106</f>
        <v>0</v>
      </c>
      <c r="M107" s="3">
        <f t="shared" ref="M107:M109" si="148">+M106</f>
        <v>0</v>
      </c>
      <c r="N107" s="9" t="s">
        <v>34</v>
      </c>
    </row>
    <row r="108" spans="1:14" x14ac:dyDescent="0.25">
      <c r="A108" s="11">
        <f t="shared" si="123"/>
        <v>27</v>
      </c>
      <c r="B108" s="32">
        <f>+'libro compras'!P107</f>
        <v>0</v>
      </c>
      <c r="C108" s="9" t="s">
        <v>0</v>
      </c>
      <c r="D108" s="9"/>
      <c r="E108" s="14" t="str">
        <f t="shared" si="145"/>
        <v/>
      </c>
      <c r="F108" s="9"/>
      <c r="G108" s="4">
        <f>-'libro compras'!AK107</f>
        <v>0</v>
      </c>
      <c r="H108" s="9"/>
      <c r="I108" s="9" t="s">
        <v>2</v>
      </c>
      <c r="J108" s="9" t="str">
        <f t="shared" ref="J108:K108" si="149">+J107</f>
        <v xml:space="preserve"> </v>
      </c>
      <c r="K108" s="7">
        <f t="shared" si="149"/>
        <v>0</v>
      </c>
      <c r="L108" s="3">
        <f t="shared" si="147"/>
        <v>0</v>
      </c>
      <c r="M108" s="3">
        <f t="shared" si="148"/>
        <v>0</v>
      </c>
      <c r="N108" s="9" t="s">
        <v>34</v>
      </c>
    </row>
    <row r="109" spans="1:14" hidden="1" x14ac:dyDescent="0.25">
      <c r="A109" s="11">
        <f t="shared" si="123"/>
        <v>27</v>
      </c>
      <c r="B109" s="34" t="e">
        <f>+VLOOKUP(B108,Hoja1!$A$1:$B$2,2,FALSE)</f>
        <v>#N/A</v>
      </c>
      <c r="C109" s="9" t="s">
        <v>0</v>
      </c>
      <c r="D109" s="9"/>
      <c r="E109" s="14" t="str">
        <f t="shared" si="145"/>
        <v/>
      </c>
      <c r="F109" s="9"/>
      <c r="G109" s="4">
        <f>-'libro compras'!I107</f>
        <v>0</v>
      </c>
      <c r="H109" s="9"/>
      <c r="I109" s="9" t="s">
        <v>2</v>
      </c>
      <c r="J109" s="9" t="str">
        <f t="shared" ref="J109:K109" si="150">+J108</f>
        <v xml:space="preserve"> </v>
      </c>
      <c r="K109" s="7">
        <f t="shared" si="150"/>
        <v>0</v>
      </c>
      <c r="L109" s="3">
        <f t="shared" si="147"/>
        <v>0</v>
      </c>
      <c r="M109" s="3">
        <f t="shared" si="148"/>
        <v>0</v>
      </c>
      <c r="N109" s="9" t="s">
        <v>34</v>
      </c>
    </row>
    <row r="110" spans="1:14" x14ac:dyDescent="0.25">
      <c r="A110" s="11">
        <f t="shared" si="123"/>
        <v>28</v>
      </c>
      <c r="B110" s="42" t="str">
        <f>+'libro compras'!$AK$1</f>
        <v>281130</v>
      </c>
      <c r="C110" s="9" t="s">
        <v>0</v>
      </c>
      <c r="D110" s="9"/>
      <c r="E110" s="14" t="str">
        <f>+'libro compras'!S111</f>
        <v/>
      </c>
      <c r="F110" s="9"/>
      <c r="G110" s="4">
        <f>+'libro compras'!AI111</f>
        <v>0</v>
      </c>
      <c r="H110" s="9"/>
      <c r="I110" s="9" t="s">
        <v>33</v>
      </c>
      <c r="J110" s="9" t="str">
        <f>+CONCATENATE('libro compras'!C111," ",'libro compras'!D111)</f>
        <v xml:space="preserve"> </v>
      </c>
      <c r="K110" s="7">
        <f t="shared" ref="K110" si="151">+K109</f>
        <v>0</v>
      </c>
      <c r="L110" s="3">
        <f>+'libro compras'!C111</f>
        <v>0</v>
      </c>
      <c r="M110" s="3">
        <f>+'libro compras'!D111</f>
        <v>0</v>
      </c>
      <c r="N110" s="9" t="s">
        <v>34</v>
      </c>
    </row>
    <row r="111" spans="1:14" x14ac:dyDescent="0.25">
      <c r="A111" s="11">
        <f t="shared" si="123"/>
        <v>28</v>
      </c>
      <c r="B111" s="43" t="str">
        <f>+'libro compras'!$AL$1</f>
        <v>401110</v>
      </c>
      <c r="C111" s="9" t="s">
        <v>0</v>
      </c>
      <c r="D111" s="9"/>
      <c r="E111" s="14" t="str">
        <f t="shared" ref="E111:E113" si="152">+E110</f>
        <v/>
      </c>
      <c r="F111" s="9"/>
      <c r="G111" s="4">
        <f>+'libro compras'!AJ111</f>
        <v>0</v>
      </c>
      <c r="H111" s="9"/>
      <c r="I111" s="9" t="s">
        <v>33</v>
      </c>
      <c r="J111" s="9" t="str">
        <f t="shared" ref="J111:K111" si="153">+J110</f>
        <v xml:space="preserve"> </v>
      </c>
      <c r="K111" s="7">
        <f t="shared" si="153"/>
        <v>0</v>
      </c>
      <c r="L111" s="3">
        <f t="shared" ref="L111:L113" si="154">+L110</f>
        <v>0</v>
      </c>
      <c r="M111" s="3">
        <f t="shared" ref="M111:M113" si="155">+M110</f>
        <v>0</v>
      </c>
      <c r="N111" s="9" t="s">
        <v>34</v>
      </c>
    </row>
    <row r="112" spans="1:14" x14ac:dyDescent="0.25">
      <c r="A112" s="11">
        <f t="shared" si="123"/>
        <v>28</v>
      </c>
      <c r="B112" s="32">
        <f>+'libro compras'!P111</f>
        <v>0</v>
      </c>
      <c r="C112" s="9" t="s">
        <v>0</v>
      </c>
      <c r="D112" s="9"/>
      <c r="E112" s="14" t="str">
        <f t="shared" si="152"/>
        <v/>
      </c>
      <c r="F112" s="9"/>
      <c r="G112" s="4">
        <f>-'libro compras'!AK111</f>
        <v>0</v>
      </c>
      <c r="H112" s="9"/>
      <c r="I112" s="9" t="s">
        <v>2</v>
      </c>
      <c r="J112" s="9" t="str">
        <f t="shared" ref="J112:K112" si="156">+J111</f>
        <v xml:space="preserve"> </v>
      </c>
      <c r="K112" s="7">
        <f t="shared" si="156"/>
        <v>0</v>
      </c>
      <c r="L112" s="3">
        <f t="shared" si="154"/>
        <v>0</v>
      </c>
      <c r="M112" s="3">
        <f t="shared" si="155"/>
        <v>0</v>
      </c>
      <c r="N112" s="9" t="s">
        <v>34</v>
      </c>
    </row>
    <row r="113" spans="1:14" x14ac:dyDescent="0.25">
      <c r="A113" s="11">
        <f t="shared" si="123"/>
        <v>28</v>
      </c>
      <c r="B113" s="34" t="e">
        <f>+VLOOKUP(B112,Hoja1!$A$1:$B$2,2,FALSE)</f>
        <v>#N/A</v>
      </c>
      <c r="C113" s="9" t="s">
        <v>0</v>
      </c>
      <c r="D113" s="9"/>
      <c r="E113" s="14" t="str">
        <f t="shared" si="152"/>
        <v/>
      </c>
      <c r="F113" s="9"/>
      <c r="G113" s="4">
        <f>-'libro compras'!I111</f>
        <v>0</v>
      </c>
      <c r="H113" s="9"/>
      <c r="I113" s="9" t="s">
        <v>2</v>
      </c>
      <c r="J113" s="9" t="str">
        <f t="shared" ref="J113:K113" si="157">+J112</f>
        <v xml:space="preserve"> </v>
      </c>
      <c r="K113" s="7">
        <f t="shared" si="157"/>
        <v>0</v>
      </c>
      <c r="L113" s="3">
        <f t="shared" si="154"/>
        <v>0</v>
      </c>
      <c r="M113" s="3">
        <f t="shared" si="155"/>
        <v>0</v>
      </c>
      <c r="N113" s="9" t="s">
        <v>34</v>
      </c>
    </row>
    <row r="114" spans="1:14" x14ac:dyDescent="0.25">
      <c r="A114" s="11">
        <f t="shared" ref="A114" si="158">+A113+1</f>
        <v>29</v>
      </c>
      <c r="B114" s="42" t="str">
        <f>+'libro compras'!$AK$1</f>
        <v>281130</v>
      </c>
      <c r="C114" s="9" t="s">
        <v>0</v>
      </c>
      <c r="D114" s="9"/>
      <c r="E114" s="14" t="str">
        <f>+'libro compras'!S115</f>
        <v/>
      </c>
      <c r="F114" s="9"/>
      <c r="G114" s="4">
        <f>+'libro compras'!AI115</f>
        <v>0</v>
      </c>
      <c r="H114" s="9"/>
      <c r="I114" s="9" t="s">
        <v>33</v>
      </c>
      <c r="J114" s="9" t="str">
        <f>+CONCATENATE('libro compras'!C115," ",'libro compras'!D115)</f>
        <v xml:space="preserve"> </v>
      </c>
      <c r="K114" s="7">
        <f>+'libro compras'!F115</f>
        <v>0</v>
      </c>
      <c r="L114" s="3">
        <f>+'libro compras'!C115</f>
        <v>0</v>
      </c>
      <c r="M114" s="3">
        <f>+'libro compras'!D115</f>
        <v>0</v>
      </c>
      <c r="N114" s="9" t="s">
        <v>34</v>
      </c>
    </row>
    <row r="115" spans="1:14" x14ac:dyDescent="0.25">
      <c r="A115" s="11">
        <f t="shared" ref="A115:A117" si="159">+A114</f>
        <v>29</v>
      </c>
      <c r="B115" s="43" t="str">
        <f>+'libro compras'!$AL$1</f>
        <v>401110</v>
      </c>
      <c r="C115" s="9" t="s">
        <v>0</v>
      </c>
      <c r="D115" s="9"/>
      <c r="E115" s="14" t="str">
        <f t="shared" ref="E115:E117" si="160">+E114</f>
        <v/>
      </c>
      <c r="F115" s="9"/>
      <c r="G115" s="4">
        <f>+'libro compras'!AJ115</f>
        <v>0</v>
      </c>
      <c r="H115" s="9"/>
      <c r="I115" s="9" t="s">
        <v>33</v>
      </c>
      <c r="J115" s="9" t="str">
        <f t="shared" ref="J115:M115" si="161">+J114</f>
        <v xml:space="preserve"> </v>
      </c>
      <c r="K115" s="7">
        <f t="shared" si="161"/>
        <v>0</v>
      </c>
      <c r="L115" s="3">
        <f t="shared" si="161"/>
        <v>0</v>
      </c>
      <c r="M115" s="3">
        <f t="shared" si="161"/>
        <v>0</v>
      </c>
      <c r="N115" s="9" t="s">
        <v>34</v>
      </c>
    </row>
    <row r="116" spans="1:14" x14ac:dyDescent="0.25">
      <c r="A116" s="11">
        <f t="shared" si="159"/>
        <v>29</v>
      </c>
      <c r="B116" s="32">
        <f>+'libro compras'!P115</f>
        <v>0</v>
      </c>
      <c r="C116" s="9" t="s">
        <v>0</v>
      </c>
      <c r="D116" s="9"/>
      <c r="E116" s="14" t="str">
        <f t="shared" si="160"/>
        <v/>
      </c>
      <c r="F116" s="9"/>
      <c r="G116" s="4">
        <f>-'libro compras'!AK115</f>
        <v>0</v>
      </c>
      <c r="H116" s="9"/>
      <c r="I116" s="9" t="s">
        <v>2</v>
      </c>
      <c r="J116" s="9" t="str">
        <f t="shared" ref="J116:M116" si="162">+J115</f>
        <v xml:space="preserve"> </v>
      </c>
      <c r="K116" s="7">
        <f t="shared" si="162"/>
        <v>0</v>
      </c>
      <c r="L116" s="3">
        <f t="shared" si="162"/>
        <v>0</v>
      </c>
      <c r="M116" s="3">
        <f t="shared" si="162"/>
        <v>0</v>
      </c>
      <c r="N116" s="9" t="s">
        <v>34</v>
      </c>
    </row>
    <row r="117" spans="1:14" x14ac:dyDescent="0.25">
      <c r="A117" s="11">
        <f t="shared" si="159"/>
        <v>29</v>
      </c>
      <c r="B117" s="34" t="e">
        <f>+VLOOKUP(B116,Hoja1!$A$1:$B$2,2,FALSE)</f>
        <v>#N/A</v>
      </c>
      <c r="C117" s="9" t="s">
        <v>0</v>
      </c>
      <c r="D117" s="9"/>
      <c r="E117" s="14" t="str">
        <f t="shared" si="160"/>
        <v/>
      </c>
      <c r="F117" s="9"/>
      <c r="G117" s="4">
        <f>-'libro compras'!I115</f>
        <v>0</v>
      </c>
      <c r="H117" s="9"/>
      <c r="I117" s="9" t="s">
        <v>2</v>
      </c>
      <c r="J117" s="9" t="str">
        <f t="shared" ref="J117:M117" si="163">+J116</f>
        <v xml:space="preserve"> </v>
      </c>
      <c r="K117" s="7">
        <f t="shared" si="163"/>
        <v>0</v>
      </c>
      <c r="L117" s="3">
        <f t="shared" si="163"/>
        <v>0</v>
      </c>
      <c r="M117" s="3">
        <f t="shared" si="163"/>
        <v>0</v>
      </c>
      <c r="N117" s="9" t="s">
        <v>34</v>
      </c>
    </row>
    <row r="118" spans="1:14" x14ac:dyDescent="0.25">
      <c r="A118" s="11">
        <f t="shared" si="123"/>
        <v>30</v>
      </c>
      <c r="B118" s="42" t="str">
        <f>+'libro compras'!$AK$1</f>
        <v>281130</v>
      </c>
      <c r="C118" s="9" t="s">
        <v>0</v>
      </c>
      <c r="D118" s="9"/>
      <c r="E118" s="14" t="str">
        <f>+'libro compras'!S119</f>
        <v/>
      </c>
      <c r="F118" s="9"/>
      <c r="G118" s="4">
        <f>+'libro compras'!AI119</f>
        <v>0</v>
      </c>
      <c r="H118" s="9"/>
      <c r="I118" s="9" t="s">
        <v>33</v>
      </c>
      <c r="J118" s="9" t="str">
        <f>+CONCATENATE('libro compras'!C119," ",'libro compras'!D119)</f>
        <v xml:space="preserve"> </v>
      </c>
      <c r="K118" s="7">
        <f t="shared" ref="K118" si="164">+K117</f>
        <v>0</v>
      </c>
      <c r="L118" s="3">
        <f>+'libro compras'!C119</f>
        <v>0</v>
      </c>
      <c r="M118" s="3">
        <f>+'libro compras'!D119</f>
        <v>0</v>
      </c>
      <c r="N118" s="9" t="s">
        <v>34</v>
      </c>
    </row>
    <row r="119" spans="1:14" x14ac:dyDescent="0.25">
      <c r="A119" s="11">
        <f t="shared" si="123"/>
        <v>30</v>
      </c>
      <c r="B119" s="43" t="str">
        <f>+'libro compras'!$AL$1</f>
        <v>401110</v>
      </c>
      <c r="C119" s="9" t="s">
        <v>0</v>
      </c>
      <c r="D119" s="9"/>
      <c r="E119" s="14" t="str">
        <f t="shared" ref="E119:E121" si="165">+E118</f>
        <v/>
      </c>
      <c r="F119" s="9"/>
      <c r="G119" s="4">
        <f>+'libro compras'!AJ119</f>
        <v>0</v>
      </c>
      <c r="H119" s="9"/>
      <c r="I119" s="9" t="s">
        <v>33</v>
      </c>
      <c r="J119" s="9" t="str">
        <f t="shared" ref="J119:K119" si="166">+J118</f>
        <v xml:space="preserve"> </v>
      </c>
      <c r="K119" s="7">
        <f t="shared" si="166"/>
        <v>0</v>
      </c>
      <c r="L119" s="3">
        <f t="shared" ref="L119:L121" si="167">+L118</f>
        <v>0</v>
      </c>
      <c r="M119" s="3">
        <f t="shared" ref="M119:M121" si="168">+M118</f>
        <v>0</v>
      </c>
      <c r="N119" s="9" t="s">
        <v>34</v>
      </c>
    </row>
    <row r="120" spans="1:14" x14ac:dyDescent="0.25">
      <c r="A120" s="11">
        <f t="shared" si="123"/>
        <v>30</v>
      </c>
      <c r="B120" s="32">
        <f>+'libro compras'!P119</f>
        <v>0</v>
      </c>
      <c r="C120" s="9" t="s">
        <v>0</v>
      </c>
      <c r="D120" s="9"/>
      <c r="E120" s="14" t="str">
        <f t="shared" si="165"/>
        <v/>
      </c>
      <c r="F120" s="9"/>
      <c r="G120" s="4">
        <f>-'libro compras'!AK119</f>
        <v>0</v>
      </c>
      <c r="H120" s="9"/>
      <c r="I120" s="9" t="s">
        <v>2</v>
      </c>
      <c r="J120" s="9" t="str">
        <f t="shared" ref="J120:K120" si="169">+J119</f>
        <v xml:space="preserve"> </v>
      </c>
      <c r="K120" s="7">
        <f t="shared" si="169"/>
        <v>0</v>
      </c>
      <c r="L120" s="3">
        <f t="shared" si="167"/>
        <v>0</v>
      </c>
      <c r="M120" s="3">
        <f t="shared" si="168"/>
        <v>0</v>
      </c>
      <c r="N120" s="9" t="s">
        <v>34</v>
      </c>
    </row>
    <row r="121" spans="1:14" x14ac:dyDescent="0.25">
      <c r="A121" s="11">
        <f t="shared" si="123"/>
        <v>30</v>
      </c>
      <c r="B121" s="34" t="e">
        <f>+VLOOKUP(B120,Hoja1!$A$1:$B$2,2,FALSE)</f>
        <v>#N/A</v>
      </c>
      <c r="C121" s="9" t="s">
        <v>0</v>
      </c>
      <c r="D121" s="9"/>
      <c r="E121" s="14" t="str">
        <f t="shared" si="165"/>
        <v/>
      </c>
      <c r="F121" s="9"/>
      <c r="G121" s="4">
        <f>-'libro compras'!I119</f>
        <v>0</v>
      </c>
      <c r="H121" s="9"/>
      <c r="I121" s="9" t="s">
        <v>2</v>
      </c>
      <c r="J121" s="9" t="str">
        <f t="shared" ref="J121:K121" si="170">+J120</f>
        <v xml:space="preserve"> </v>
      </c>
      <c r="K121" s="7">
        <f t="shared" si="170"/>
        <v>0</v>
      </c>
      <c r="L121" s="3">
        <f t="shared" si="167"/>
        <v>0</v>
      </c>
      <c r="M121" s="3">
        <f t="shared" si="168"/>
        <v>0</v>
      </c>
      <c r="N121" s="9" t="s">
        <v>34</v>
      </c>
    </row>
    <row r="122" spans="1:14" x14ac:dyDescent="0.25">
      <c r="A122" s="11">
        <f t="shared" si="123"/>
        <v>31</v>
      </c>
      <c r="B122" s="42" t="str">
        <f>+'libro compras'!$AK$1</f>
        <v>281130</v>
      </c>
      <c r="C122" s="9" t="s">
        <v>0</v>
      </c>
      <c r="D122" s="9"/>
      <c r="E122" s="14" t="str">
        <f>+'libro compras'!S123</f>
        <v/>
      </c>
      <c r="F122" s="9"/>
      <c r="G122" s="4">
        <f>+'libro compras'!AI123</f>
        <v>0</v>
      </c>
      <c r="H122" s="9"/>
      <c r="I122" s="9" t="s">
        <v>33</v>
      </c>
      <c r="J122" s="9" t="str">
        <f>+CONCATENATE('libro compras'!C123," ",'libro compras'!D123)</f>
        <v xml:space="preserve"> </v>
      </c>
      <c r="K122" s="7">
        <f t="shared" ref="K122" si="171">+K121</f>
        <v>0</v>
      </c>
      <c r="L122" s="3">
        <f>+'libro compras'!C123</f>
        <v>0</v>
      </c>
      <c r="M122" s="3">
        <f>+'libro compras'!D123</f>
        <v>0</v>
      </c>
      <c r="N122" s="9" t="s">
        <v>34</v>
      </c>
    </row>
    <row r="123" spans="1:14" x14ac:dyDescent="0.25">
      <c r="A123" s="11">
        <f t="shared" si="123"/>
        <v>31</v>
      </c>
      <c r="B123" s="43" t="str">
        <f>+'libro compras'!$AL$1</f>
        <v>401110</v>
      </c>
      <c r="C123" s="9" t="s">
        <v>0</v>
      </c>
      <c r="D123" s="9"/>
      <c r="E123" s="14" t="str">
        <f t="shared" ref="E123:E125" si="172">+E122</f>
        <v/>
      </c>
      <c r="F123" s="9"/>
      <c r="G123" s="4">
        <f>+'libro compras'!AJ123</f>
        <v>0</v>
      </c>
      <c r="H123" s="9"/>
      <c r="I123" s="9" t="s">
        <v>33</v>
      </c>
      <c r="J123" s="9" t="str">
        <f t="shared" ref="J123:K123" si="173">+J122</f>
        <v xml:space="preserve"> </v>
      </c>
      <c r="K123" s="7">
        <f t="shared" si="173"/>
        <v>0</v>
      </c>
      <c r="L123" s="3">
        <f t="shared" ref="L123:L125" si="174">+L122</f>
        <v>0</v>
      </c>
      <c r="M123" s="3">
        <f t="shared" ref="M123:M125" si="175">+M122</f>
        <v>0</v>
      </c>
      <c r="N123" s="9" t="s">
        <v>34</v>
      </c>
    </row>
    <row r="124" spans="1:14" x14ac:dyDescent="0.25">
      <c r="A124" s="11">
        <f t="shared" si="123"/>
        <v>31</v>
      </c>
      <c r="B124" s="32">
        <f>+'libro compras'!P123</f>
        <v>0</v>
      </c>
      <c r="C124" s="9" t="s">
        <v>0</v>
      </c>
      <c r="D124" s="9"/>
      <c r="E124" s="14" t="str">
        <f t="shared" si="172"/>
        <v/>
      </c>
      <c r="F124" s="9"/>
      <c r="G124" s="4">
        <f>-'libro compras'!AK123</f>
        <v>0</v>
      </c>
      <c r="H124" s="9"/>
      <c r="I124" s="9" t="s">
        <v>2</v>
      </c>
      <c r="J124" s="9" t="str">
        <f t="shared" ref="J124:K124" si="176">+J123</f>
        <v xml:space="preserve"> </v>
      </c>
      <c r="K124" s="7">
        <f t="shared" si="176"/>
        <v>0</v>
      </c>
      <c r="L124" s="3">
        <f t="shared" si="174"/>
        <v>0</v>
      </c>
      <c r="M124" s="3">
        <f t="shared" si="175"/>
        <v>0</v>
      </c>
      <c r="N124" s="9" t="s">
        <v>34</v>
      </c>
    </row>
    <row r="125" spans="1:14" x14ac:dyDescent="0.25">
      <c r="A125" s="11">
        <f t="shared" si="123"/>
        <v>31</v>
      </c>
      <c r="B125" s="34" t="e">
        <f>+VLOOKUP(B124,Hoja1!$A$1:$B$2,2,FALSE)</f>
        <v>#N/A</v>
      </c>
      <c r="C125" s="9" t="s">
        <v>0</v>
      </c>
      <c r="D125" s="9"/>
      <c r="E125" s="14" t="str">
        <f t="shared" si="172"/>
        <v/>
      </c>
      <c r="F125" s="9"/>
      <c r="G125" s="4">
        <f>-'libro compras'!I123</f>
        <v>0</v>
      </c>
      <c r="H125" s="9"/>
      <c r="I125" s="9" t="s">
        <v>2</v>
      </c>
      <c r="J125" s="9" t="str">
        <f t="shared" ref="J125:K125" si="177">+J124</f>
        <v xml:space="preserve"> </v>
      </c>
      <c r="K125" s="7">
        <f t="shared" si="177"/>
        <v>0</v>
      </c>
      <c r="L125" s="3">
        <f t="shared" si="174"/>
        <v>0</v>
      </c>
      <c r="M125" s="3">
        <f t="shared" si="175"/>
        <v>0</v>
      </c>
      <c r="N125" s="9" t="s">
        <v>34</v>
      </c>
    </row>
    <row r="126" spans="1:14" x14ac:dyDescent="0.25">
      <c r="A126" s="11">
        <f t="shared" ref="A126" si="178">+A125+1</f>
        <v>32</v>
      </c>
      <c r="B126" s="42" t="str">
        <f>+'libro compras'!$AK$1</f>
        <v>281130</v>
      </c>
      <c r="C126" s="9" t="s">
        <v>0</v>
      </c>
      <c r="D126" s="9"/>
      <c r="E126" s="14" t="str">
        <f>+'libro compras'!S127</f>
        <v/>
      </c>
      <c r="F126" s="9"/>
      <c r="G126" s="4">
        <f>+'libro compras'!AI127</f>
        <v>0</v>
      </c>
      <c r="H126" s="9"/>
      <c r="I126" s="9" t="s">
        <v>33</v>
      </c>
      <c r="J126" s="9" t="str">
        <f>+CONCATENATE('libro compras'!C127," ",'libro compras'!D127)</f>
        <v xml:space="preserve"> </v>
      </c>
      <c r="K126" s="7">
        <f>+'libro compras'!F127</f>
        <v>0</v>
      </c>
      <c r="L126" s="3">
        <f>+'libro compras'!C127</f>
        <v>0</v>
      </c>
      <c r="M126" s="3">
        <f>+'libro compras'!D127</f>
        <v>0</v>
      </c>
      <c r="N126" s="9" t="s">
        <v>34</v>
      </c>
    </row>
    <row r="127" spans="1:14" x14ac:dyDescent="0.25">
      <c r="A127" s="11">
        <f t="shared" ref="A127:A129" si="179">+A126</f>
        <v>32</v>
      </c>
      <c r="B127" s="43" t="str">
        <f>+'libro compras'!$AL$1</f>
        <v>401110</v>
      </c>
      <c r="C127" s="9" t="s">
        <v>0</v>
      </c>
      <c r="D127" s="9"/>
      <c r="E127" s="14" t="str">
        <f t="shared" ref="E127:E129" si="180">+E126</f>
        <v/>
      </c>
      <c r="F127" s="9"/>
      <c r="G127" s="4">
        <f>+'libro compras'!AJ127</f>
        <v>0</v>
      </c>
      <c r="H127" s="9"/>
      <c r="I127" s="9" t="s">
        <v>33</v>
      </c>
      <c r="J127" s="9" t="str">
        <f t="shared" ref="J127:M127" si="181">+J126</f>
        <v xml:space="preserve"> </v>
      </c>
      <c r="K127" s="7">
        <f t="shared" si="181"/>
        <v>0</v>
      </c>
      <c r="L127" s="3">
        <f t="shared" si="181"/>
        <v>0</v>
      </c>
      <c r="M127" s="3">
        <f t="shared" si="181"/>
        <v>0</v>
      </c>
      <c r="N127" s="9" t="s">
        <v>34</v>
      </c>
    </row>
    <row r="128" spans="1:14" x14ac:dyDescent="0.25">
      <c r="A128" s="11">
        <f t="shared" si="179"/>
        <v>32</v>
      </c>
      <c r="B128" s="32">
        <f>+'libro compras'!P127</f>
        <v>0</v>
      </c>
      <c r="C128" s="9" t="s">
        <v>0</v>
      </c>
      <c r="D128" s="9"/>
      <c r="E128" s="14" t="str">
        <f t="shared" si="180"/>
        <v/>
      </c>
      <c r="F128" s="9"/>
      <c r="G128" s="4">
        <f>-'libro compras'!AK127</f>
        <v>0</v>
      </c>
      <c r="H128" s="9"/>
      <c r="I128" s="9" t="s">
        <v>2</v>
      </c>
      <c r="J128" s="9" t="str">
        <f t="shared" ref="J128:M128" si="182">+J127</f>
        <v xml:space="preserve"> </v>
      </c>
      <c r="K128" s="7">
        <f t="shared" si="182"/>
        <v>0</v>
      </c>
      <c r="L128" s="3">
        <f t="shared" si="182"/>
        <v>0</v>
      </c>
      <c r="M128" s="3">
        <f t="shared" si="182"/>
        <v>0</v>
      </c>
      <c r="N128" s="9" t="s">
        <v>34</v>
      </c>
    </row>
    <row r="129" spans="1:14" x14ac:dyDescent="0.25">
      <c r="A129" s="11">
        <f t="shared" si="179"/>
        <v>32</v>
      </c>
      <c r="B129" s="34" t="e">
        <f>+VLOOKUP(B128,Hoja1!$A$1:$B$2,2,FALSE)</f>
        <v>#N/A</v>
      </c>
      <c r="C129" s="9" t="s">
        <v>0</v>
      </c>
      <c r="D129" s="9"/>
      <c r="E129" s="14" t="str">
        <f t="shared" si="180"/>
        <v/>
      </c>
      <c r="F129" s="9"/>
      <c r="G129" s="4">
        <f>-'libro compras'!I127</f>
        <v>0</v>
      </c>
      <c r="H129" s="9"/>
      <c r="I129" s="9" t="s">
        <v>2</v>
      </c>
      <c r="J129" s="9" t="str">
        <f t="shared" ref="J129:M129" si="183">+J128</f>
        <v xml:space="preserve"> </v>
      </c>
      <c r="K129" s="7">
        <f t="shared" si="183"/>
        <v>0</v>
      </c>
      <c r="L129" s="3">
        <f t="shared" si="183"/>
        <v>0</v>
      </c>
      <c r="M129" s="3">
        <f t="shared" si="183"/>
        <v>0</v>
      </c>
      <c r="N129" s="9" t="s">
        <v>34</v>
      </c>
    </row>
    <row r="130" spans="1:14" x14ac:dyDescent="0.25">
      <c r="A130" s="11">
        <f t="shared" si="123"/>
        <v>33</v>
      </c>
      <c r="B130" s="42" t="str">
        <f>+'libro compras'!$AK$1</f>
        <v>281130</v>
      </c>
      <c r="C130" s="9" t="s">
        <v>0</v>
      </c>
      <c r="D130" s="9"/>
      <c r="E130" s="14" t="str">
        <f>+'libro compras'!S131</f>
        <v/>
      </c>
      <c r="F130" s="9"/>
      <c r="G130" s="4">
        <f>+'libro compras'!AI131</f>
        <v>0</v>
      </c>
      <c r="H130" s="9"/>
      <c r="I130" s="9" t="s">
        <v>33</v>
      </c>
      <c r="J130" s="9" t="str">
        <f>+CONCATENATE('libro compras'!C131," ",'libro compras'!D131)</f>
        <v xml:space="preserve"> </v>
      </c>
      <c r="K130" s="7">
        <f t="shared" ref="K130" si="184">+K129</f>
        <v>0</v>
      </c>
      <c r="L130" s="3">
        <f>+'libro compras'!C131</f>
        <v>0</v>
      </c>
      <c r="M130" s="3">
        <f>+'libro compras'!D131</f>
        <v>0</v>
      </c>
      <c r="N130" s="9" t="s">
        <v>34</v>
      </c>
    </row>
    <row r="131" spans="1:14" x14ac:dyDescent="0.25">
      <c r="A131" s="11">
        <f t="shared" si="123"/>
        <v>33</v>
      </c>
      <c r="B131" s="43" t="str">
        <f>+'libro compras'!$AL$1</f>
        <v>401110</v>
      </c>
      <c r="C131" s="9" t="s">
        <v>0</v>
      </c>
      <c r="D131" s="9"/>
      <c r="E131" s="14" t="str">
        <f t="shared" ref="E131:E133" si="185">+E130</f>
        <v/>
      </c>
      <c r="F131" s="9"/>
      <c r="G131" s="4">
        <f>+'libro compras'!AJ131</f>
        <v>0</v>
      </c>
      <c r="H131" s="9"/>
      <c r="I131" s="9" t="s">
        <v>33</v>
      </c>
      <c r="J131" s="9" t="str">
        <f t="shared" ref="J131:K131" si="186">+J130</f>
        <v xml:space="preserve"> </v>
      </c>
      <c r="K131" s="7">
        <f t="shared" si="186"/>
        <v>0</v>
      </c>
      <c r="L131" s="3">
        <f t="shared" ref="L131:L133" si="187">+L130</f>
        <v>0</v>
      </c>
      <c r="M131" s="3">
        <f t="shared" ref="M131:M133" si="188">+M130</f>
        <v>0</v>
      </c>
      <c r="N131" s="9" t="s">
        <v>34</v>
      </c>
    </row>
    <row r="132" spans="1:14" x14ac:dyDescent="0.25">
      <c r="A132" s="11">
        <f t="shared" si="123"/>
        <v>33</v>
      </c>
      <c r="B132" s="32">
        <f>+'libro compras'!P131</f>
        <v>0</v>
      </c>
      <c r="C132" s="9" t="s">
        <v>0</v>
      </c>
      <c r="D132" s="9"/>
      <c r="E132" s="14" t="str">
        <f t="shared" si="185"/>
        <v/>
      </c>
      <c r="F132" s="9"/>
      <c r="G132" s="4">
        <f>-'libro compras'!AK131</f>
        <v>0</v>
      </c>
      <c r="H132" s="9"/>
      <c r="I132" s="9" t="s">
        <v>2</v>
      </c>
      <c r="J132" s="9" t="str">
        <f t="shared" ref="J132:K132" si="189">+J131</f>
        <v xml:space="preserve"> </v>
      </c>
      <c r="K132" s="7">
        <f t="shared" si="189"/>
        <v>0</v>
      </c>
      <c r="L132" s="3">
        <f t="shared" si="187"/>
        <v>0</v>
      </c>
      <c r="M132" s="3">
        <f t="shared" si="188"/>
        <v>0</v>
      </c>
      <c r="N132" s="9" t="s">
        <v>34</v>
      </c>
    </row>
    <row r="133" spans="1:14" x14ac:dyDescent="0.25">
      <c r="A133" s="11">
        <f t="shared" si="123"/>
        <v>33</v>
      </c>
      <c r="B133" s="34" t="e">
        <f>+VLOOKUP(B132,Hoja1!$A$1:$B$2,2,FALSE)</f>
        <v>#N/A</v>
      </c>
      <c r="C133" s="9" t="s">
        <v>0</v>
      </c>
      <c r="D133" s="9"/>
      <c r="E133" s="14" t="str">
        <f t="shared" si="185"/>
        <v/>
      </c>
      <c r="F133" s="9"/>
      <c r="G133" s="4">
        <f>-'libro compras'!I131</f>
        <v>0</v>
      </c>
      <c r="H133" s="9"/>
      <c r="I133" s="9" t="s">
        <v>2</v>
      </c>
      <c r="J133" s="9" t="str">
        <f t="shared" ref="J133:K133" si="190">+J132</f>
        <v xml:space="preserve"> </v>
      </c>
      <c r="K133" s="7">
        <f t="shared" si="190"/>
        <v>0</v>
      </c>
      <c r="L133" s="3">
        <f t="shared" si="187"/>
        <v>0</v>
      </c>
      <c r="M133" s="3">
        <f t="shared" si="188"/>
        <v>0</v>
      </c>
      <c r="N133" s="9" t="s">
        <v>34</v>
      </c>
    </row>
    <row r="134" spans="1:14" x14ac:dyDescent="0.25">
      <c r="A134" s="11">
        <f t="shared" si="123"/>
        <v>34</v>
      </c>
      <c r="B134" s="42" t="str">
        <f>+'libro compras'!$AK$1</f>
        <v>281130</v>
      </c>
      <c r="C134" s="9" t="s">
        <v>0</v>
      </c>
      <c r="D134" s="9"/>
      <c r="E134" s="14" t="str">
        <f>+'libro compras'!S135</f>
        <v/>
      </c>
      <c r="F134" s="9"/>
      <c r="G134" s="4">
        <f>+'libro compras'!AI135</f>
        <v>0</v>
      </c>
      <c r="H134" s="9"/>
      <c r="I134" s="9" t="s">
        <v>33</v>
      </c>
      <c r="J134" s="9" t="str">
        <f>+CONCATENATE('libro compras'!C135," ",'libro compras'!D135)</f>
        <v xml:space="preserve"> </v>
      </c>
      <c r="K134" s="7">
        <f t="shared" ref="K134" si="191">+K133</f>
        <v>0</v>
      </c>
      <c r="L134" s="3">
        <f>+'libro compras'!C135</f>
        <v>0</v>
      </c>
      <c r="M134" s="3">
        <f>+'libro compras'!D135</f>
        <v>0</v>
      </c>
      <c r="N134" s="9" t="s">
        <v>34</v>
      </c>
    </row>
    <row r="135" spans="1:14" x14ac:dyDescent="0.25">
      <c r="A135" s="11">
        <f t="shared" si="123"/>
        <v>34</v>
      </c>
      <c r="B135" s="43" t="str">
        <f>+'libro compras'!$AL$1</f>
        <v>401110</v>
      </c>
      <c r="C135" s="9" t="s">
        <v>0</v>
      </c>
      <c r="D135" s="9"/>
      <c r="E135" s="14" t="str">
        <f t="shared" ref="E135:E137" si="192">+E134</f>
        <v/>
      </c>
      <c r="F135" s="9"/>
      <c r="G135" s="4">
        <f>+'libro compras'!AJ135</f>
        <v>0</v>
      </c>
      <c r="H135" s="9"/>
      <c r="I135" s="9" t="s">
        <v>33</v>
      </c>
      <c r="J135" s="9" t="str">
        <f t="shared" ref="J135:K135" si="193">+J134</f>
        <v xml:space="preserve"> </v>
      </c>
      <c r="K135" s="7">
        <f t="shared" si="193"/>
        <v>0</v>
      </c>
      <c r="L135" s="3">
        <f t="shared" ref="L135:L137" si="194">+L134</f>
        <v>0</v>
      </c>
      <c r="M135" s="3">
        <f t="shared" ref="M135:M137" si="195">+M134</f>
        <v>0</v>
      </c>
      <c r="N135" s="9" t="s">
        <v>34</v>
      </c>
    </row>
    <row r="136" spans="1:14" x14ac:dyDescent="0.25">
      <c r="A136" s="11">
        <f t="shared" si="123"/>
        <v>34</v>
      </c>
      <c r="B136" s="32">
        <f>+'libro compras'!P135</f>
        <v>0</v>
      </c>
      <c r="C136" s="9" t="s">
        <v>0</v>
      </c>
      <c r="D136" s="9"/>
      <c r="E136" s="14" t="str">
        <f t="shared" si="192"/>
        <v/>
      </c>
      <c r="F136" s="9"/>
      <c r="G136" s="4">
        <f>-'libro compras'!AK135</f>
        <v>0</v>
      </c>
      <c r="H136" s="9"/>
      <c r="I136" s="9" t="s">
        <v>2</v>
      </c>
      <c r="J136" s="9" t="str">
        <f t="shared" ref="J136:K136" si="196">+J135</f>
        <v xml:space="preserve"> </v>
      </c>
      <c r="K136" s="7">
        <f t="shared" si="196"/>
        <v>0</v>
      </c>
      <c r="L136" s="3">
        <f t="shared" si="194"/>
        <v>0</v>
      </c>
      <c r="M136" s="3">
        <f t="shared" si="195"/>
        <v>0</v>
      </c>
      <c r="N136" s="9" t="s">
        <v>34</v>
      </c>
    </row>
    <row r="137" spans="1:14" x14ac:dyDescent="0.25">
      <c r="A137" s="11">
        <f t="shared" si="123"/>
        <v>34</v>
      </c>
      <c r="B137" s="34" t="e">
        <f>+VLOOKUP(B136,Hoja1!$A$1:$B$2,2,FALSE)</f>
        <v>#N/A</v>
      </c>
      <c r="C137" s="9" t="s">
        <v>0</v>
      </c>
      <c r="D137" s="9"/>
      <c r="E137" s="14" t="str">
        <f t="shared" si="192"/>
        <v/>
      </c>
      <c r="F137" s="9"/>
      <c r="G137" s="4">
        <f>-'libro compras'!I135</f>
        <v>0</v>
      </c>
      <c r="H137" s="9"/>
      <c r="I137" s="9" t="s">
        <v>2</v>
      </c>
      <c r="J137" s="9" t="str">
        <f t="shared" ref="J137:K137" si="197">+J136</f>
        <v xml:space="preserve"> </v>
      </c>
      <c r="K137" s="7">
        <f t="shared" si="197"/>
        <v>0</v>
      </c>
      <c r="L137" s="3">
        <f t="shared" si="194"/>
        <v>0</v>
      </c>
      <c r="M137" s="3">
        <f t="shared" si="195"/>
        <v>0</v>
      </c>
      <c r="N137" s="9" t="s">
        <v>34</v>
      </c>
    </row>
    <row r="138" spans="1:14" x14ac:dyDescent="0.25">
      <c r="A138" s="11">
        <f t="shared" ref="A138" si="198">+A137+1</f>
        <v>35</v>
      </c>
      <c r="B138" s="42" t="str">
        <f>+'libro compras'!$AK$1</f>
        <v>281130</v>
      </c>
      <c r="C138" s="9" t="s">
        <v>0</v>
      </c>
      <c r="D138" s="9"/>
      <c r="E138" s="14" t="str">
        <f>+'libro compras'!S139</f>
        <v/>
      </c>
      <c r="F138" s="9"/>
      <c r="G138" s="4">
        <f>+'libro compras'!AI139</f>
        <v>0</v>
      </c>
      <c r="H138" s="9"/>
      <c r="I138" s="9" t="s">
        <v>33</v>
      </c>
      <c r="J138" s="9" t="str">
        <f>+CONCATENATE('libro compras'!C139," ",'libro compras'!D139)</f>
        <v xml:space="preserve"> </v>
      </c>
      <c r="K138" s="7">
        <f>+'libro compras'!F139</f>
        <v>0</v>
      </c>
      <c r="L138" s="3">
        <f>+'libro compras'!C139</f>
        <v>0</v>
      </c>
      <c r="M138" s="3">
        <f>+'libro compras'!D139</f>
        <v>0</v>
      </c>
      <c r="N138" s="9" t="s">
        <v>34</v>
      </c>
    </row>
    <row r="139" spans="1:14" x14ac:dyDescent="0.25">
      <c r="A139" s="11">
        <f t="shared" ref="A139:A141" si="199">+A138</f>
        <v>35</v>
      </c>
      <c r="B139" s="43" t="str">
        <f>+'libro compras'!$AL$1</f>
        <v>401110</v>
      </c>
      <c r="C139" s="9" t="s">
        <v>0</v>
      </c>
      <c r="D139" s="9"/>
      <c r="E139" s="14" t="str">
        <f t="shared" ref="E139:E141" si="200">+E138</f>
        <v/>
      </c>
      <c r="F139" s="9"/>
      <c r="G139" s="4">
        <f>+'libro compras'!AJ139</f>
        <v>0</v>
      </c>
      <c r="H139" s="9"/>
      <c r="I139" s="9" t="s">
        <v>33</v>
      </c>
      <c r="J139" s="9" t="str">
        <f t="shared" ref="J139:M139" si="201">+J138</f>
        <v xml:space="preserve"> </v>
      </c>
      <c r="K139" s="7">
        <f t="shared" si="201"/>
        <v>0</v>
      </c>
      <c r="L139" s="3">
        <f t="shared" si="201"/>
        <v>0</v>
      </c>
      <c r="M139" s="3">
        <f t="shared" si="201"/>
        <v>0</v>
      </c>
      <c r="N139" s="9" t="s">
        <v>34</v>
      </c>
    </row>
    <row r="140" spans="1:14" x14ac:dyDescent="0.25">
      <c r="A140" s="11">
        <f t="shared" si="199"/>
        <v>35</v>
      </c>
      <c r="B140" s="32">
        <f>+'libro compras'!P139</f>
        <v>0</v>
      </c>
      <c r="C140" s="9" t="s">
        <v>0</v>
      </c>
      <c r="D140" s="9"/>
      <c r="E140" s="14" t="str">
        <f t="shared" si="200"/>
        <v/>
      </c>
      <c r="F140" s="9"/>
      <c r="G140" s="4">
        <f>-'libro compras'!AK139</f>
        <v>0</v>
      </c>
      <c r="H140" s="9"/>
      <c r="I140" s="9" t="s">
        <v>2</v>
      </c>
      <c r="J140" s="9" t="str">
        <f t="shared" ref="J140:M140" si="202">+J139</f>
        <v xml:space="preserve"> </v>
      </c>
      <c r="K140" s="7">
        <f t="shared" si="202"/>
        <v>0</v>
      </c>
      <c r="L140" s="3">
        <f t="shared" si="202"/>
        <v>0</v>
      </c>
      <c r="M140" s="3">
        <f t="shared" si="202"/>
        <v>0</v>
      </c>
      <c r="N140" s="9" t="s">
        <v>34</v>
      </c>
    </row>
    <row r="141" spans="1:14" x14ac:dyDescent="0.25">
      <c r="A141" s="11">
        <f t="shared" si="199"/>
        <v>35</v>
      </c>
      <c r="B141" s="34" t="e">
        <f>+VLOOKUP(B140,Hoja1!$A$1:$B$2,2,FALSE)</f>
        <v>#N/A</v>
      </c>
      <c r="C141" s="9" t="s">
        <v>0</v>
      </c>
      <c r="D141" s="9"/>
      <c r="E141" s="14" t="str">
        <f t="shared" si="200"/>
        <v/>
      </c>
      <c r="F141" s="9"/>
      <c r="G141" s="4">
        <f>-'libro compras'!I139</f>
        <v>0</v>
      </c>
      <c r="H141" s="9"/>
      <c r="I141" s="9" t="s">
        <v>2</v>
      </c>
      <c r="J141" s="9" t="str">
        <f t="shared" ref="J141:M141" si="203">+J140</f>
        <v xml:space="preserve"> </v>
      </c>
      <c r="K141" s="7">
        <f t="shared" si="203"/>
        <v>0</v>
      </c>
      <c r="L141" s="3">
        <f t="shared" si="203"/>
        <v>0</v>
      </c>
      <c r="M141" s="3">
        <f t="shared" si="203"/>
        <v>0</v>
      </c>
      <c r="N141" s="9" t="s">
        <v>34</v>
      </c>
    </row>
    <row r="142" spans="1:14" x14ac:dyDescent="0.25">
      <c r="A142" s="11">
        <f t="shared" si="123"/>
        <v>36</v>
      </c>
      <c r="B142" s="42" t="str">
        <f>+'libro compras'!$AK$1</f>
        <v>281130</v>
      </c>
      <c r="C142" s="9" t="s">
        <v>0</v>
      </c>
      <c r="D142" s="9"/>
      <c r="E142" s="14" t="str">
        <f>+'libro compras'!S143</f>
        <v/>
      </c>
      <c r="F142" s="9"/>
      <c r="G142" s="4">
        <f>+'libro compras'!AI143</f>
        <v>0</v>
      </c>
      <c r="H142" s="9"/>
      <c r="I142" s="9" t="s">
        <v>33</v>
      </c>
      <c r="J142" s="9" t="str">
        <f>+CONCATENATE('libro compras'!C143," ",'libro compras'!D143)</f>
        <v xml:space="preserve"> </v>
      </c>
      <c r="K142" s="7">
        <f t="shared" ref="K142" si="204">+K141</f>
        <v>0</v>
      </c>
      <c r="L142" s="3">
        <f>+'libro compras'!C143</f>
        <v>0</v>
      </c>
      <c r="M142" s="3">
        <f>+'libro compras'!D143</f>
        <v>0</v>
      </c>
      <c r="N142" s="9" t="s">
        <v>34</v>
      </c>
    </row>
    <row r="143" spans="1:14" x14ac:dyDescent="0.25">
      <c r="A143" s="11">
        <f t="shared" si="123"/>
        <v>36</v>
      </c>
      <c r="B143" s="43" t="str">
        <f>+'libro compras'!$AL$1</f>
        <v>401110</v>
      </c>
      <c r="C143" s="9" t="s">
        <v>0</v>
      </c>
      <c r="D143" s="9"/>
      <c r="E143" s="14" t="str">
        <f t="shared" ref="E143:E145" si="205">+E142</f>
        <v/>
      </c>
      <c r="F143" s="9"/>
      <c r="G143" s="4">
        <f>+'libro compras'!AJ143</f>
        <v>0</v>
      </c>
      <c r="H143" s="9"/>
      <c r="I143" s="9" t="s">
        <v>33</v>
      </c>
      <c r="J143" s="9" t="str">
        <f t="shared" ref="J143:K143" si="206">+J142</f>
        <v xml:space="preserve"> </v>
      </c>
      <c r="K143" s="7">
        <f t="shared" si="206"/>
        <v>0</v>
      </c>
      <c r="L143" s="3">
        <f t="shared" ref="L143:L145" si="207">+L142</f>
        <v>0</v>
      </c>
      <c r="M143" s="3">
        <f t="shared" ref="M143:M145" si="208">+M142</f>
        <v>0</v>
      </c>
      <c r="N143" s="9" t="s">
        <v>34</v>
      </c>
    </row>
    <row r="144" spans="1:14" x14ac:dyDescent="0.25">
      <c r="A144" s="11">
        <f t="shared" si="123"/>
        <v>36</v>
      </c>
      <c r="B144" s="32">
        <f>+'libro compras'!P143</f>
        <v>0</v>
      </c>
      <c r="C144" s="9" t="s">
        <v>0</v>
      </c>
      <c r="D144" s="9"/>
      <c r="E144" s="14" t="str">
        <f t="shared" si="205"/>
        <v/>
      </c>
      <c r="F144" s="9"/>
      <c r="G144" s="4">
        <f>-'libro compras'!AK143</f>
        <v>0</v>
      </c>
      <c r="H144" s="9"/>
      <c r="I144" s="9" t="s">
        <v>2</v>
      </c>
      <c r="J144" s="9" t="str">
        <f t="shared" ref="J144:K144" si="209">+J143</f>
        <v xml:space="preserve"> </v>
      </c>
      <c r="K144" s="7">
        <f t="shared" si="209"/>
        <v>0</v>
      </c>
      <c r="L144" s="3">
        <f t="shared" si="207"/>
        <v>0</v>
      </c>
      <c r="M144" s="3">
        <f t="shared" si="208"/>
        <v>0</v>
      </c>
      <c r="N144" s="9" t="s">
        <v>34</v>
      </c>
    </row>
    <row r="145" spans="1:14" x14ac:dyDescent="0.25">
      <c r="A145" s="11">
        <f t="shared" si="123"/>
        <v>36</v>
      </c>
      <c r="B145" s="34" t="e">
        <f>+VLOOKUP(B144,Hoja1!$A$1:$B$2,2,FALSE)</f>
        <v>#N/A</v>
      </c>
      <c r="C145" s="9" t="s">
        <v>0</v>
      </c>
      <c r="D145" s="9"/>
      <c r="E145" s="14" t="str">
        <f t="shared" si="205"/>
        <v/>
      </c>
      <c r="F145" s="9"/>
      <c r="G145" s="4">
        <f>-'libro compras'!I143</f>
        <v>0</v>
      </c>
      <c r="H145" s="9"/>
      <c r="I145" s="9" t="s">
        <v>2</v>
      </c>
      <c r="J145" s="9" t="str">
        <f t="shared" ref="J145:K145" si="210">+J144</f>
        <v xml:space="preserve"> </v>
      </c>
      <c r="K145" s="7">
        <f t="shared" si="210"/>
        <v>0</v>
      </c>
      <c r="L145" s="3">
        <f t="shared" si="207"/>
        <v>0</v>
      </c>
      <c r="M145" s="3">
        <f t="shared" si="208"/>
        <v>0</v>
      </c>
      <c r="N145" s="9" t="s">
        <v>34</v>
      </c>
    </row>
    <row r="146" spans="1:14" x14ac:dyDescent="0.25">
      <c r="A146" s="11">
        <f t="shared" si="123"/>
        <v>37</v>
      </c>
      <c r="B146" s="42" t="str">
        <f>+'libro compras'!$AK$1</f>
        <v>281130</v>
      </c>
      <c r="C146" s="9" t="s">
        <v>0</v>
      </c>
      <c r="D146" s="9"/>
      <c r="E146" s="14" t="str">
        <f>+'libro compras'!S147</f>
        <v/>
      </c>
      <c r="F146" s="9"/>
      <c r="G146" s="4">
        <f>+'libro compras'!AI147</f>
        <v>0</v>
      </c>
      <c r="H146" s="9"/>
      <c r="I146" s="9" t="s">
        <v>33</v>
      </c>
      <c r="J146" s="9" t="str">
        <f>+CONCATENATE('libro compras'!C147," ",'libro compras'!D147)</f>
        <v xml:space="preserve"> </v>
      </c>
      <c r="K146" s="7">
        <f t="shared" ref="K146" si="211">+K145</f>
        <v>0</v>
      </c>
      <c r="L146" s="3">
        <f>+'libro compras'!C147</f>
        <v>0</v>
      </c>
      <c r="M146" s="3">
        <f>+'libro compras'!D147</f>
        <v>0</v>
      </c>
      <c r="N146" s="9" t="s">
        <v>34</v>
      </c>
    </row>
    <row r="147" spans="1:14" x14ac:dyDescent="0.25">
      <c r="A147" s="11">
        <f t="shared" si="123"/>
        <v>37</v>
      </c>
      <c r="B147" s="43" t="str">
        <f>+'libro compras'!$AL$1</f>
        <v>401110</v>
      </c>
      <c r="C147" s="9" t="s">
        <v>0</v>
      </c>
      <c r="D147" s="9"/>
      <c r="E147" s="14" t="str">
        <f t="shared" ref="E147:E149" si="212">+E146</f>
        <v/>
      </c>
      <c r="F147" s="9"/>
      <c r="G147" s="4">
        <f>+'libro compras'!AJ147</f>
        <v>0</v>
      </c>
      <c r="H147" s="9"/>
      <c r="I147" s="9" t="s">
        <v>33</v>
      </c>
      <c r="J147" s="9" t="str">
        <f t="shared" ref="J147:K147" si="213">+J146</f>
        <v xml:space="preserve"> </v>
      </c>
      <c r="K147" s="7">
        <f t="shared" si="213"/>
        <v>0</v>
      </c>
      <c r="L147" s="3">
        <f t="shared" ref="L147:L149" si="214">+L146</f>
        <v>0</v>
      </c>
      <c r="M147" s="3">
        <f t="shared" ref="M147:M149" si="215">+M146</f>
        <v>0</v>
      </c>
      <c r="N147" s="9" t="s">
        <v>34</v>
      </c>
    </row>
    <row r="148" spans="1:14" x14ac:dyDescent="0.25">
      <c r="A148" s="11">
        <f t="shared" si="123"/>
        <v>37</v>
      </c>
      <c r="B148" s="32">
        <f>+'libro compras'!P147</f>
        <v>0</v>
      </c>
      <c r="C148" s="9" t="s">
        <v>0</v>
      </c>
      <c r="D148" s="9"/>
      <c r="E148" s="14" t="str">
        <f t="shared" si="212"/>
        <v/>
      </c>
      <c r="F148" s="9"/>
      <c r="G148" s="4">
        <f>-'libro compras'!AK147</f>
        <v>0</v>
      </c>
      <c r="H148" s="9"/>
      <c r="I148" s="9" t="s">
        <v>2</v>
      </c>
      <c r="J148" s="9" t="str">
        <f t="shared" ref="J148:K148" si="216">+J147</f>
        <v xml:space="preserve"> </v>
      </c>
      <c r="K148" s="7">
        <f t="shared" si="216"/>
        <v>0</v>
      </c>
      <c r="L148" s="3">
        <f t="shared" si="214"/>
        <v>0</v>
      </c>
      <c r="M148" s="3">
        <f t="shared" si="215"/>
        <v>0</v>
      </c>
      <c r="N148" s="9" t="s">
        <v>34</v>
      </c>
    </row>
    <row r="149" spans="1:14" x14ac:dyDescent="0.25">
      <c r="A149" s="11">
        <f t="shared" si="123"/>
        <v>37</v>
      </c>
      <c r="B149" s="34" t="e">
        <f>+VLOOKUP(B148,Hoja1!$A$1:$B$2,2,FALSE)</f>
        <v>#N/A</v>
      </c>
      <c r="C149" s="9" t="s">
        <v>0</v>
      </c>
      <c r="D149" s="9"/>
      <c r="E149" s="14" t="str">
        <f t="shared" si="212"/>
        <v/>
      </c>
      <c r="F149" s="9"/>
      <c r="G149" s="4">
        <f>-'libro compras'!I147</f>
        <v>0</v>
      </c>
      <c r="H149" s="9"/>
      <c r="I149" s="9" t="s">
        <v>2</v>
      </c>
      <c r="J149" s="9" t="str">
        <f t="shared" ref="J149:K149" si="217">+J148</f>
        <v xml:space="preserve"> </v>
      </c>
      <c r="K149" s="7">
        <f t="shared" si="217"/>
        <v>0</v>
      </c>
      <c r="L149" s="3">
        <f t="shared" si="214"/>
        <v>0</v>
      </c>
      <c r="M149" s="3">
        <f t="shared" si="215"/>
        <v>0</v>
      </c>
      <c r="N149" s="9" t="s">
        <v>34</v>
      </c>
    </row>
    <row r="150" spans="1:14" x14ac:dyDescent="0.25">
      <c r="A150" s="11">
        <f t="shared" ref="A150" si="218">+A149+1</f>
        <v>38</v>
      </c>
      <c r="B150" s="42" t="str">
        <f>+'libro compras'!$AK$1</f>
        <v>281130</v>
      </c>
      <c r="C150" s="9" t="s">
        <v>0</v>
      </c>
      <c r="D150" s="9"/>
      <c r="E150" s="14" t="str">
        <f>+'libro compras'!S151</f>
        <v/>
      </c>
      <c r="F150" s="9"/>
      <c r="G150" s="4">
        <f>+'libro compras'!AI151</f>
        <v>0</v>
      </c>
      <c r="H150" s="9"/>
      <c r="I150" s="9" t="s">
        <v>33</v>
      </c>
      <c r="J150" s="9" t="str">
        <f>+CONCATENATE('libro compras'!C151," ",'libro compras'!D151)</f>
        <v xml:space="preserve"> </v>
      </c>
      <c r="K150" s="7">
        <f>+'libro compras'!F151</f>
        <v>0</v>
      </c>
      <c r="L150" s="3">
        <f>+'libro compras'!C151</f>
        <v>0</v>
      </c>
      <c r="M150" s="3">
        <f>+'libro compras'!D151</f>
        <v>0</v>
      </c>
      <c r="N150" s="9" t="s">
        <v>34</v>
      </c>
    </row>
    <row r="151" spans="1:14" x14ac:dyDescent="0.25">
      <c r="A151" s="11">
        <f t="shared" ref="A151:A153" si="219">+A150</f>
        <v>38</v>
      </c>
      <c r="B151" s="43" t="str">
        <f>+'libro compras'!$AL$1</f>
        <v>401110</v>
      </c>
      <c r="C151" s="9" t="s">
        <v>0</v>
      </c>
      <c r="D151" s="9"/>
      <c r="E151" s="14" t="str">
        <f t="shared" ref="E151:E153" si="220">+E150</f>
        <v/>
      </c>
      <c r="F151" s="9"/>
      <c r="G151" s="4">
        <f>+'libro compras'!AJ151</f>
        <v>0</v>
      </c>
      <c r="H151" s="9"/>
      <c r="I151" s="9" t="s">
        <v>33</v>
      </c>
      <c r="J151" s="9" t="str">
        <f t="shared" ref="J151:M151" si="221">+J150</f>
        <v xml:space="preserve"> </v>
      </c>
      <c r="K151" s="7">
        <f t="shared" si="221"/>
        <v>0</v>
      </c>
      <c r="L151" s="3">
        <f t="shared" si="221"/>
        <v>0</v>
      </c>
      <c r="M151" s="3">
        <f t="shared" si="221"/>
        <v>0</v>
      </c>
      <c r="N151" s="9" t="s">
        <v>34</v>
      </c>
    </row>
    <row r="152" spans="1:14" x14ac:dyDescent="0.25">
      <c r="A152" s="11">
        <f t="shared" si="219"/>
        <v>38</v>
      </c>
      <c r="B152" s="32">
        <f>+'libro compras'!P151</f>
        <v>0</v>
      </c>
      <c r="C152" s="9" t="s">
        <v>0</v>
      </c>
      <c r="D152" s="9"/>
      <c r="E152" s="14" t="str">
        <f t="shared" si="220"/>
        <v/>
      </c>
      <c r="F152" s="9"/>
      <c r="G152" s="4">
        <f>-'libro compras'!AK151</f>
        <v>0</v>
      </c>
      <c r="H152" s="9"/>
      <c r="I152" s="9" t="s">
        <v>2</v>
      </c>
      <c r="J152" s="9" t="str">
        <f t="shared" ref="J152:M152" si="222">+J151</f>
        <v xml:space="preserve"> </v>
      </c>
      <c r="K152" s="7">
        <f t="shared" si="222"/>
        <v>0</v>
      </c>
      <c r="L152" s="3">
        <f t="shared" si="222"/>
        <v>0</v>
      </c>
      <c r="M152" s="3">
        <f t="shared" si="222"/>
        <v>0</v>
      </c>
      <c r="N152" s="9" t="s">
        <v>34</v>
      </c>
    </row>
    <row r="153" spans="1:14" x14ac:dyDescent="0.25">
      <c r="A153" s="11">
        <f t="shared" si="219"/>
        <v>38</v>
      </c>
      <c r="B153" s="34" t="e">
        <f>+VLOOKUP(B152,Hoja1!$A$1:$B$2,2,FALSE)</f>
        <v>#N/A</v>
      </c>
      <c r="C153" s="9" t="s">
        <v>0</v>
      </c>
      <c r="D153" s="9"/>
      <c r="E153" s="14" t="str">
        <f t="shared" si="220"/>
        <v/>
      </c>
      <c r="F153" s="9"/>
      <c r="G153" s="4">
        <f>-'libro compras'!I151</f>
        <v>0</v>
      </c>
      <c r="H153" s="9"/>
      <c r="I153" s="9" t="s">
        <v>2</v>
      </c>
      <c r="J153" s="9" t="str">
        <f t="shared" ref="J153:M153" si="223">+J152</f>
        <v xml:space="preserve"> </v>
      </c>
      <c r="K153" s="7">
        <f t="shared" si="223"/>
        <v>0</v>
      </c>
      <c r="L153" s="3">
        <f t="shared" si="223"/>
        <v>0</v>
      </c>
      <c r="M153" s="3">
        <f t="shared" si="223"/>
        <v>0</v>
      </c>
      <c r="N153" s="9" t="s">
        <v>34</v>
      </c>
    </row>
    <row r="154" spans="1:14" x14ac:dyDescent="0.25">
      <c r="A154" s="11">
        <f t="shared" si="123"/>
        <v>39</v>
      </c>
      <c r="B154" s="42" t="str">
        <f>+'libro compras'!$AK$1</f>
        <v>281130</v>
      </c>
      <c r="C154" s="9" t="s">
        <v>0</v>
      </c>
      <c r="D154" s="9"/>
      <c r="E154" s="14" t="str">
        <f>+'libro compras'!S155</f>
        <v/>
      </c>
      <c r="F154" s="9"/>
      <c r="G154" s="4">
        <f>+'libro compras'!AI155</f>
        <v>0</v>
      </c>
      <c r="H154" s="9"/>
      <c r="I154" s="9" t="s">
        <v>33</v>
      </c>
      <c r="J154" s="9" t="str">
        <f>+CONCATENATE('libro compras'!C155," ",'libro compras'!D155)</f>
        <v xml:space="preserve"> </v>
      </c>
      <c r="K154" s="7">
        <f t="shared" ref="K154" si="224">+K153</f>
        <v>0</v>
      </c>
      <c r="L154" s="3">
        <f>+'libro compras'!C155</f>
        <v>0</v>
      </c>
      <c r="M154" s="3">
        <f>+'libro compras'!D155</f>
        <v>0</v>
      </c>
      <c r="N154" s="9" t="s">
        <v>34</v>
      </c>
    </row>
    <row r="155" spans="1:14" x14ac:dyDescent="0.25">
      <c r="A155" s="11">
        <f t="shared" si="123"/>
        <v>39</v>
      </c>
      <c r="B155" s="43" t="str">
        <f>+'libro compras'!$AL$1</f>
        <v>401110</v>
      </c>
      <c r="C155" s="9" t="s">
        <v>0</v>
      </c>
      <c r="D155" s="9"/>
      <c r="E155" s="14" t="str">
        <f t="shared" ref="E155:E157" si="225">+E154</f>
        <v/>
      </c>
      <c r="F155" s="9"/>
      <c r="G155" s="4">
        <f>+'libro compras'!AJ155</f>
        <v>0</v>
      </c>
      <c r="H155" s="9"/>
      <c r="I155" s="9" t="s">
        <v>33</v>
      </c>
      <c r="J155" s="9" t="str">
        <f t="shared" ref="J155:K155" si="226">+J154</f>
        <v xml:space="preserve"> </v>
      </c>
      <c r="K155" s="7">
        <f t="shared" si="226"/>
        <v>0</v>
      </c>
      <c r="L155" s="3">
        <f t="shared" ref="L155:L157" si="227">+L154</f>
        <v>0</v>
      </c>
      <c r="M155" s="3">
        <f t="shared" ref="M155:M157" si="228">+M154</f>
        <v>0</v>
      </c>
      <c r="N155" s="9" t="s">
        <v>34</v>
      </c>
    </row>
    <row r="156" spans="1:14" x14ac:dyDescent="0.25">
      <c r="A156" s="11">
        <f t="shared" si="123"/>
        <v>39</v>
      </c>
      <c r="B156" s="32">
        <f>+'libro compras'!P155</f>
        <v>0</v>
      </c>
      <c r="C156" s="9" t="s">
        <v>0</v>
      </c>
      <c r="D156" s="9"/>
      <c r="E156" s="14" t="str">
        <f t="shared" si="225"/>
        <v/>
      </c>
      <c r="F156" s="9"/>
      <c r="G156" s="4">
        <f>-'libro compras'!AK155</f>
        <v>0</v>
      </c>
      <c r="H156" s="9"/>
      <c r="I156" s="9" t="s">
        <v>2</v>
      </c>
      <c r="J156" s="9" t="str">
        <f t="shared" ref="J156:K156" si="229">+J155</f>
        <v xml:space="preserve"> </v>
      </c>
      <c r="K156" s="7">
        <f t="shared" si="229"/>
        <v>0</v>
      </c>
      <c r="L156" s="3">
        <f t="shared" si="227"/>
        <v>0</v>
      </c>
      <c r="M156" s="3">
        <f t="shared" si="228"/>
        <v>0</v>
      </c>
      <c r="N156" s="9" t="s">
        <v>34</v>
      </c>
    </row>
    <row r="157" spans="1:14" x14ac:dyDescent="0.25">
      <c r="A157" s="11">
        <f t="shared" si="123"/>
        <v>39</v>
      </c>
      <c r="B157" s="34" t="e">
        <f>+VLOOKUP(B156,Hoja1!$A$1:$B$2,2,FALSE)</f>
        <v>#N/A</v>
      </c>
      <c r="C157" s="9" t="s">
        <v>0</v>
      </c>
      <c r="D157" s="9"/>
      <c r="E157" s="14" t="str">
        <f t="shared" si="225"/>
        <v/>
      </c>
      <c r="F157" s="9"/>
      <c r="G157" s="4">
        <f>-'libro compras'!I155</f>
        <v>0</v>
      </c>
      <c r="H157" s="9"/>
      <c r="I157" s="9" t="s">
        <v>2</v>
      </c>
      <c r="J157" s="9" t="str">
        <f t="shared" ref="J157:K157" si="230">+J156</f>
        <v xml:space="preserve"> </v>
      </c>
      <c r="K157" s="7">
        <f t="shared" si="230"/>
        <v>0</v>
      </c>
      <c r="L157" s="3">
        <f t="shared" si="227"/>
        <v>0</v>
      </c>
      <c r="M157" s="3">
        <f t="shared" si="228"/>
        <v>0</v>
      </c>
      <c r="N157" s="9" t="s">
        <v>34</v>
      </c>
    </row>
    <row r="158" spans="1:14" x14ac:dyDescent="0.25">
      <c r="A158" s="11">
        <f t="shared" ref="A158:A161" si="231">1+A154</f>
        <v>40</v>
      </c>
      <c r="B158" s="42" t="str">
        <f>+'libro compras'!$AK$1</f>
        <v>281130</v>
      </c>
      <c r="C158" s="9" t="s">
        <v>0</v>
      </c>
      <c r="D158" s="9"/>
      <c r="E158" s="14" t="str">
        <f>+'libro compras'!S159</f>
        <v/>
      </c>
      <c r="F158" s="9"/>
      <c r="G158" s="4">
        <f>+'libro compras'!AI159</f>
        <v>0</v>
      </c>
      <c r="H158" s="9"/>
      <c r="I158" s="9" t="s">
        <v>33</v>
      </c>
      <c r="J158" s="9" t="str">
        <f>+CONCATENATE('libro compras'!C159," ",'libro compras'!D159)</f>
        <v xml:space="preserve"> </v>
      </c>
      <c r="K158" s="7">
        <f t="shared" ref="K158" si="232">+K157</f>
        <v>0</v>
      </c>
      <c r="L158" s="3">
        <f>+'libro compras'!C159</f>
        <v>0</v>
      </c>
      <c r="M158" s="3">
        <f>+'libro compras'!D159</f>
        <v>0</v>
      </c>
      <c r="N158" s="9" t="s">
        <v>34</v>
      </c>
    </row>
    <row r="159" spans="1:14" x14ac:dyDescent="0.25">
      <c r="A159" s="11">
        <f t="shared" si="231"/>
        <v>40</v>
      </c>
      <c r="B159" s="43" t="str">
        <f>+'libro compras'!$AL$1</f>
        <v>401110</v>
      </c>
      <c r="C159" s="9" t="s">
        <v>0</v>
      </c>
      <c r="D159" s="9"/>
      <c r="E159" s="14" t="str">
        <f t="shared" ref="E159:E161" si="233">+E158</f>
        <v/>
      </c>
      <c r="F159" s="9"/>
      <c r="G159" s="4">
        <f>+'libro compras'!AJ159</f>
        <v>0</v>
      </c>
      <c r="H159" s="9"/>
      <c r="I159" s="9" t="s">
        <v>33</v>
      </c>
      <c r="J159" s="9" t="str">
        <f t="shared" ref="J159:K159" si="234">+J158</f>
        <v xml:space="preserve"> </v>
      </c>
      <c r="K159" s="7">
        <f t="shared" si="234"/>
        <v>0</v>
      </c>
      <c r="L159" s="3">
        <f t="shared" ref="L159:L161" si="235">+L158</f>
        <v>0</v>
      </c>
      <c r="M159" s="3">
        <f t="shared" ref="M159:M161" si="236">+M158</f>
        <v>0</v>
      </c>
      <c r="N159" s="9" t="s">
        <v>34</v>
      </c>
    </row>
    <row r="160" spans="1:14" x14ac:dyDescent="0.25">
      <c r="A160" s="11">
        <f t="shared" si="231"/>
        <v>40</v>
      </c>
      <c r="B160" s="32">
        <f>+'libro compras'!P159</f>
        <v>0</v>
      </c>
      <c r="C160" s="9" t="s">
        <v>0</v>
      </c>
      <c r="D160" s="9"/>
      <c r="E160" s="14" t="str">
        <f t="shared" si="233"/>
        <v/>
      </c>
      <c r="F160" s="9"/>
      <c r="G160" s="4">
        <f>-'libro compras'!AK159</f>
        <v>0</v>
      </c>
      <c r="H160" s="9"/>
      <c r="I160" s="9" t="s">
        <v>2</v>
      </c>
      <c r="J160" s="9" t="str">
        <f t="shared" ref="J160:K160" si="237">+J159</f>
        <v xml:space="preserve"> </v>
      </c>
      <c r="K160" s="7">
        <f t="shared" si="237"/>
        <v>0</v>
      </c>
      <c r="L160" s="3">
        <f t="shared" si="235"/>
        <v>0</v>
      </c>
      <c r="M160" s="3">
        <f t="shared" si="236"/>
        <v>0</v>
      </c>
      <c r="N160" s="9" t="s">
        <v>34</v>
      </c>
    </row>
    <row r="161" spans="1:14" x14ac:dyDescent="0.25">
      <c r="A161" s="11">
        <f t="shared" si="231"/>
        <v>40</v>
      </c>
      <c r="B161" s="34" t="e">
        <f>+VLOOKUP(B160,Hoja1!$A$1:$B$2,2,FALSE)</f>
        <v>#N/A</v>
      </c>
      <c r="C161" s="9" t="s">
        <v>0</v>
      </c>
      <c r="D161" s="9"/>
      <c r="E161" s="14" t="str">
        <f t="shared" si="233"/>
        <v/>
      </c>
      <c r="F161" s="9"/>
      <c r="G161" s="4">
        <f>-'libro compras'!I159</f>
        <v>0</v>
      </c>
      <c r="H161" s="9"/>
      <c r="I161" s="9" t="s">
        <v>2</v>
      </c>
      <c r="J161" s="9" t="str">
        <f t="shared" ref="J161:K161" si="238">+J160</f>
        <v xml:space="preserve"> </v>
      </c>
      <c r="K161" s="7">
        <f t="shared" si="238"/>
        <v>0</v>
      </c>
      <c r="L161" s="3">
        <f t="shared" si="235"/>
        <v>0</v>
      </c>
      <c r="M161" s="3">
        <f t="shared" si="236"/>
        <v>0</v>
      </c>
      <c r="N161" s="9" t="s">
        <v>34</v>
      </c>
    </row>
    <row r="162" spans="1:14" x14ac:dyDescent="0.25">
      <c r="A162" s="11">
        <f t="shared" ref="A162" si="239">+A161+1</f>
        <v>41</v>
      </c>
      <c r="B162" s="42" t="str">
        <f>+'libro compras'!$AK$1</f>
        <v>281130</v>
      </c>
      <c r="C162" s="9" t="s">
        <v>0</v>
      </c>
      <c r="D162" s="9"/>
      <c r="E162" s="14" t="str">
        <f>+'libro compras'!S163</f>
        <v/>
      </c>
      <c r="F162" s="9"/>
      <c r="G162" s="4">
        <f>+'libro compras'!AI163</f>
        <v>0</v>
      </c>
      <c r="H162" s="9"/>
      <c r="I162" s="9" t="s">
        <v>33</v>
      </c>
      <c r="J162" s="9" t="str">
        <f>+CONCATENATE('libro compras'!C163," ",'libro compras'!D163)</f>
        <v xml:space="preserve"> </v>
      </c>
      <c r="K162" s="7">
        <f>+'libro compras'!F163</f>
        <v>0</v>
      </c>
      <c r="L162" s="3">
        <f>+'libro compras'!C163</f>
        <v>0</v>
      </c>
      <c r="M162" s="3">
        <f>+'libro compras'!D163</f>
        <v>0</v>
      </c>
      <c r="N162" s="9" t="s">
        <v>34</v>
      </c>
    </row>
    <row r="163" spans="1:14" x14ac:dyDescent="0.25">
      <c r="A163" s="11">
        <f t="shared" ref="A163:A165" si="240">+A162</f>
        <v>41</v>
      </c>
      <c r="B163" s="43" t="str">
        <f>+'libro compras'!$AL$1</f>
        <v>401110</v>
      </c>
      <c r="C163" s="9" t="s">
        <v>0</v>
      </c>
      <c r="D163" s="9"/>
      <c r="E163" s="14" t="str">
        <f t="shared" ref="E163:E165" si="241">+E162</f>
        <v/>
      </c>
      <c r="F163" s="9"/>
      <c r="G163" s="4">
        <f>+'libro compras'!AJ163</f>
        <v>0</v>
      </c>
      <c r="H163" s="9"/>
      <c r="I163" s="9" t="s">
        <v>33</v>
      </c>
      <c r="J163" s="9" t="str">
        <f t="shared" ref="J163:M163" si="242">+J162</f>
        <v xml:space="preserve"> </v>
      </c>
      <c r="K163" s="7">
        <f t="shared" si="242"/>
        <v>0</v>
      </c>
      <c r="L163" s="3">
        <f t="shared" si="242"/>
        <v>0</v>
      </c>
      <c r="M163" s="3">
        <f t="shared" si="242"/>
        <v>0</v>
      </c>
      <c r="N163" s="9" t="s">
        <v>34</v>
      </c>
    </row>
    <row r="164" spans="1:14" x14ac:dyDescent="0.25">
      <c r="A164" s="11">
        <f t="shared" si="240"/>
        <v>41</v>
      </c>
      <c r="B164" s="32">
        <f>+'libro compras'!P163</f>
        <v>0</v>
      </c>
      <c r="C164" s="9" t="s">
        <v>0</v>
      </c>
      <c r="D164" s="9"/>
      <c r="E164" s="14" t="str">
        <f t="shared" si="241"/>
        <v/>
      </c>
      <c r="F164" s="9"/>
      <c r="G164" s="4">
        <f>-'libro compras'!AK163</f>
        <v>0</v>
      </c>
      <c r="H164" s="9"/>
      <c r="I164" s="9" t="s">
        <v>2</v>
      </c>
      <c r="J164" s="9" t="str">
        <f t="shared" ref="J164:M164" si="243">+J163</f>
        <v xml:space="preserve"> </v>
      </c>
      <c r="K164" s="7">
        <f t="shared" si="243"/>
        <v>0</v>
      </c>
      <c r="L164" s="3">
        <f t="shared" si="243"/>
        <v>0</v>
      </c>
      <c r="M164" s="3">
        <f t="shared" si="243"/>
        <v>0</v>
      </c>
      <c r="N164" s="9" t="s">
        <v>34</v>
      </c>
    </row>
    <row r="165" spans="1:14" hidden="1" x14ac:dyDescent="0.25">
      <c r="A165" s="11">
        <f t="shared" si="240"/>
        <v>41</v>
      </c>
      <c r="B165" s="34" t="e">
        <f>+VLOOKUP(B164,Hoja1!$A$1:$B$2,2,FALSE)</f>
        <v>#N/A</v>
      </c>
      <c r="C165" s="9" t="s">
        <v>0</v>
      </c>
      <c r="D165" s="9"/>
      <c r="E165" s="14" t="str">
        <f t="shared" si="241"/>
        <v/>
      </c>
      <c r="F165" s="9"/>
      <c r="G165" s="4">
        <f>-'libro compras'!I163</f>
        <v>0</v>
      </c>
      <c r="H165" s="9"/>
      <c r="I165" s="9" t="s">
        <v>2</v>
      </c>
      <c r="J165" s="9" t="str">
        <f t="shared" ref="J165:M165" si="244">+J164</f>
        <v xml:space="preserve"> </v>
      </c>
      <c r="K165" s="7">
        <f t="shared" si="244"/>
        <v>0</v>
      </c>
      <c r="L165" s="3">
        <f t="shared" si="244"/>
        <v>0</v>
      </c>
      <c r="M165" s="3">
        <f t="shared" si="244"/>
        <v>0</v>
      </c>
      <c r="N165" s="9" t="s">
        <v>34</v>
      </c>
    </row>
    <row r="166" spans="1:14" x14ac:dyDescent="0.25">
      <c r="A166" s="11">
        <f t="shared" ref="A166:A229" si="245">1+A162</f>
        <v>42</v>
      </c>
      <c r="B166" s="42" t="str">
        <f>+'libro compras'!$AK$1</f>
        <v>281130</v>
      </c>
      <c r="C166" s="9" t="s">
        <v>0</v>
      </c>
      <c r="D166" s="9"/>
      <c r="E166" s="14" t="str">
        <f>+'libro compras'!S167</f>
        <v/>
      </c>
      <c r="F166" s="9"/>
      <c r="G166" s="4">
        <f>+'libro compras'!AI167</f>
        <v>0</v>
      </c>
      <c r="H166" s="9"/>
      <c r="I166" s="9" t="s">
        <v>33</v>
      </c>
      <c r="J166" s="9" t="str">
        <f>+CONCATENATE('libro compras'!C167," ",'libro compras'!D167)</f>
        <v xml:space="preserve"> </v>
      </c>
      <c r="K166" s="7">
        <f t="shared" ref="K166" si="246">+K165</f>
        <v>0</v>
      </c>
      <c r="L166" s="3">
        <f>+'libro compras'!C167</f>
        <v>0</v>
      </c>
      <c r="M166" s="3">
        <f>+'libro compras'!D167</f>
        <v>0</v>
      </c>
      <c r="N166" s="9" t="s">
        <v>34</v>
      </c>
    </row>
    <row r="167" spans="1:14" x14ac:dyDescent="0.25">
      <c r="A167" s="11">
        <f t="shared" si="245"/>
        <v>42</v>
      </c>
      <c r="B167" s="43" t="str">
        <f>+'libro compras'!$AL$1</f>
        <v>401110</v>
      </c>
      <c r="C167" s="9" t="s">
        <v>0</v>
      </c>
      <c r="D167" s="9"/>
      <c r="E167" s="14" t="str">
        <f t="shared" ref="E167:E169" si="247">+E166</f>
        <v/>
      </c>
      <c r="F167" s="9"/>
      <c r="G167" s="4">
        <f>+'libro compras'!AJ167</f>
        <v>0</v>
      </c>
      <c r="H167" s="9"/>
      <c r="I167" s="9" t="s">
        <v>33</v>
      </c>
      <c r="J167" s="9" t="str">
        <f t="shared" ref="J167:K167" si="248">+J166</f>
        <v xml:space="preserve"> </v>
      </c>
      <c r="K167" s="7">
        <f t="shared" si="248"/>
        <v>0</v>
      </c>
      <c r="L167" s="3">
        <f t="shared" ref="L167:L169" si="249">+L166</f>
        <v>0</v>
      </c>
      <c r="M167" s="3">
        <f t="shared" ref="M167:M169" si="250">+M166</f>
        <v>0</v>
      </c>
      <c r="N167" s="9" t="s">
        <v>34</v>
      </c>
    </row>
    <row r="168" spans="1:14" x14ac:dyDescent="0.25">
      <c r="A168" s="11">
        <f t="shared" si="245"/>
        <v>42</v>
      </c>
      <c r="B168" s="32">
        <f>+'libro compras'!P167</f>
        <v>0</v>
      </c>
      <c r="C168" s="9" t="s">
        <v>0</v>
      </c>
      <c r="D168" s="9"/>
      <c r="E168" s="14" t="str">
        <f t="shared" si="247"/>
        <v/>
      </c>
      <c r="F168" s="9"/>
      <c r="G168" s="4">
        <f>-'libro compras'!AK167</f>
        <v>0</v>
      </c>
      <c r="H168" s="9"/>
      <c r="I168" s="9" t="s">
        <v>2</v>
      </c>
      <c r="J168" s="9" t="str">
        <f t="shared" ref="J168:K168" si="251">+J167</f>
        <v xml:space="preserve"> </v>
      </c>
      <c r="K168" s="7">
        <f t="shared" si="251"/>
        <v>0</v>
      </c>
      <c r="L168" s="3">
        <f t="shared" si="249"/>
        <v>0</v>
      </c>
      <c r="M168" s="3">
        <f t="shared" si="250"/>
        <v>0</v>
      </c>
      <c r="N168" s="9" t="s">
        <v>34</v>
      </c>
    </row>
    <row r="169" spans="1:14" hidden="1" x14ac:dyDescent="0.25">
      <c r="A169" s="11">
        <f t="shared" si="245"/>
        <v>42</v>
      </c>
      <c r="B169" s="34" t="e">
        <f>+VLOOKUP(B168,Hoja1!$A$1:$B$2,2,FALSE)</f>
        <v>#N/A</v>
      </c>
      <c r="C169" s="9" t="s">
        <v>0</v>
      </c>
      <c r="D169" s="9"/>
      <c r="E169" s="14" t="str">
        <f t="shared" si="247"/>
        <v/>
      </c>
      <c r="F169" s="9"/>
      <c r="G169" s="4">
        <f>-'libro compras'!I167</f>
        <v>0</v>
      </c>
      <c r="H169" s="9"/>
      <c r="I169" s="9" t="s">
        <v>2</v>
      </c>
      <c r="J169" s="9" t="str">
        <f t="shared" ref="J169:K169" si="252">+J168</f>
        <v xml:space="preserve"> </v>
      </c>
      <c r="K169" s="7">
        <f t="shared" si="252"/>
        <v>0</v>
      </c>
      <c r="L169" s="3">
        <f t="shared" si="249"/>
        <v>0</v>
      </c>
      <c r="M169" s="3">
        <f t="shared" si="250"/>
        <v>0</v>
      </c>
      <c r="N169" s="9" t="s">
        <v>34</v>
      </c>
    </row>
    <row r="170" spans="1:14" x14ac:dyDescent="0.25">
      <c r="A170" s="11">
        <f t="shared" si="245"/>
        <v>43</v>
      </c>
      <c r="B170" s="42" t="str">
        <f>+'libro compras'!$AK$1</f>
        <v>281130</v>
      </c>
      <c r="C170" s="9" t="s">
        <v>0</v>
      </c>
      <c r="D170" s="9"/>
      <c r="E170" s="14" t="str">
        <f>+'libro compras'!S171</f>
        <v/>
      </c>
      <c r="F170" s="9"/>
      <c r="G170" s="4">
        <f>+'libro compras'!AI171</f>
        <v>0</v>
      </c>
      <c r="H170" s="9"/>
      <c r="I170" s="9" t="s">
        <v>33</v>
      </c>
      <c r="J170" s="9" t="str">
        <f>+CONCATENATE('libro compras'!C171," ",'libro compras'!D171)</f>
        <v xml:space="preserve"> </v>
      </c>
      <c r="K170" s="7">
        <f t="shared" ref="K170" si="253">+K169</f>
        <v>0</v>
      </c>
      <c r="L170" s="3">
        <f>+'libro compras'!C171</f>
        <v>0</v>
      </c>
      <c r="M170" s="3">
        <f>+'libro compras'!D171</f>
        <v>0</v>
      </c>
      <c r="N170" s="9" t="s">
        <v>34</v>
      </c>
    </row>
    <row r="171" spans="1:14" x14ac:dyDescent="0.25">
      <c r="A171" s="11">
        <f t="shared" si="245"/>
        <v>43</v>
      </c>
      <c r="B171" s="43" t="str">
        <f>+'libro compras'!$AL$1</f>
        <v>401110</v>
      </c>
      <c r="C171" s="9" t="s">
        <v>0</v>
      </c>
      <c r="D171" s="9"/>
      <c r="E171" s="14" t="str">
        <f t="shared" ref="E171:E173" si="254">+E170</f>
        <v/>
      </c>
      <c r="F171" s="9"/>
      <c r="G171" s="4">
        <f>+'libro compras'!AJ171</f>
        <v>0</v>
      </c>
      <c r="H171" s="9"/>
      <c r="I171" s="9" t="s">
        <v>33</v>
      </c>
      <c r="J171" s="9" t="str">
        <f t="shared" ref="J171:K171" si="255">+J170</f>
        <v xml:space="preserve"> </v>
      </c>
      <c r="K171" s="7">
        <f t="shared" si="255"/>
        <v>0</v>
      </c>
      <c r="L171" s="3">
        <f t="shared" ref="L171:L173" si="256">+L170</f>
        <v>0</v>
      </c>
      <c r="M171" s="3">
        <f t="shared" ref="M171:M173" si="257">+M170</f>
        <v>0</v>
      </c>
      <c r="N171" s="9" t="s">
        <v>34</v>
      </c>
    </row>
    <row r="172" spans="1:14" x14ac:dyDescent="0.25">
      <c r="A172" s="11">
        <f t="shared" si="245"/>
        <v>43</v>
      </c>
      <c r="B172" s="32">
        <f>+'libro compras'!P171</f>
        <v>0</v>
      </c>
      <c r="C172" s="9" t="s">
        <v>0</v>
      </c>
      <c r="D172" s="9"/>
      <c r="E172" s="14" t="str">
        <f t="shared" si="254"/>
        <v/>
      </c>
      <c r="F172" s="9"/>
      <c r="G172" s="4">
        <f>-'libro compras'!AK171</f>
        <v>0</v>
      </c>
      <c r="H172" s="9"/>
      <c r="I172" s="9" t="s">
        <v>2</v>
      </c>
      <c r="J172" s="9" t="str">
        <f t="shared" ref="J172:K172" si="258">+J171</f>
        <v xml:space="preserve"> </v>
      </c>
      <c r="K172" s="7">
        <f t="shared" si="258"/>
        <v>0</v>
      </c>
      <c r="L172" s="3">
        <f t="shared" si="256"/>
        <v>0</v>
      </c>
      <c r="M172" s="3">
        <f t="shared" si="257"/>
        <v>0</v>
      </c>
      <c r="N172" s="9" t="s">
        <v>34</v>
      </c>
    </row>
    <row r="173" spans="1:14" hidden="1" x14ac:dyDescent="0.25">
      <c r="A173" s="11">
        <f t="shared" si="245"/>
        <v>43</v>
      </c>
      <c r="B173" s="34" t="e">
        <f>+VLOOKUP(B172,Hoja1!$A$1:$B$2,2,FALSE)</f>
        <v>#N/A</v>
      </c>
      <c r="C173" s="9" t="s">
        <v>0</v>
      </c>
      <c r="D173" s="9"/>
      <c r="E173" s="14" t="str">
        <f t="shared" si="254"/>
        <v/>
      </c>
      <c r="F173" s="9"/>
      <c r="G173" s="4">
        <f>-'libro compras'!I171</f>
        <v>0</v>
      </c>
      <c r="H173" s="9"/>
      <c r="I173" s="9" t="s">
        <v>2</v>
      </c>
      <c r="J173" s="9" t="str">
        <f t="shared" ref="J173:K173" si="259">+J172</f>
        <v xml:space="preserve"> </v>
      </c>
      <c r="K173" s="7">
        <f t="shared" si="259"/>
        <v>0</v>
      </c>
      <c r="L173" s="3">
        <f t="shared" si="256"/>
        <v>0</v>
      </c>
      <c r="M173" s="3">
        <f t="shared" si="257"/>
        <v>0</v>
      </c>
      <c r="N173" s="9" t="s">
        <v>34</v>
      </c>
    </row>
    <row r="174" spans="1:14" x14ac:dyDescent="0.25">
      <c r="A174" s="11">
        <f t="shared" ref="A174" si="260">+A173+1</f>
        <v>44</v>
      </c>
      <c r="B174" s="42" t="str">
        <f>+'libro compras'!$AK$1</f>
        <v>281130</v>
      </c>
      <c r="C174" s="9" t="s">
        <v>0</v>
      </c>
      <c r="D174" s="9"/>
      <c r="E174" s="14" t="str">
        <f>+'libro compras'!S175</f>
        <v/>
      </c>
      <c r="F174" s="9"/>
      <c r="G174" s="4">
        <f>+'libro compras'!AI175</f>
        <v>0</v>
      </c>
      <c r="H174" s="9"/>
      <c r="I174" s="9" t="s">
        <v>33</v>
      </c>
      <c r="J174" s="9" t="str">
        <f>+CONCATENATE('libro compras'!C175," ",'libro compras'!D175)</f>
        <v xml:space="preserve"> </v>
      </c>
      <c r="K174" s="7">
        <f>+'libro compras'!F175</f>
        <v>0</v>
      </c>
      <c r="L174" s="3">
        <f>+'libro compras'!C175</f>
        <v>0</v>
      </c>
      <c r="M174" s="3">
        <f>+'libro compras'!D175</f>
        <v>0</v>
      </c>
      <c r="N174" s="9" t="s">
        <v>34</v>
      </c>
    </row>
    <row r="175" spans="1:14" x14ac:dyDescent="0.25">
      <c r="A175" s="11">
        <f t="shared" ref="A175:A177" si="261">+A174</f>
        <v>44</v>
      </c>
      <c r="B175" s="43" t="str">
        <f>+'libro compras'!$AL$1</f>
        <v>401110</v>
      </c>
      <c r="C175" s="9" t="s">
        <v>0</v>
      </c>
      <c r="D175" s="9"/>
      <c r="E175" s="14" t="str">
        <f t="shared" ref="E175:E177" si="262">+E174</f>
        <v/>
      </c>
      <c r="F175" s="9"/>
      <c r="G175" s="4">
        <f>+'libro compras'!AJ175</f>
        <v>0</v>
      </c>
      <c r="H175" s="9"/>
      <c r="I175" s="9" t="s">
        <v>33</v>
      </c>
      <c r="J175" s="9" t="str">
        <f t="shared" ref="J175:M175" si="263">+J174</f>
        <v xml:space="preserve"> </v>
      </c>
      <c r="K175" s="7">
        <f t="shared" si="263"/>
        <v>0</v>
      </c>
      <c r="L175" s="3">
        <f t="shared" si="263"/>
        <v>0</v>
      </c>
      <c r="M175" s="3">
        <f t="shared" si="263"/>
        <v>0</v>
      </c>
      <c r="N175" s="9" t="s">
        <v>34</v>
      </c>
    </row>
    <row r="176" spans="1:14" x14ac:dyDescent="0.25">
      <c r="A176" s="11">
        <f t="shared" si="261"/>
        <v>44</v>
      </c>
      <c r="B176" s="32">
        <f>+'libro compras'!P175</f>
        <v>0</v>
      </c>
      <c r="C176" s="9" t="s">
        <v>0</v>
      </c>
      <c r="D176" s="9"/>
      <c r="E176" s="14" t="str">
        <f t="shared" si="262"/>
        <v/>
      </c>
      <c r="F176" s="9"/>
      <c r="G176" s="4">
        <f>-'libro compras'!AK175</f>
        <v>0</v>
      </c>
      <c r="H176" s="9"/>
      <c r="I176" s="9" t="s">
        <v>2</v>
      </c>
      <c r="J176" s="9" t="str">
        <f t="shared" ref="J176:M176" si="264">+J175</f>
        <v xml:space="preserve"> </v>
      </c>
      <c r="K176" s="7">
        <f t="shared" si="264"/>
        <v>0</v>
      </c>
      <c r="L176" s="3">
        <f t="shared" si="264"/>
        <v>0</v>
      </c>
      <c r="M176" s="3">
        <f t="shared" si="264"/>
        <v>0</v>
      </c>
      <c r="N176" s="9" t="s">
        <v>34</v>
      </c>
    </row>
    <row r="177" spans="1:14" x14ac:dyDescent="0.25">
      <c r="A177" s="11">
        <f t="shared" si="261"/>
        <v>44</v>
      </c>
      <c r="B177" s="34" t="e">
        <f>+VLOOKUP(B176,Hoja1!$A$1:$B$2,2,FALSE)</f>
        <v>#N/A</v>
      </c>
      <c r="C177" s="9" t="s">
        <v>0</v>
      </c>
      <c r="D177" s="9"/>
      <c r="E177" s="14" t="str">
        <f t="shared" si="262"/>
        <v/>
      </c>
      <c r="F177" s="9"/>
      <c r="G177" s="4">
        <f>-'libro compras'!I175</f>
        <v>0</v>
      </c>
      <c r="H177" s="9"/>
      <c r="I177" s="9" t="s">
        <v>2</v>
      </c>
      <c r="J177" s="9" t="str">
        <f t="shared" ref="J177:M177" si="265">+J176</f>
        <v xml:space="preserve"> </v>
      </c>
      <c r="K177" s="7">
        <f t="shared" si="265"/>
        <v>0</v>
      </c>
      <c r="L177" s="3">
        <f t="shared" si="265"/>
        <v>0</v>
      </c>
      <c r="M177" s="3">
        <f t="shared" si="265"/>
        <v>0</v>
      </c>
      <c r="N177" s="9" t="s">
        <v>34</v>
      </c>
    </row>
    <row r="178" spans="1:14" x14ac:dyDescent="0.25">
      <c r="A178" s="11">
        <f t="shared" si="245"/>
        <v>45</v>
      </c>
      <c r="B178" s="42" t="str">
        <f>+'libro compras'!$AK$1</f>
        <v>281130</v>
      </c>
      <c r="C178" s="9" t="s">
        <v>0</v>
      </c>
      <c r="D178" s="9"/>
      <c r="E178" s="14" t="str">
        <f>+'libro compras'!S179</f>
        <v/>
      </c>
      <c r="F178" s="9"/>
      <c r="G178" s="4">
        <f>+'libro compras'!AI179</f>
        <v>0</v>
      </c>
      <c r="H178" s="9"/>
      <c r="I178" s="9" t="s">
        <v>33</v>
      </c>
      <c r="J178" s="9" t="str">
        <f>+CONCATENATE('libro compras'!C179," ",'libro compras'!D179)</f>
        <v xml:space="preserve"> </v>
      </c>
      <c r="K178" s="7">
        <f t="shared" ref="K178" si="266">+K177</f>
        <v>0</v>
      </c>
      <c r="L178" s="3">
        <f>+'libro compras'!C179</f>
        <v>0</v>
      </c>
      <c r="M178" s="3">
        <f>+'libro compras'!D179</f>
        <v>0</v>
      </c>
      <c r="N178" s="9" t="s">
        <v>34</v>
      </c>
    </row>
    <row r="179" spans="1:14" x14ac:dyDescent="0.25">
      <c r="A179" s="11">
        <f t="shared" si="245"/>
        <v>45</v>
      </c>
      <c r="B179" s="43" t="str">
        <f>+'libro compras'!$AL$1</f>
        <v>401110</v>
      </c>
      <c r="C179" s="9" t="s">
        <v>0</v>
      </c>
      <c r="D179" s="9"/>
      <c r="E179" s="14" t="str">
        <f t="shared" ref="E179:E181" si="267">+E178</f>
        <v/>
      </c>
      <c r="F179" s="9"/>
      <c r="G179" s="4">
        <f>+'libro compras'!AJ179</f>
        <v>0</v>
      </c>
      <c r="H179" s="9"/>
      <c r="I179" s="9" t="s">
        <v>33</v>
      </c>
      <c r="J179" s="9" t="str">
        <f t="shared" ref="J179:K179" si="268">+J178</f>
        <v xml:space="preserve"> </v>
      </c>
      <c r="K179" s="7">
        <f t="shared" si="268"/>
        <v>0</v>
      </c>
      <c r="L179" s="3">
        <f t="shared" ref="L179:L181" si="269">+L178</f>
        <v>0</v>
      </c>
      <c r="M179" s="3">
        <f t="shared" ref="M179:M181" si="270">+M178</f>
        <v>0</v>
      </c>
      <c r="N179" s="9" t="s">
        <v>34</v>
      </c>
    </row>
    <row r="180" spans="1:14" x14ac:dyDescent="0.25">
      <c r="A180" s="11">
        <f t="shared" si="245"/>
        <v>45</v>
      </c>
      <c r="B180" s="32">
        <f>+'libro compras'!P179</f>
        <v>0</v>
      </c>
      <c r="C180" s="9" t="s">
        <v>0</v>
      </c>
      <c r="D180" s="9"/>
      <c r="E180" s="14" t="str">
        <f t="shared" si="267"/>
        <v/>
      </c>
      <c r="F180" s="9"/>
      <c r="G180" s="4">
        <f>-'libro compras'!AK179</f>
        <v>0</v>
      </c>
      <c r="H180" s="9"/>
      <c r="I180" s="9" t="s">
        <v>2</v>
      </c>
      <c r="J180" s="9" t="str">
        <f t="shared" ref="J180:K180" si="271">+J179</f>
        <v xml:space="preserve"> </v>
      </c>
      <c r="K180" s="7">
        <f t="shared" si="271"/>
        <v>0</v>
      </c>
      <c r="L180" s="3">
        <f t="shared" si="269"/>
        <v>0</v>
      </c>
      <c r="M180" s="3">
        <f t="shared" si="270"/>
        <v>0</v>
      </c>
      <c r="N180" s="9" t="s">
        <v>34</v>
      </c>
    </row>
    <row r="181" spans="1:14" x14ac:dyDescent="0.25">
      <c r="A181" s="11">
        <f t="shared" si="245"/>
        <v>45</v>
      </c>
      <c r="B181" s="34" t="e">
        <f>+VLOOKUP(B180,Hoja1!$A$1:$B$2,2,FALSE)</f>
        <v>#N/A</v>
      </c>
      <c r="C181" s="9" t="s">
        <v>0</v>
      </c>
      <c r="D181" s="9"/>
      <c r="E181" s="14" t="str">
        <f t="shared" si="267"/>
        <v/>
      </c>
      <c r="F181" s="9"/>
      <c r="G181" s="4">
        <f>-'libro compras'!I179</f>
        <v>0</v>
      </c>
      <c r="H181" s="9"/>
      <c r="I181" s="9" t="s">
        <v>2</v>
      </c>
      <c r="J181" s="9" t="str">
        <f t="shared" ref="J181:K181" si="272">+J180</f>
        <v xml:space="preserve"> </v>
      </c>
      <c r="K181" s="7">
        <f t="shared" si="272"/>
        <v>0</v>
      </c>
      <c r="L181" s="3">
        <f t="shared" si="269"/>
        <v>0</v>
      </c>
      <c r="M181" s="3">
        <f t="shared" si="270"/>
        <v>0</v>
      </c>
      <c r="N181" s="9" t="s">
        <v>34</v>
      </c>
    </row>
    <row r="182" spans="1:14" x14ac:dyDescent="0.25">
      <c r="A182" s="11">
        <f t="shared" si="245"/>
        <v>46</v>
      </c>
      <c r="B182" s="42" t="str">
        <f>+'libro compras'!$AK$1</f>
        <v>281130</v>
      </c>
      <c r="C182" s="9" t="s">
        <v>0</v>
      </c>
      <c r="D182" s="9"/>
      <c r="E182" s="14" t="str">
        <f>+'libro compras'!S183</f>
        <v/>
      </c>
      <c r="F182" s="9"/>
      <c r="G182" s="4">
        <f>+'libro compras'!AI183</f>
        <v>0</v>
      </c>
      <c r="H182" s="9"/>
      <c r="I182" s="9" t="s">
        <v>33</v>
      </c>
      <c r="J182" s="9" t="str">
        <f>+CONCATENATE('libro compras'!C183," ",'libro compras'!D183)</f>
        <v xml:space="preserve"> </v>
      </c>
      <c r="K182" s="7">
        <f t="shared" ref="K182" si="273">+K181</f>
        <v>0</v>
      </c>
      <c r="L182" s="3">
        <f>+'libro compras'!C183</f>
        <v>0</v>
      </c>
      <c r="M182" s="3">
        <f>+'libro compras'!D183</f>
        <v>0</v>
      </c>
      <c r="N182" s="9" t="s">
        <v>34</v>
      </c>
    </row>
    <row r="183" spans="1:14" x14ac:dyDescent="0.25">
      <c r="A183" s="11">
        <f t="shared" si="245"/>
        <v>46</v>
      </c>
      <c r="B183" s="43" t="str">
        <f>+'libro compras'!$AL$1</f>
        <v>401110</v>
      </c>
      <c r="C183" s="9" t="s">
        <v>0</v>
      </c>
      <c r="D183" s="9"/>
      <c r="E183" s="14" t="str">
        <f t="shared" ref="E183:E185" si="274">+E182</f>
        <v/>
      </c>
      <c r="F183" s="9"/>
      <c r="G183" s="4">
        <f>+'libro compras'!AJ183</f>
        <v>0</v>
      </c>
      <c r="H183" s="9"/>
      <c r="I183" s="9" t="s">
        <v>33</v>
      </c>
      <c r="J183" s="9" t="str">
        <f t="shared" ref="J183:K183" si="275">+J182</f>
        <v xml:space="preserve"> </v>
      </c>
      <c r="K183" s="7">
        <f t="shared" si="275"/>
        <v>0</v>
      </c>
      <c r="L183" s="3">
        <f t="shared" ref="L183:L185" si="276">+L182</f>
        <v>0</v>
      </c>
      <c r="M183" s="3">
        <f t="shared" ref="M183:M185" si="277">+M182</f>
        <v>0</v>
      </c>
      <c r="N183" s="9" t="s">
        <v>34</v>
      </c>
    </row>
    <row r="184" spans="1:14" x14ac:dyDescent="0.25">
      <c r="A184" s="11">
        <f t="shared" si="245"/>
        <v>46</v>
      </c>
      <c r="B184" s="32">
        <f>+'libro compras'!P183</f>
        <v>0</v>
      </c>
      <c r="C184" s="9" t="s">
        <v>0</v>
      </c>
      <c r="D184" s="9"/>
      <c r="E184" s="14" t="str">
        <f t="shared" si="274"/>
        <v/>
      </c>
      <c r="F184" s="9"/>
      <c r="G184" s="4">
        <f>-'libro compras'!AK183</f>
        <v>0</v>
      </c>
      <c r="H184" s="9"/>
      <c r="I184" s="9" t="s">
        <v>2</v>
      </c>
      <c r="J184" s="9" t="str">
        <f t="shared" ref="J184:K184" si="278">+J183</f>
        <v xml:space="preserve"> </v>
      </c>
      <c r="K184" s="7">
        <f t="shared" si="278"/>
        <v>0</v>
      </c>
      <c r="L184" s="3">
        <f t="shared" si="276"/>
        <v>0</v>
      </c>
      <c r="M184" s="3">
        <f t="shared" si="277"/>
        <v>0</v>
      </c>
      <c r="N184" s="9" t="s">
        <v>34</v>
      </c>
    </row>
    <row r="185" spans="1:14" x14ac:dyDescent="0.25">
      <c r="A185" s="11">
        <f t="shared" si="245"/>
        <v>46</v>
      </c>
      <c r="B185" s="34" t="e">
        <f>+VLOOKUP(B184,Hoja1!$A$1:$B$2,2,FALSE)</f>
        <v>#N/A</v>
      </c>
      <c r="C185" s="9" t="s">
        <v>0</v>
      </c>
      <c r="D185" s="9"/>
      <c r="E185" s="14" t="str">
        <f t="shared" si="274"/>
        <v/>
      </c>
      <c r="F185" s="9"/>
      <c r="G185" s="4">
        <f>-'libro compras'!I183</f>
        <v>0</v>
      </c>
      <c r="H185" s="9"/>
      <c r="I185" s="9" t="s">
        <v>2</v>
      </c>
      <c r="J185" s="9" t="str">
        <f t="shared" ref="J185:K185" si="279">+J184</f>
        <v xml:space="preserve"> </v>
      </c>
      <c r="K185" s="7">
        <f t="shared" si="279"/>
        <v>0</v>
      </c>
      <c r="L185" s="3">
        <f t="shared" si="276"/>
        <v>0</v>
      </c>
      <c r="M185" s="3">
        <f t="shared" si="277"/>
        <v>0</v>
      </c>
      <c r="N185" s="9" t="s">
        <v>34</v>
      </c>
    </row>
    <row r="186" spans="1:14" x14ac:dyDescent="0.25">
      <c r="A186" s="11">
        <f t="shared" ref="A186" si="280">+A185+1</f>
        <v>47</v>
      </c>
      <c r="B186" s="42" t="str">
        <f>+'libro compras'!$AK$1</f>
        <v>281130</v>
      </c>
      <c r="C186" s="9" t="s">
        <v>0</v>
      </c>
      <c r="D186" s="9"/>
      <c r="E186" s="14" t="str">
        <f>+'libro compras'!S187</f>
        <v/>
      </c>
      <c r="F186" s="9"/>
      <c r="G186" s="4">
        <f>+'libro compras'!AI187</f>
        <v>0</v>
      </c>
      <c r="H186" s="9"/>
      <c r="I186" s="9" t="s">
        <v>33</v>
      </c>
      <c r="J186" s="9" t="str">
        <f>+CONCATENATE('libro compras'!C187," ",'libro compras'!D187)</f>
        <v xml:space="preserve"> </v>
      </c>
      <c r="K186" s="7">
        <f>+'libro compras'!F187</f>
        <v>0</v>
      </c>
      <c r="L186" s="3">
        <f>+'libro compras'!C187</f>
        <v>0</v>
      </c>
      <c r="M186" s="3">
        <f>+'libro compras'!D187</f>
        <v>0</v>
      </c>
      <c r="N186" s="9" t="s">
        <v>34</v>
      </c>
    </row>
    <row r="187" spans="1:14" x14ac:dyDescent="0.25">
      <c r="A187" s="11">
        <f t="shared" ref="A187:A189" si="281">+A186</f>
        <v>47</v>
      </c>
      <c r="B187" s="43" t="str">
        <f>+'libro compras'!$AL$1</f>
        <v>401110</v>
      </c>
      <c r="C187" s="9" t="s">
        <v>0</v>
      </c>
      <c r="D187" s="9"/>
      <c r="E187" s="14" t="str">
        <f t="shared" ref="E187:E189" si="282">+E186</f>
        <v/>
      </c>
      <c r="F187" s="9"/>
      <c r="G187" s="4">
        <f>+'libro compras'!AJ187</f>
        <v>0</v>
      </c>
      <c r="H187" s="9"/>
      <c r="I187" s="9" t="s">
        <v>33</v>
      </c>
      <c r="J187" s="9" t="str">
        <f t="shared" ref="J187:M187" si="283">+J186</f>
        <v xml:space="preserve"> </v>
      </c>
      <c r="K187" s="7">
        <f t="shared" si="283"/>
        <v>0</v>
      </c>
      <c r="L187" s="3">
        <f t="shared" si="283"/>
        <v>0</v>
      </c>
      <c r="M187" s="3">
        <f t="shared" si="283"/>
        <v>0</v>
      </c>
      <c r="N187" s="9" t="s">
        <v>34</v>
      </c>
    </row>
    <row r="188" spans="1:14" x14ac:dyDescent="0.25">
      <c r="A188" s="11">
        <f t="shared" si="281"/>
        <v>47</v>
      </c>
      <c r="B188" s="32">
        <f>+'libro compras'!P187</f>
        <v>0</v>
      </c>
      <c r="C188" s="9" t="s">
        <v>0</v>
      </c>
      <c r="D188" s="9"/>
      <c r="E188" s="14" t="str">
        <f t="shared" si="282"/>
        <v/>
      </c>
      <c r="F188" s="9"/>
      <c r="G188" s="4">
        <f>-'libro compras'!AK187</f>
        <v>0</v>
      </c>
      <c r="H188" s="9"/>
      <c r="I188" s="9" t="s">
        <v>2</v>
      </c>
      <c r="J188" s="9" t="str">
        <f t="shared" ref="J188:M188" si="284">+J187</f>
        <v xml:space="preserve"> </v>
      </c>
      <c r="K188" s="7">
        <f t="shared" si="284"/>
        <v>0</v>
      </c>
      <c r="L188" s="3">
        <f t="shared" si="284"/>
        <v>0</v>
      </c>
      <c r="M188" s="3">
        <f t="shared" si="284"/>
        <v>0</v>
      </c>
      <c r="N188" s="9" t="s">
        <v>34</v>
      </c>
    </row>
    <row r="189" spans="1:14" x14ac:dyDescent="0.25">
      <c r="A189" s="11">
        <f t="shared" si="281"/>
        <v>47</v>
      </c>
      <c r="B189" s="34" t="e">
        <f>+VLOOKUP(B188,Hoja1!$A$1:$B$2,2,FALSE)</f>
        <v>#N/A</v>
      </c>
      <c r="C189" s="9" t="s">
        <v>0</v>
      </c>
      <c r="D189" s="9"/>
      <c r="E189" s="14" t="str">
        <f t="shared" si="282"/>
        <v/>
      </c>
      <c r="F189" s="9"/>
      <c r="G189" s="4">
        <f>-'libro compras'!I187</f>
        <v>0</v>
      </c>
      <c r="H189" s="9"/>
      <c r="I189" s="9" t="s">
        <v>2</v>
      </c>
      <c r="J189" s="9" t="str">
        <f t="shared" ref="J189:M189" si="285">+J188</f>
        <v xml:space="preserve"> </v>
      </c>
      <c r="K189" s="7">
        <f t="shared" si="285"/>
        <v>0</v>
      </c>
      <c r="L189" s="3">
        <f t="shared" si="285"/>
        <v>0</v>
      </c>
      <c r="M189" s="3">
        <f t="shared" si="285"/>
        <v>0</v>
      </c>
      <c r="N189" s="9" t="s">
        <v>34</v>
      </c>
    </row>
    <row r="190" spans="1:14" x14ac:dyDescent="0.25">
      <c r="A190" s="11">
        <f t="shared" si="245"/>
        <v>48</v>
      </c>
      <c r="B190" s="42" t="str">
        <f>+'libro compras'!$AK$1</f>
        <v>281130</v>
      </c>
      <c r="C190" s="9" t="s">
        <v>0</v>
      </c>
      <c r="D190" s="9"/>
      <c r="E190" s="14" t="str">
        <f>+'libro compras'!S191</f>
        <v/>
      </c>
      <c r="F190" s="9"/>
      <c r="G190" s="4">
        <f>+'libro compras'!AI191</f>
        <v>0</v>
      </c>
      <c r="H190" s="9"/>
      <c r="I190" s="9" t="s">
        <v>33</v>
      </c>
      <c r="J190" s="9" t="str">
        <f>+CONCATENATE('libro compras'!C191," ",'libro compras'!D191)</f>
        <v xml:space="preserve"> </v>
      </c>
      <c r="K190" s="7">
        <f t="shared" ref="K190" si="286">+K189</f>
        <v>0</v>
      </c>
      <c r="L190" s="3">
        <f>+'libro compras'!C191</f>
        <v>0</v>
      </c>
      <c r="M190" s="3">
        <f>+'libro compras'!D191</f>
        <v>0</v>
      </c>
      <c r="N190" s="9" t="s">
        <v>34</v>
      </c>
    </row>
    <row r="191" spans="1:14" x14ac:dyDescent="0.25">
      <c r="A191" s="11">
        <f t="shared" si="245"/>
        <v>48</v>
      </c>
      <c r="B191" s="43" t="str">
        <f>+'libro compras'!$AL$1</f>
        <v>401110</v>
      </c>
      <c r="C191" s="9" t="s">
        <v>0</v>
      </c>
      <c r="D191" s="9"/>
      <c r="E191" s="14" t="str">
        <f t="shared" ref="E191:E193" si="287">+E190</f>
        <v/>
      </c>
      <c r="F191" s="9"/>
      <c r="G191" s="4">
        <f>+'libro compras'!AJ191</f>
        <v>0</v>
      </c>
      <c r="H191" s="9"/>
      <c r="I191" s="9" t="s">
        <v>33</v>
      </c>
      <c r="J191" s="9" t="str">
        <f t="shared" ref="J191:K191" si="288">+J190</f>
        <v xml:space="preserve"> </v>
      </c>
      <c r="K191" s="7">
        <f t="shared" si="288"/>
        <v>0</v>
      </c>
      <c r="L191" s="3">
        <f t="shared" ref="L191:L193" si="289">+L190</f>
        <v>0</v>
      </c>
      <c r="M191" s="3">
        <f t="shared" ref="M191:M193" si="290">+M190</f>
        <v>0</v>
      </c>
      <c r="N191" s="9" t="s">
        <v>34</v>
      </c>
    </row>
    <row r="192" spans="1:14" x14ac:dyDescent="0.25">
      <c r="A192" s="11">
        <f t="shared" si="245"/>
        <v>48</v>
      </c>
      <c r="B192" s="32">
        <f>+'libro compras'!P191</f>
        <v>0</v>
      </c>
      <c r="C192" s="9" t="s">
        <v>0</v>
      </c>
      <c r="D192" s="9"/>
      <c r="E192" s="14" t="str">
        <f t="shared" si="287"/>
        <v/>
      </c>
      <c r="F192" s="9"/>
      <c r="G192" s="4">
        <f>-'libro compras'!AK191</f>
        <v>0</v>
      </c>
      <c r="H192" s="9"/>
      <c r="I192" s="9" t="s">
        <v>2</v>
      </c>
      <c r="J192" s="9" t="str">
        <f t="shared" ref="J192:K192" si="291">+J191</f>
        <v xml:space="preserve"> </v>
      </c>
      <c r="K192" s="7">
        <f t="shared" si="291"/>
        <v>0</v>
      </c>
      <c r="L192" s="3">
        <f t="shared" si="289"/>
        <v>0</v>
      </c>
      <c r="M192" s="3">
        <f t="shared" si="290"/>
        <v>0</v>
      </c>
      <c r="N192" s="9" t="s">
        <v>34</v>
      </c>
    </row>
    <row r="193" spans="1:14" x14ac:dyDescent="0.25">
      <c r="A193" s="11">
        <f t="shared" si="245"/>
        <v>48</v>
      </c>
      <c r="B193" s="34" t="e">
        <f>+VLOOKUP(B192,Hoja1!$A$1:$B$2,2,FALSE)</f>
        <v>#N/A</v>
      </c>
      <c r="C193" s="9" t="s">
        <v>0</v>
      </c>
      <c r="D193" s="9"/>
      <c r="E193" s="14" t="str">
        <f t="shared" si="287"/>
        <v/>
      </c>
      <c r="F193" s="9"/>
      <c r="G193" s="4">
        <f>-'libro compras'!I191</f>
        <v>0</v>
      </c>
      <c r="H193" s="9"/>
      <c r="I193" s="9" t="s">
        <v>2</v>
      </c>
      <c r="J193" s="9" t="str">
        <f t="shared" ref="J193:K193" si="292">+J192</f>
        <v xml:space="preserve"> </v>
      </c>
      <c r="K193" s="7">
        <f t="shared" si="292"/>
        <v>0</v>
      </c>
      <c r="L193" s="3">
        <f t="shared" si="289"/>
        <v>0</v>
      </c>
      <c r="M193" s="3">
        <f t="shared" si="290"/>
        <v>0</v>
      </c>
      <c r="N193" s="9" t="s">
        <v>34</v>
      </c>
    </row>
    <row r="194" spans="1:14" x14ac:dyDescent="0.25">
      <c r="A194" s="11">
        <f t="shared" si="245"/>
        <v>49</v>
      </c>
      <c r="B194" s="42" t="str">
        <f>+'libro compras'!$AK$1</f>
        <v>281130</v>
      </c>
      <c r="C194" s="9" t="s">
        <v>0</v>
      </c>
      <c r="D194" s="9"/>
      <c r="E194" s="14" t="str">
        <f>+'libro compras'!S195</f>
        <v/>
      </c>
      <c r="F194" s="9"/>
      <c r="G194" s="4">
        <f>+'libro compras'!AI195</f>
        <v>0</v>
      </c>
      <c r="H194" s="9"/>
      <c r="I194" s="9" t="s">
        <v>33</v>
      </c>
      <c r="J194" s="9" t="str">
        <f>+CONCATENATE('libro compras'!C195," ",'libro compras'!D195)</f>
        <v xml:space="preserve"> </v>
      </c>
      <c r="K194" s="7">
        <f t="shared" ref="K194" si="293">+K193</f>
        <v>0</v>
      </c>
      <c r="L194" s="3">
        <f>+'libro compras'!C195</f>
        <v>0</v>
      </c>
      <c r="M194" s="3">
        <f>+'libro compras'!D195</f>
        <v>0</v>
      </c>
      <c r="N194" s="9" t="s">
        <v>34</v>
      </c>
    </row>
    <row r="195" spans="1:14" x14ac:dyDescent="0.25">
      <c r="A195" s="11">
        <f t="shared" si="245"/>
        <v>49</v>
      </c>
      <c r="B195" s="43" t="str">
        <f>+'libro compras'!$AL$1</f>
        <v>401110</v>
      </c>
      <c r="C195" s="9" t="s">
        <v>0</v>
      </c>
      <c r="D195" s="9"/>
      <c r="E195" s="14" t="str">
        <f t="shared" ref="E195:E197" si="294">+E194</f>
        <v/>
      </c>
      <c r="F195" s="9"/>
      <c r="G195" s="4">
        <f>+'libro compras'!AJ195</f>
        <v>0</v>
      </c>
      <c r="H195" s="9"/>
      <c r="I195" s="9" t="s">
        <v>33</v>
      </c>
      <c r="J195" s="9" t="str">
        <f t="shared" ref="J195:K195" si="295">+J194</f>
        <v xml:space="preserve"> </v>
      </c>
      <c r="K195" s="7">
        <f t="shared" si="295"/>
        <v>0</v>
      </c>
      <c r="L195" s="3">
        <f t="shared" ref="L195:L197" si="296">+L194</f>
        <v>0</v>
      </c>
      <c r="M195" s="3">
        <f t="shared" ref="M195:M197" si="297">+M194</f>
        <v>0</v>
      </c>
      <c r="N195" s="9" t="s">
        <v>34</v>
      </c>
    </row>
    <row r="196" spans="1:14" x14ac:dyDescent="0.25">
      <c r="A196" s="11">
        <f t="shared" si="245"/>
        <v>49</v>
      </c>
      <c r="B196" s="32">
        <f>+'libro compras'!P195</f>
        <v>0</v>
      </c>
      <c r="C196" s="9" t="s">
        <v>0</v>
      </c>
      <c r="D196" s="9"/>
      <c r="E196" s="14" t="str">
        <f t="shared" si="294"/>
        <v/>
      </c>
      <c r="F196" s="9"/>
      <c r="G196" s="4">
        <f>-'libro compras'!AK195</f>
        <v>0</v>
      </c>
      <c r="H196" s="9"/>
      <c r="I196" s="9" t="s">
        <v>2</v>
      </c>
      <c r="J196" s="9" t="str">
        <f t="shared" ref="J196:K196" si="298">+J195</f>
        <v xml:space="preserve"> </v>
      </c>
      <c r="K196" s="7">
        <f t="shared" si="298"/>
        <v>0</v>
      </c>
      <c r="L196" s="3">
        <f t="shared" si="296"/>
        <v>0</v>
      </c>
      <c r="M196" s="3">
        <f t="shared" si="297"/>
        <v>0</v>
      </c>
      <c r="N196" s="9" t="s">
        <v>34</v>
      </c>
    </row>
    <row r="197" spans="1:14" x14ac:dyDescent="0.25">
      <c r="A197" s="11">
        <f t="shared" si="245"/>
        <v>49</v>
      </c>
      <c r="B197" s="34" t="e">
        <f>+VLOOKUP(B196,Hoja1!$A$1:$B$2,2,FALSE)</f>
        <v>#N/A</v>
      </c>
      <c r="C197" s="9" t="s">
        <v>0</v>
      </c>
      <c r="D197" s="9"/>
      <c r="E197" s="14" t="str">
        <f t="shared" si="294"/>
        <v/>
      </c>
      <c r="F197" s="9"/>
      <c r="G197" s="4">
        <f>-'libro compras'!I195</f>
        <v>0</v>
      </c>
      <c r="H197" s="9"/>
      <c r="I197" s="9" t="s">
        <v>2</v>
      </c>
      <c r="J197" s="9" t="str">
        <f t="shared" ref="J197:K197" si="299">+J196</f>
        <v xml:space="preserve"> </v>
      </c>
      <c r="K197" s="7">
        <f t="shared" si="299"/>
        <v>0</v>
      </c>
      <c r="L197" s="3">
        <f t="shared" si="296"/>
        <v>0</v>
      </c>
      <c r="M197" s="3">
        <f t="shared" si="297"/>
        <v>0</v>
      </c>
      <c r="N197" s="9" t="s">
        <v>34</v>
      </c>
    </row>
    <row r="198" spans="1:14" x14ac:dyDescent="0.25">
      <c r="A198" s="11">
        <f t="shared" ref="A198" si="300">+A197+1</f>
        <v>50</v>
      </c>
      <c r="B198" s="42" t="str">
        <f>+'libro compras'!$AK$1</f>
        <v>281130</v>
      </c>
      <c r="C198" s="9" t="s">
        <v>0</v>
      </c>
      <c r="D198" s="9"/>
      <c r="E198" s="14" t="str">
        <f>+'libro compras'!S199</f>
        <v/>
      </c>
      <c r="F198" s="9"/>
      <c r="G198" s="4">
        <f>+'libro compras'!AI199</f>
        <v>0</v>
      </c>
      <c r="H198" s="9"/>
      <c r="I198" s="9" t="s">
        <v>33</v>
      </c>
      <c r="J198" s="9" t="str">
        <f>+CONCATENATE('libro compras'!C199," ",'libro compras'!D199)</f>
        <v xml:space="preserve"> </v>
      </c>
      <c r="K198" s="7">
        <f>+'libro compras'!F199</f>
        <v>0</v>
      </c>
      <c r="L198" s="3">
        <f>+'libro compras'!C199</f>
        <v>0</v>
      </c>
      <c r="M198" s="3">
        <f>+'libro compras'!D199</f>
        <v>0</v>
      </c>
      <c r="N198" s="9" t="s">
        <v>34</v>
      </c>
    </row>
    <row r="199" spans="1:14" x14ac:dyDescent="0.25">
      <c r="A199" s="11">
        <f t="shared" ref="A199:A201" si="301">+A198</f>
        <v>50</v>
      </c>
      <c r="B199" s="43" t="str">
        <f>+'libro compras'!$AL$1</f>
        <v>401110</v>
      </c>
      <c r="C199" s="9" t="s">
        <v>0</v>
      </c>
      <c r="D199" s="9"/>
      <c r="E199" s="14" t="str">
        <f t="shared" ref="E199:E201" si="302">+E198</f>
        <v/>
      </c>
      <c r="F199" s="9"/>
      <c r="G199" s="4">
        <f>+'libro compras'!AJ199</f>
        <v>0</v>
      </c>
      <c r="H199" s="9"/>
      <c r="I199" s="9" t="s">
        <v>33</v>
      </c>
      <c r="J199" s="9" t="str">
        <f t="shared" ref="J199:M199" si="303">+J198</f>
        <v xml:space="preserve"> </v>
      </c>
      <c r="K199" s="7">
        <f t="shared" si="303"/>
        <v>0</v>
      </c>
      <c r="L199" s="3">
        <f t="shared" si="303"/>
        <v>0</v>
      </c>
      <c r="M199" s="3">
        <f t="shared" si="303"/>
        <v>0</v>
      </c>
      <c r="N199" s="9" t="s">
        <v>34</v>
      </c>
    </row>
    <row r="200" spans="1:14" x14ac:dyDescent="0.25">
      <c r="A200" s="11">
        <f t="shared" si="301"/>
        <v>50</v>
      </c>
      <c r="B200" s="32">
        <f>+'libro compras'!P199</f>
        <v>0</v>
      </c>
      <c r="C200" s="9" t="s">
        <v>0</v>
      </c>
      <c r="D200" s="9"/>
      <c r="E200" s="14" t="str">
        <f t="shared" si="302"/>
        <v/>
      </c>
      <c r="F200" s="9"/>
      <c r="G200" s="4">
        <f>-'libro compras'!AK199</f>
        <v>0</v>
      </c>
      <c r="H200" s="9"/>
      <c r="I200" s="9" t="s">
        <v>2</v>
      </c>
      <c r="J200" s="9" t="str">
        <f t="shared" ref="J200:M200" si="304">+J199</f>
        <v xml:space="preserve"> </v>
      </c>
      <c r="K200" s="7">
        <f t="shared" si="304"/>
        <v>0</v>
      </c>
      <c r="L200" s="3">
        <f t="shared" si="304"/>
        <v>0</v>
      </c>
      <c r="M200" s="3">
        <f t="shared" si="304"/>
        <v>0</v>
      </c>
      <c r="N200" s="9" t="s">
        <v>34</v>
      </c>
    </row>
    <row r="201" spans="1:14" x14ac:dyDescent="0.25">
      <c r="A201" s="11">
        <f t="shared" si="301"/>
        <v>50</v>
      </c>
      <c r="B201" s="34" t="e">
        <f>+VLOOKUP(B200,Hoja1!$A$1:$B$2,2,FALSE)</f>
        <v>#N/A</v>
      </c>
      <c r="C201" s="9" t="s">
        <v>0</v>
      </c>
      <c r="D201" s="9"/>
      <c r="E201" s="14" t="str">
        <f t="shared" si="302"/>
        <v/>
      </c>
      <c r="F201" s="9"/>
      <c r="G201" s="4">
        <f>-'libro compras'!I199</f>
        <v>0</v>
      </c>
      <c r="H201" s="9"/>
      <c r="I201" s="9" t="s">
        <v>2</v>
      </c>
      <c r="J201" s="9" t="str">
        <f t="shared" ref="J201:M201" si="305">+J200</f>
        <v xml:space="preserve"> </v>
      </c>
      <c r="K201" s="7">
        <f t="shared" si="305"/>
        <v>0</v>
      </c>
      <c r="L201" s="3">
        <f t="shared" si="305"/>
        <v>0</v>
      </c>
      <c r="M201" s="3">
        <f t="shared" si="305"/>
        <v>0</v>
      </c>
      <c r="N201" s="9" t="s">
        <v>34</v>
      </c>
    </row>
    <row r="202" spans="1:14" x14ac:dyDescent="0.25">
      <c r="A202" s="11">
        <f t="shared" si="245"/>
        <v>51</v>
      </c>
      <c r="B202" s="42" t="str">
        <f>+'libro compras'!$AK$1</f>
        <v>281130</v>
      </c>
      <c r="C202" s="9" t="s">
        <v>0</v>
      </c>
      <c r="D202" s="9"/>
      <c r="E202" s="14" t="str">
        <f>+'libro compras'!S203</f>
        <v/>
      </c>
      <c r="F202" s="9"/>
      <c r="G202" s="4">
        <f>+'libro compras'!AI203</f>
        <v>0</v>
      </c>
      <c r="H202" s="9"/>
      <c r="I202" s="9" t="s">
        <v>33</v>
      </c>
      <c r="J202" s="9" t="str">
        <f>+CONCATENATE('libro compras'!C203," ",'libro compras'!D203)</f>
        <v xml:space="preserve"> </v>
      </c>
      <c r="K202" s="7">
        <f t="shared" ref="K202" si="306">+K201</f>
        <v>0</v>
      </c>
      <c r="L202" s="3">
        <f>+'libro compras'!C203</f>
        <v>0</v>
      </c>
      <c r="M202" s="3">
        <f>+'libro compras'!D203</f>
        <v>0</v>
      </c>
      <c r="N202" s="9" t="s">
        <v>34</v>
      </c>
    </row>
    <row r="203" spans="1:14" x14ac:dyDescent="0.25">
      <c r="A203" s="11">
        <f t="shared" si="245"/>
        <v>51</v>
      </c>
      <c r="B203" s="43" t="str">
        <f>+'libro compras'!$AL$1</f>
        <v>401110</v>
      </c>
      <c r="C203" s="9" t="s">
        <v>0</v>
      </c>
      <c r="D203" s="9"/>
      <c r="E203" s="14" t="str">
        <f t="shared" ref="E203:E205" si="307">+E202</f>
        <v/>
      </c>
      <c r="F203" s="9"/>
      <c r="G203" s="4">
        <f>+'libro compras'!AJ203</f>
        <v>0</v>
      </c>
      <c r="H203" s="9"/>
      <c r="I203" s="9" t="s">
        <v>33</v>
      </c>
      <c r="J203" s="9" t="str">
        <f t="shared" ref="J203:K203" si="308">+J202</f>
        <v xml:space="preserve"> </v>
      </c>
      <c r="K203" s="7">
        <f t="shared" si="308"/>
        <v>0</v>
      </c>
      <c r="L203" s="3">
        <f t="shared" ref="L203:L205" si="309">+L202</f>
        <v>0</v>
      </c>
      <c r="M203" s="3">
        <f t="shared" ref="M203:M205" si="310">+M202</f>
        <v>0</v>
      </c>
      <c r="N203" s="9" t="s">
        <v>34</v>
      </c>
    </row>
    <row r="204" spans="1:14" x14ac:dyDescent="0.25">
      <c r="A204" s="11">
        <f t="shared" si="245"/>
        <v>51</v>
      </c>
      <c r="B204" s="32">
        <f>+'libro compras'!P203</f>
        <v>0</v>
      </c>
      <c r="C204" s="9" t="s">
        <v>0</v>
      </c>
      <c r="D204" s="9"/>
      <c r="E204" s="14" t="str">
        <f t="shared" si="307"/>
        <v/>
      </c>
      <c r="F204" s="9"/>
      <c r="G204" s="4">
        <f>-'libro compras'!AK203</f>
        <v>0</v>
      </c>
      <c r="H204" s="9"/>
      <c r="I204" s="9" t="s">
        <v>2</v>
      </c>
      <c r="J204" s="9" t="str">
        <f t="shared" ref="J204:K204" si="311">+J203</f>
        <v xml:space="preserve"> </v>
      </c>
      <c r="K204" s="7">
        <f t="shared" si="311"/>
        <v>0</v>
      </c>
      <c r="L204" s="3">
        <f t="shared" si="309"/>
        <v>0</v>
      </c>
      <c r="M204" s="3">
        <f t="shared" si="310"/>
        <v>0</v>
      </c>
      <c r="N204" s="9" t="s">
        <v>34</v>
      </c>
    </row>
    <row r="205" spans="1:14" x14ac:dyDescent="0.25">
      <c r="A205" s="11">
        <f t="shared" si="245"/>
        <v>51</v>
      </c>
      <c r="B205" s="34" t="e">
        <f>+VLOOKUP(B204,Hoja1!$A$1:$B$2,2,FALSE)</f>
        <v>#N/A</v>
      </c>
      <c r="C205" s="9" t="s">
        <v>0</v>
      </c>
      <c r="D205" s="9"/>
      <c r="E205" s="14" t="str">
        <f t="shared" si="307"/>
        <v/>
      </c>
      <c r="F205" s="9"/>
      <c r="G205" s="4">
        <f>-'libro compras'!I203</f>
        <v>0</v>
      </c>
      <c r="H205" s="9"/>
      <c r="I205" s="9" t="s">
        <v>2</v>
      </c>
      <c r="J205" s="9" t="str">
        <f t="shared" ref="J205:K205" si="312">+J204</f>
        <v xml:space="preserve"> </v>
      </c>
      <c r="K205" s="7">
        <f t="shared" si="312"/>
        <v>0</v>
      </c>
      <c r="L205" s="3">
        <f t="shared" si="309"/>
        <v>0</v>
      </c>
      <c r="M205" s="3">
        <f t="shared" si="310"/>
        <v>0</v>
      </c>
      <c r="N205" s="9" t="s">
        <v>34</v>
      </c>
    </row>
    <row r="206" spans="1:14" x14ac:dyDescent="0.25">
      <c r="A206" s="11">
        <f t="shared" si="245"/>
        <v>52</v>
      </c>
      <c r="B206" s="42" t="str">
        <f>+'libro compras'!$AK$1</f>
        <v>281130</v>
      </c>
      <c r="C206" s="9" t="s">
        <v>0</v>
      </c>
      <c r="D206" s="9"/>
      <c r="E206" s="14" t="str">
        <f>+'libro compras'!S207</f>
        <v/>
      </c>
      <c r="F206" s="9"/>
      <c r="G206" s="4">
        <f>+'libro compras'!AI207</f>
        <v>0</v>
      </c>
      <c r="H206" s="9"/>
      <c r="I206" s="9" t="s">
        <v>33</v>
      </c>
      <c r="J206" s="9" t="str">
        <f>+CONCATENATE('libro compras'!C207," ",'libro compras'!D207)</f>
        <v xml:space="preserve"> </v>
      </c>
      <c r="K206" s="7">
        <f t="shared" ref="K206" si="313">+K205</f>
        <v>0</v>
      </c>
      <c r="L206" s="3">
        <f>+'libro compras'!C207</f>
        <v>0</v>
      </c>
      <c r="M206" s="3">
        <f>+'libro compras'!D207</f>
        <v>0</v>
      </c>
      <c r="N206" s="9" t="s">
        <v>34</v>
      </c>
    </row>
    <row r="207" spans="1:14" x14ac:dyDescent="0.25">
      <c r="A207" s="11">
        <f t="shared" si="245"/>
        <v>52</v>
      </c>
      <c r="B207" s="43" t="str">
        <f>+'libro compras'!$AL$1</f>
        <v>401110</v>
      </c>
      <c r="C207" s="9" t="s">
        <v>0</v>
      </c>
      <c r="D207" s="9"/>
      <c r="E207" s="14" t="str">
        <f t="shared" ref="E207:E209" si="314">+E206</f>
        <v/>
      </c>
      <c r="F207" s="9"/>
      <c r="G207" s="4">
        <f>+'libro compras'!AJ207</f>
        <v>0</v>
      </c>
      <c r="H207" s="9"/>
      <c r="I207" s="9" t="s">
        <v>33</v>
      </c>
      <c r="J207" s="9" t="str">
        <f t="shared" ref="J207:K207" si="315">+J206</f>
        <v xml:space="preserve"> </v>
      </c>
      <c r="K207" s="7">
        <f t="shared" si="315"/>
        <v>0</v>
      </c>
      <c r="L207" s="3">
        <f t="shared" ref="L207:L209" si="316">+L206</f>
        <v>0</v>
      </c>
      <c r="M207" s="3">
        <f t="shared" ref="M207:M209" si="317">+M206</f>
        <v>0</v>
      </c>
      <c r="N207" s="9" t="s">
        <v>34</v>
      </c>
    </row>
    <row r="208" spans="1:14" x14ac:dyDescent="0.25">
      <c r="A208" s="11">
        <f t="shared" si="245"/>
        <v>52</v>
      </c>
      <c r="B208" s="32">
        <f>+'libro compras'!P207</f>
        <v>0</v>
      </c>
      <c r="C208" s="9" t="s">
        <v>0</v>
      </c>
      <c r="D208" s="9"/>
      <c r="E208" s="14" t="str">
        <f t="shared" si="314"/>
        <v/>
      </c>
      <c r="F208" s="9"/>
      <c r="G208" s="4">
        <f>-'libro compras'!AK207</f>
        <v>0</v>
      </c>
      <c r="H208" s="9"/>
      <c r="I208" s="9" t="s">
        <v>2</v>
      </c>
      <c r="J208" s="9" t="str">
        <f t="shared" ref="J208:K208" si="318">+J207</f>
        <v xml:space="preserve"> </v>
      </c>
      <c r="K208" s="7">
        <f t="shared" si="318"/>
        <v>0</v>
      </c>
      <c r="L208" s="3">
        <f t="shared" si="316"/>
        <v>0</v>
      </c>
      <c r="M208" s="3">
        <f t="shared" si="317"/>
        <v>0</v>
      </c>
      <c r="N208" s="9" t="s">
        <v>34</v>
      </c>
    </row>
    <row r="209" spans="1:14" x14ac:dyDescent="0.25">
      <c r="A209" s="11">
        <f t="shared" si="245"/>
        <v>52</v>
      </c>
      <c r="B209" s="34" t="e">
        <f>+VLOOKUP(B208,Hoja1!$A$1:$B$2,2,FALSE)</f>
        <v>#N/A</v>
      </c>
      <c r="C209" s="9" t="s">
        <v>0</v>
      </c>
      <c r="D209" s="9"/>
      <c r="E209" s="14" t="str">
        <f t="shared" si="314"/>
        <v/>
      </c>
      <c r="F209" s="9"/>
      <c r="G209" s="4">
        <f>-'libro compras'!I207</f>
        <v>0</v>
      </c>
      <c r="H209" s="9"/>
      <c r="I209" s="9" t="s">
        <v>2</v>
      </c>
      <c r="J209" s="9" t="str">
        <f t="shared" ref="J209:K209" si="319">+J208</f>
        <v xml:space="preserve"> </v>
      </c>
      <c r="K209" s="7">
        <f t="shared" si="319"/>
        <v>0</v>
      </c>
      <c r="L209" s="3">
        <f t="shared" si="316"/>
        <v>0</v>
      </c>
      <c r="M209" s="3">
        <f t="shared" si="317"/>
        <v>0</v>
      </c>
      <c r="N209" s="9" t="s">
        <v>34</v>
      </c>
    </row>
    <row r="210" spans="1:14" x14ac:dyDescent="0.25">
      <c r="A210" s="11">
        <f t="shared" ref="A210" si="320">+A209+1</f>
        <v>53</v>
      </c>
      <c r="B210" s="42" t="str">
        <f>+'libro compras'!$AK$1</f>
        <v>281130</v>
      </c>
      <c r="C210" s="9" t="s">
        <v>0</v>
      </c>
      <c r="D210" s="9"/>
      <c r="E210" s="14" t="str">
        <f>+'libro compras'!S211</f>
        <v/>
      </c>
      <c r="F210" s="9"/>
      <c r="G210" s="4">
        <f>+'libro compras'!AI211</f>
        <v>0</v>
      </c>
      <c r="H210" s="9"/>
      <c r="I210" s="9" t="s">
        <v>33</v>
      </c>
      <c r="J210" s="9" t="str">
        <f>+CONCATENATE('libro compras'!C211," ",'libro compras'!D211)</f>
        <v xml:space="preserve"> </v>
      </c>
      <c r="K210" s="7">
        <f>+'libro compras'!F211</f>
        <v>0</v>
      </c>
      <c r="L210" s="3">
        <f>+'libro compras'!C211</f>
        <v>0</v>
      </c>
      <c r="M210" s="3">
        <f>+'libro compras'!D211</f>
        <v>0</v>
      </c>
      <c r="N210" s="9" t="s">
        <v>34</v>
      </c>
    </row>
    <row r="211" spans="1:14" x14ac:dyDescent="0.25">
      <c r="A211" s="11">
        <f t="shared" ref="A211:A213" si="321">+A210</f>
        <v>53</v>
      </c>
      <c r="B211" s="43" t="str">
        <f>+'libro compras'!$AL$1</f>
        <v>401110</v>
      </c>
      <c r="C211" s="9" t="s">
        <v>0</v>
      </c>
      <c r="D211" s="9"/>
      <c r="E211" s="14" t="str">
        <f t="shared" ref="E211:E213" si="322">+E210</f>
        <v/>
      </c>
      <c r="F211" s="9"/>
      <c r="G211" s="4">
        <f>+'libro compras'!AJ211</f>
        <v>0</v>
      </c>
      <c r="H211" s="9"/>
      <c r="I211" s="9" t="s">
        <v>33</v>
      </c>
      <c r="J211" s="9" t="str">
        <f t="shared" ref="J211:M211" si="323">+J210</f>
        <v xml:space="preserve"> </v>
      </c>
      <c r="K211" s="7">
        <f t="shared" si="323"/>
        <v>0</v>
      </c>
      <c r="L211" s="3">
        <f t="shared" si="323"/>
        <v>0</v>
      </c>
      <c r="M211" s="3">
        <f t="shared" si="323"/>
        <v>0</v>
      </c>
      <c r="N211" s="9" t="s">
        <v>34</v>
      </c>
    </row>
    <row r="212" spans="1:14" x14ac:dyDescent="0.25">
      <c r="A212" s="11">
        <f t="shared" si="321"/>
        <v>53</v>
      </c>
      <c r="B212" s="32">
        <f>+'libro compras'!P211</f>
        <v>0</v>
      </c>
      <c r="C212" s="9" t="s">
        <v>0</v>
      </c>
      <c r="D212" s="9"/>
      <c r="E212" s="14" t="str">
        <f t="shared" si="322"/>
        <v/>
      </c>
      <c r="F212" s="9"/>
      <c r="G212" s="4">
        <f>-'libro compras'!AK211</f>
        <v>0</v>
      </c>
      <c r="H212" s="9"/>
      <c r="I212" s="9" t="s">
        <v>2</v>
      </c>
      <c r="J212" s="9" t="str">
        <f t="shared" ref="J212:M212" si="324">+J211</f>
        <v xml:space="preserve"> </v>
      </c>
      <c r="K212" s="7">
        <f t="shared" si="324"/>
        <v>0</v>
      </c>
      <c r="L212" s="3">
        <f t="shared" si="324"/>
        <v>0</v>
      </c>
      <c r="M212" s="3">
        <f t="shared" si="324"/>
        <v>0</v>
      </c>
      <c r="N212" s="9" t="s">
        <v>34</v>
      </c>
    </row>
    <row r="213" spans="1:14" x14ac:dyDescent="0.25">
      <c r="A213" s="11">
        <f t="shared" si="321"/>
        <v>53</v>
      </c>
      <c r="B213" s="34" t="e">
        <f>+VLOOKUP(B212,Hoja1!$A$1:$B$2,2,FALSE)</f>
        <v>#N/A</v>
      </c>
      <c r="C213" s="9" t="s">
        <v>0</v>
      </c>
      <c r="D213" s="9"/>
      <c r="E213" s="14" t="str">
        <f t="shared" si="322"/>
        <v/>
      </c>
      <c r="F213" s="9"/>
      <c r="G213" s="4">
        <f>-'libro compras'!I211</f>
        <v>0</v>
      </c>
      <c r="H213" s="9"/>
      <c r="I213" s="9" t="s">
        <v>2</v>
      </c>
      <c r="J213" s="9" t="str">
        <f t="shared" ref="J213:M213" si="325">+J212</f>
        <v xml:space="preserve"> </v>
      </c>
      <c r="K213" s="7">
        <f t="shared" si="325"/>
        <v>0</v>
      </c>
      <c r="L213" s="3">
        <f t="shared" si="325"/>
        <v>0</v>
      </c>
      <c r="M213" s="3">
        <f t="shared" si="325"/>
        <v>0</v>
      </c>
      <c r="N213" s="9" t="s">
        <v>34</v>
      </c>
    </row>
    <row r="214" spans="1:14" x14ac:dyDescent="0.25">
      <c r="A214" s="11">
        <f t="shared" si="245"/>
        <v>54</v>
      </c>
      <c r="B214" s="42" t="str">
        <f>+'libro compras'!$AK$1</f>
        <v>281130</v>
      </c>
      <c r="C214" s="9" t="s">
        <v>0</v>
      </c>
      <c r="D214" s="9"/>
      <c r="E214" s="14" t="str">
        <f>+'libro compras'!S215</f>
        <v/>
      </c>
      <c r="F214" s="9"/>
      <c r="G214" s="4">
        <f>+'libro compras'!AI215</f>
        <v>0</v>
      </c>
      <c r="H214" s="9"/>
      <c r="I214" s="9" t="s">
        <v>33</v>
      </c>
      <c r="J214" s="9" t="str">
        <f>+CONCATENATE('libro compras'!C215," ",'libro compras'!D215)</f>
        <v xml:space="preserve"> </v>
      </c>
      <c r="K214" s="7">
        <f t="shared" ref="K214" si="326">+K213</f>
        <v>0</v>
      </c>
      <c r="L214" s="3">
        <f>+'libro compras'!C215</f>
        <v>0</v>
      </c>
      <c r="M214" s="3">
        <f>+'libro compras'!D215</f>
        <v>0</v>
      </c>
      <c r="N214" s="9" t="s">
        <v>34</v>
      </c>
    </row>
    <row r="215" spans="1:14" x14ac:dyDescent="0.25">
      <c r="A215" s="11">
        <f t="shared" si="245"/>
        <v>54</v>
      </c>
      <c r="B215" s="43" t="str">
        <f>+'libro compras'!$AL$1</f>
        <v>401110</v>
      </c>
      <c r="C215" s="9" t="s">
        <v>0</v>
      </c>
      <c r="D215" s="9"/>
      <c r="E215" s="14" t="str">
        <f t="shared" ref="E215:E217" si="327">+E214</f>
        <v/>
      </c>
      <c r="F215" s="9"/>
      <c r="G215" s="4">
        <f>+'libro compras'!AJ215</f>
        <v>0</v>
      </c>
      <c r="H215" s="9"/>
      <c r="I215" s="9" t="s">
        <v>33</v>
      </c>
      <c r="J215" s="9" t="str">
        <f t="shared" ref="J215:K215" si="328">+J214</f>
        <v xml:space="preserve"> </v>
      </c>
      <c r="K215" s="7">
        <f t="shared" si="328"/>
        <v>0</v>
      </c>
      <c r="L215" s="3">
        <f t="shared" ref="L215:L217" si="329">+L214</f>
        <v>0</v>
      </c>
      <c r="M215" s="3">
        <f t="shared" ref="M215:M217" si="330">+M214</f>
        <v>0</v>
      </c>
      <c r="N215" s="9" t="s">
        <v>34</v>
      </c>
    </row>
    <row r="216" spans="1:14" x14ac:dyDescent="0.25">
      <c r="A216" s="11">
        <f t="shared" si="245"/>
        <v>54</v>
      </c>
      <c r="B216" s="32">
        <f>+'libro compras'!P215</f>
        <v>0</v>
      </c>
      <c r="C216" s="9" t="s">
        <v>0</v>
      </c>
      <c r="D216" s="9"/>
      <c r="E216" s="14" t="str">
        <f t="shared" si="327"/>
        <v/>
      </c>
      <c r="F216" s="9"/>
      <c r="G216" s="4">
        <f>-'libro compras'!AK215</f>
        <v>0</v>
      </c>
      <c r="H216" s="9"/>
      <c r="I216" s="9" t="s">
        <v>2</v>
      </c>
      <c r="J216" s="9" t="str">
        <f t="shared" ref="J216:K216" si="331">+J215</f>
        <v xml:space="preserve"> </v>
      </c>
      <c r="K216" s="7">
        <f t="shared" si="331"/>
        <v>0</v>
      </c>
      <c r="L216" s="3">
        <f t="shared" si="329"/>
        <v>0</v>
      </c>
      <c r="M216" s="3">
        <f t="shared" si="330"/>
        <v>0</v>
      </c>
      <c r="N216" s="9" t="s">
        <v>34</v>
      </c>
    </row>
    <row r="217" spans="1:14" x14ac:dyDescent="0.25">
      <c r="A217" s="11">
        <f t="shared" si="245"/>
        <v>54</v>
      </c>
      <c r="B217" s="34" t="e">
        <f>+VLOOKUP(B216,Hoja1!$A$1:$B$2,2,FALSE)</f>
        <v>#N/A</v>
      </c>
      <c r="C217" s="9" t="s">
        <v>0</v>
      </c>
      <c r="D217" s="9"/>
      <c r="E217" s="14" t="str">
        <f t="shared" si="327"/>
        <v/>
      </c>
      <c r="F217" s="9"/>
      <c r="G217" s="4">
        <f>-'libro compras'!I215</f>
        <v>0</v>
      </c>
      <c r="H217" s="9"/>
      <c r="I217" s="9" t="s">
        <v>2</v>
      </c>
      <c r="J217" s="9" t="str">
        <f t="shared" ref="J217:K217" si="332">+J216</f>
        <v xml:space="preserve"> </v>
      </c>
      <c r="K217" s="7">
        <f t="shared" si="332"/>
        <v>0</v>
      </c>
      <c r="L217" s="3">
        <f t="shared" si="329"/>
        <v>0</v>
      </c>
      <c r="M217" s="3">
        <f t="shared" si="330"/>
        <v>0</v>
      </c>
      <c r="N217" s="9" t="s">
        <v>34</v>
      </c>
    </row>
    <row r="218" spans="1:14" x14ac:dyDescent="0.25">
      <c r="A218" s="11">
        <f t="shared" si="245"/>
        <v>55</v>
      </c>
      <c r="B218" s="42" t="str">
        <f>+'libro compras'!$AK$1</f>
        <v>281130</v>
      </c>
      <c r="C218" s="9" t="s">
        <v>0</v>
      </c>
      <c r="D218" s="9"/>
      <c r="E218" s="14" t="str">
        <f>+'libro compras'!S219</f>
        <v/>
      </c>
      <c r="F218" s="9"/>
      <c r="G218" s="4">
        <f>+'libro compras'!AI219</f>
        <v>0</v>
      </c>
      <c r="H218" s="9"/>
      <c r="I218" s="9" t="s">
        <v>33</v>
      </c>
      <c r="J218" s="9" t="str">
        <f>+CONCATENATE('libro compras'!C219," ",'libro compras'!D219)</f>
        <v xml:space="preserve"> </v>
      </c>
      <c r="K218" s="7">
        <f t="shared" ref="K218" si="333">+K217</f>
        <v>0</v>
      </c>
      <c r="L218" s="3">
        <f>+'libro compras'!C219</f>
        <v>0</v>
      </c>
      <c r="M218" s="3">
        <f>+'libro compras'!D219</f>
        <v>0</v>
      </c>
      <c r="N218" s="9" t="s">
        <v>34</v>
      </c>
    </row>
    <row r="219" spans="1:14" x14ac:dyDescent="0.25">
      <c r="A219" s="11">
        <f t="shared" si="245"/>
        <v>55</v>
      </c>
      <c r="B219" s="43" t="str">
        <f>+'libro compras'!$AL$1</f>
        <v>401110</v>
      </c>
      <c r="C219" s="9" t="s">
        <v>0</v>
      </c>
      <c r="D219" s="9"/>
      <c r="E219" s="14" t="str">
        <f t="shared" ref="E219:E221" si="334">+E218</f>
        <v/>
      </c>
      <c r="F219" s="9"/>
      <c r="G219" s="4">
        <f>+'libro compras'!AJ219</f>
        <v>0</v>
      </c>
      <c r="H219" s="9"/>
      <c r="I219" s="9" t="s">
        <v>33</v>
      </c>
      <c r="J219" s="9" t="str">
        <f t="shared" ref="J219:K219" si="335">+J218</f>
        <v xml:space="preserve"> </v>
      </c>
      <c r="K219" s="7">
        <f t="shared" si="335"/>
        <v>0</v>
      </c>
      <c r="L219" s="3">
        <f t="shared" ref="L219:L221" si="336">+L218</f>
        <v>0</v>
      </c>
      <c r="M219" s="3">
        <f t="shared" ref="M219:M221" si="337">+M218</f>
        <v>0</v>
      </c>
      <c r="N219" s="9" t="s">
        <v>34</v>
      </c>
    </row>
    <row r="220" spans="1:14" x14ac:dyDescent="0.25">
      <c r="A220" s="11">
        <f t="shared" si="245"/>
        <v>55</v>
      </c>
      <c r="B220" s="32">
        <f>+'libro compras'!P219</f>
        <v>0</v>
      </c>
      <c r="C220" s="9" t="s">
        <v>0</v>
      </c>
      <c r="D220" s="9"/>
      <c r="E220" s="14" t="str">
        <f t="shared" si="334"/>
        <v/>
      </c>
      <c r="F220" s="9"/>
      <c r="G220" s="4">
        <f>-'libro compras'!AK219</f>
        <v>0</v>
      </c>
      <c r="H220" s="9"/>
      <c r="I220" s="9" t="s">
        <v>2</v>
      </c>
      <c r="J220" s="9" t="str">
        <f t="shared" ref="J220:K220" si="338">+J219</f>
        <v xml:space="preserve"> </v>
      </c>
      <c r="K220" s="7">
        <f t="shared" si="338"/>
        <v>0</v>
      </c>
      <c r="L220" s="3">
        <f t="shared" si="336"/>
        <v>0</v>
      </c>
      <c r="M220" s="3">
        <f t="shared" si="337"/>
        <v>0</v>
      </c>
      <c r="N220" s="9" t="s">
        <v>34</v>
      </c>
    </row>
    <row r="221" spans="1:14" x14ac:dyDescent="0.25">
      <c r="A221" s="11">
        <f t="shared" si="245"/>
        <v>55</v>
      </c>
      <c r="B221" s="34" t="e">
        <f>+VLOOKUP(B220,Hoja1!$A$1:$B$2,2,FALSE)</f>
        <v>#N/A</v>
      </c>
      <c r="C221" s="9" t="s">
        <v>0</v>
      </c>
      <c r="D221" s="9"/>
      <c r="E221" s="14" t="str">
        <f t="shared" si="334"/>
        <v/>
      </c>
      <c r="F221" s="9"/>
      <c r="G221" s="4">
        <f>-'libro compras'!I219</f>
        <v>0</v>
      </c>
      <c r="H221" s="9"/>
      <c r="I221" s="9" t="s">
        <v>2</v>
      </c>
      <c r="J221" s="9" t="str">
        <f t="shared" ref="J221:K221" si="339">+J220</f>
        <v xml:space="preserve"> </v>
      </c>
      <c r="K221" s="7">
        <f t="shared" si="339"/>
        <v>0</v>
      </c>
      <c r="L221" s="3">
        <f t="shared" si="336"/>
        <v>0</v>
      </c>
      <c r="M221" s="3">
        <f t="shared" si="337"/>
        <v>0</v>
      </c>
      <c r="N221" s="9" t="s">
        <v>34</v>
      </c>
    </row>
    <row r="222" spans="1:14" x14ac:dyDescent="0.25">
      <c r="A222" s="11">
        <f t="shared" ref="A222" si="340">+A221+1</f>
        <v>56</v>
      </c>
      <c r="B222" s="42" t="str">
        <f>+'libro compras'!$AK$1</f>
        <v>281130</v>
      </c>
      <c r="C222" s="9" t="s">
        <v>0</v>
      </c>
      <c r="D222" s="9"/>
      <c r="E222" s="14" t="str">
        <f>+'libro compras'!S223</f>
        <v/>
      </c>
      <c r="F222" s="9"/>
      <c r="G222" s="4">
        <f>+'libro compras'!AI223</f>
        <v>0</v>
      </c>
      <c r="H222" s="9"/>
      <c r="I222" s="9" t="s">
        <v>33</v>
      </c>
      <c r="J222" s="9" t="str">
        <f>+CONCATENATE('libro compras'!C223," ",'libro compras'!D223)</f>
        <v xml:space="preserve"> </v>
      </c>
      <c r="K222" s="7">
        <f>+'libro compras'!F223</f>
        <v>0</v>
      </c>
      <c r="L222" s="3">
        <f>+'libro compras'!C223</f>
        <v>0</v>
      </c>
      <c r="M222" s="3">
        <f>+'libro compras'!D223</f>
        <v>0</v>
      </c>
      <c r="N222" s="9" t="s">
        <v>34</v>
      </c>
    </row>
    <row r="223" spans="1:14" x14ac:dyDescent="0.25">
      <c r="A223" s="11">
        <f t="shared" ref="A223:A225" si="341">+A222</f>
        <v>56</v>
      </c>
      <c r="B223" s="43" t="str">
        <f>+'libro compras'!$AL$1</f>
        <v>401110</v>
      </c>
      <c r="C223" s="9" t="s">
        <v>0</v>
      </c>
      <c r="D223" s="9"/>
      <c r="E223" s="14" t="str">
        <f t="shared" ref="E223:E225" si="342">+E222</f>
        <v/>
      </c>
      <c r="F223" s="9"/>
      <c r="G223" s="4">
        <f>+'libro compras'!AJ223</f>
        <v>0</v>
      </c>
      <c r="H223" s="9"/>
      <c r="I223" s="9" t="s">
        <v>33</v>
      </c>
      <c r="J223" s="9" t="str">
        <f t="shared" ref="J223:M223" si="343">+J222</f>
        <v xml:space="preserve"> </v>
      </c>
      <c r="K223" s="7">
        <f t="shared" si="343"/>
        <v>0</v>
      </c>
      <c r="L223" s="3">
        <f t="shared" si="343"/>
        <v>0</v>
      </c>
      <c r="M223" s="3">
        <f t="shared" si="343"/>
        <v>0</v>
      </c>
      <c r="N223" s="9" t="s">
        <v>34</v>
      </c>
    </row>
    <row r="224" spans="1:14" x14ac:dyDescent="0.25">
      <c r="A224" s="11">
        <f t="shared" si="341"/>
        <v>56</v>
      </c>
      <c r="B224" s="32">
        <f>+'libro compras'!P223</f>
        <v>0</v>
      </c>
      <c r="C224" s="9" t="s">
        <v>0</v>
      </c>
      <c r="D224" s="9"/>
      <c r="E224" s="14" t="str">
        <f t="shared" si="342"/>
        <v/>
      </c>
      <c r="F224" s="9"/>
      <c r="G224" s="4">
        <f>-'libro compras'!AK223</f>
        <v>0</v>
      </c>
      <c r="H224" s="9"/>
      <c r="I224" s="9" t="s">
        <v>2</v>
      </c>
      <c r="J224" s="9" t="str">
        <f t="shared" ref="J224:M224" si="344">+J223</f>
        <v xml:space="preserve"> </v>
      </c>
      <c r="K224" s="7">
        <f t="shared" si="344"/>
        <v>0</v>
      </c>
      <c r="L224" s="3">
        <f t="shared" si="344"/>
        <v>0</v>
      </c>
      <c r="M224" s="3">
        <f t="shared" si="344"/>
        <v>0</v>
      </c>
      <c r="N224" s="9" t="s">
        <v>34</v>
      </c>
    </row>
    <row r="225" spans="1:14" x14ac:dyDescent="0.25">
      <c r="A225" s="11">
        <f t="shared" si="341"/>
        <v>56</v>
      </c>
      <c r="B225" s="34" t="e">
        <f>+VLOOKUP(B224,Hoja1!$A$1:$B$2,2,FALSE)</f>
        <v>#N/A</v>
      </c>
      <c r="C225" s="9" t="s">
        <v>0</v>
      </c>
      <c r="D225" s="9"/>
      <c r="E225" s="14" t="str">
        <f t="shared" si="342"/>
        <v/>
      </c>
      <c r="F225" s="9"/>
      <c r="G225" s="4">
        <f>-'libro compras'!I223</f>
        <v>0</v>
      </c>
      <c r="H225" s="9"/>
      <c r="I225" s="9" t="s">
        <v>2</v>
      </c>
      <c r="J225" s="9" t="str">
        <f t="shared" ref="J225:M225" si="345">+J224</f>
        <v xml:space="preserve"> </v>
      </c>
      <c r="K225" s="7">
        <f t="shared" si="345"/>
        <v>0</v>
      </c>
      <c r="L225" s="3">
        <f t="shared" si="345"/>
        <v>0</v>
      </c>
      <c r="M225" s="3">
        <f t="shared" si="345"/>
        <v>0</v>
      </c>
      <c r="N225" s="9" t="s">
        <v>34</v>
      </c>
    </row>
    <row r="226" spans="1:14" x14ac:dyDescent="0.25">
      <c r="A226" s="11">
        <f t="shared" si="245"/>
        <v>57</v>
      </c>
      <c r="B226" s="42" t="str">
        <f>+'libro compras'!$AK$1</f>
        <v>281130</v>
      </c>
      <c r="C226" s="9" t="s">
        <v>0</v>
      </c>
      <c r="D226" s="9"/>
      <c r="E226" s="14" t="str">
        <f>+'libro compras'!S227</f>
        <v/>
      </c>
      <c r="F226" s="9"/>
      <c r="G226" s="4">
        <f>+'libro compras'!AI227</f>
        <v>0</v>
      </c>
      <c r="H226" s="9"/>
      <c r="I226" s="9" t="s">
        <v>33</v>
      </c>
      <c r="J226" s="9" t="str">
        <f>+CONCATENATE('libro compras'!C227," ",'libro compras'!D227)</f>
        <v xml:space="preserve"> </v>
      </c>
      <c r="K226" s="7">
        <f t="shared" ref="K226" si="346">+K225</f>
        <v>0</v>
      </c>
      <c r="L226" s="3">
        <f>+'libro compras'!C227</f>
        <v>0</v>
      </c>
      <c r="M226" s="3">
        <f>+'libro compras'!D227</f>
        <v>0</v>
      </c>
      <c r="N226" s="9" t="s">
        <v>34</v>
      </c>
    </row>
    <row r="227" spans="1:14" x14ac:dyDescent="0.25">
      <c r="A227" s="11">
        <f t="shared" si="245"/>
        <v>57</v>
      </c>
      <c r="B227" s="43" t="str">
        <f>+'libro compras'!$AL$1</f>
        <v>401110</v>
      </c>
      <c r="C227" s="9" t="s">
        <v>0</v>
      </c>
      <c r="D227" s="9"/>
      <c r="E227" s="14" t="str">
        <f t="shared" ref="E227:E229" si="347">+E226</f>
        <v/>
      </c>
      <c r="F227" s="9"/>
      <c r="G227" s="4">
        <f>+'libro compras'!AJ227</f>
        <v>0</v>
      </c>
      <c r="H227" s="9"/>
      <c r="I227" s="9" t="s">
        <v>33</v>
      </c>
      <c r="J227" s="9" t="str">
        <f t="shared" ref="J227:K227" si="348">+J226</f>
        <v xml:space="preserve"> </v>
      </c>
      <c r="K227" s="7">
        <f t="shared" si="348"/>
        <v>0</v>
      </c>
      <c r="L227" s="3">
        <f t="shared" ref="L227:L229" si="349">+L226</f>
        <v>0</v>
      </c>
      <c r="M227" s="3">
        <f t="shared" ref="M227:M229" si="350">+M226</f>
        <v>0</v>
      </c>
      <c r="N227" s="9" t="s">
        <v>34</v>
      </c>
    </row>
    <row r="228" spans="1:14" x14ac:dyDescent="0.25">
      <c r="A228" s="11">
        <f t="shared" si="245"/>
        <v>57</v>
      </c>
      <c r="B228" s="32">
        <f>+'libro compras'!P227</f>
        <v>0</v>
      </c>
      <c r="C228" s="9" t="s">
        <v>0</v>
      </c>
      <c r="D228" s="9"/>
      <c r="E228" s="14" t="str">
        <f t="shared" si="347"/>
        <v/>
      </c>
      <c r="F228" s="9"/>
      <c r="G228" s="4">
        <f>-'libro compras'!AK227</f>
        <v>0</v>
      </c>
      <c r="H228" s="9"/>
      <c r="I228" s="9" t="s">
        <v>2</v>
      </c>
      <c r="J228" s="9" t="str">
        <f t="shared" ref="J228:K228" si="351">+J227</f>
        <v xml:space="preserve"> </v>
      </c>
      <c r="K228" s="7">
        <f t="shared" si="351"/>
        <v>0</v>
      </c>
      <c r="L228" s="3">
        <f t="shared" si="349"/>
        <v>0</v>
      </c>
      <c r="M228" s="3">
        <f t="shared" si="350"/>
        <v>0</v>
      </c>
      <c r="N228" s="9" t="s">
        <v>34</v>
      </c>
    </row>
    <row r="229" spans="1:14" hidden="1" x14ac:dyDescent="0.25">
      <c r="A229" s="11">
        <f t="shared" si="245"/>
        <v>57</v>
      </c>
      <c r="B229" s="34" t="e">
        <f>+VLOOKUP(B228,Hoja1!$A$1:$B$2,2,FALSE)</f>
        <v>#N/A</v>
      </c>
      <c r="C229" s="9" t="s">
        <v>0</v>
      </c>
      <c r="D229" s="9"/>
      <c r="E229" s="14" t="str">
        <f t="shared" si="347"/>
        <v/>
      </c>
      <c r="F229" s="9"/>
      <c r="G229" s="4">
        <f>-'libro compras'!I227</f>
        <v>0</v>
      </c>
      <c r="H229" s="9"/>
      <c r="I229" s="9" t="s">
        <v>2</v>
      </c>
      <c r="J229" s="9" t="str">
        <f t="shared" ref="J229:K229" si="352">+J228</f>
        <v xml:space="preserve"> </v>
      </c>
      <c r="K229" s="7">
        <f t="shared" si="352"/>
        <v>0</v>
      </c>
      <c r="L229" s="3">
        <f t="shared" si="349"/>
        <v>0</v>
      </c>
      <c r="M229" s="3">
        <f t="shared" si="350"/>
        <v>0</v>
      </c>
      <c r="N229" s="9" t="s">
        <v>34</v>
      </c>
    </row>
    <row r="230" spans="1:14" x14ac:dyDescent="0.25">
      <c r="A230" s="11">
        <f t="shared" ref="A230:A233" si="353">1+A226</f>
        <v>58</v>
      </c>
      <c r="B230" s="42" t="str">
        <f>+'libro compras'!$AK$1</f>
        <v>281130</v>
      </c>
      <c r="C230" s="9" t="s">
        <v>0</v>
      </c>
      <c r="D230" s="9"/>
      <c r="E230" s="14" t="str">
        <f>+'libro compras'!S231</f>
        <v/>
      </c>
      <c r="F230" s="9"/>
      <c r="G230" s="4">
        <f>+'libro compras'!AI231</f>
        <v>0</v>
      </c>
      <c r="H230" s="9"/>
      <c r="I230" s="9" t="s">
        <v>33</v>
      </c>
      <c r="J230" s="9" t="str">
        <f>+CONCATENATE('libro compras'!C231," ",'libro compras'!D231)</f>
        <v xml:space="preserve"> </v>
      </c>
      <c r="K230" s="7">
        <f t="shared" ref="K230" si="354">+K229</f>
        <v>0</v>
      </c>
      <c r="L230" s="3">
        <f>+'libro compras'!C231</f>
        <v>0</v>
      </c>
      <c r="M230" s="3">
        <f>+'libro compras'!D231</f>
        <v>0</v>
      </c>
      <c r="N230" s="9" t="s">
        <v>34</v>
      </c>
    </row>
    <row r="231" spans="1:14" x14ac:dyDescent="0.25">
      <c r="A231" s="11">
        <f t="shared" si="353"/>
        <v>58</v>
      </c>
      <c r="B231" s="43" t="str">
        <f>+'libro compras'!$AL$1</f>
        <v>401110</v>
      </c>
      <c r="C231" s="9" t="s">
        <v>0</v>
      </c>
      <c r="D231" s="9"/>
      <c r="E231" s="14" t="str">
        <f t="shared" ref="E231:E233" si="355">+E230</f>
        <v/>
      </c>
      <c r="F231" s="9"/>
      <c r="G231" s="4">
        <f>+'libro compras'!AJ231</f>
        <v>0</v>
      </c>
      <c r="H231" s="9"/>
      <c r="I231" s="9" t="s">
        <v>33</v>
      </c>
      <c r="J231" s="9" t="str">
        <f t="shared" ref="J231:K231" si="356">+J230</f>
        <v xml:space="preserve"> </v>
      </c>
      <c r="K231" s="7">
        <f t="shared" si="356"/>
        <v>0</v>
      </c>
      <c r="L231" s="3">
        <f t="shared" ref="L231:L233" si="357">+L230</f>
        <v>0</v>
      </c>
      <c r="M231" s="3">
        <f t="shared" ref="M231:M233" si="358">+M230</f>
        <v>0</v>
      </c>
      <c r="N231" s="9" t="s">
        <v>34</v>
      </c>
    </row>
    <row r="232" spans="1:14" x14ac:dyDescent="0.25">
      <c r="A232" s="11">
        <f t="shared" si="353"/>
        <v>58</v>
      </c>
      <c r="B232" s="32">
        <f>+'libro compras'!P231</f>
        <v>0</v>
      </c>
      <c r="C232" s="9" t="s">
        <v>0</v>
      </c>
      <c r="D232" s="9"/>
      <c r="E232" s="14" t="str">
        <f t="shared" si="355"/>
        <v/>
      </c>
      <c r="F232" s="9"/>
      <c r="G232" s="4">
        <f>-'libro compras'!AK231</f>
        <v>0</v>
      </c>
      <c r="H232" s="9"/>
      <c r="I232" s="9" t="s">
        <v>2</v>
      </c>
      <c r="J232" s="9" t="str">
        <f t="shared" ref="J232:K232" si="359">+J231</f>
        <v xml:space="preserve"> </v>
      </c>
      <c r="K232" s="7">
        <f t="shared" si="359"/>
        <v>0</v>
      </c>
      <c r="L232" s="3">
        <f t="shared" si="357"/>
        <v>0</v>
      </c>
      <c r="M232" s="3">
        <f t="shared" si="358"/>
        <v>0</v>
      </c>
      <c r="N232" s="9" t="s">
        <v>34</v>
      </c>
    </row>
    <row r="233" spans="1:14" x14ac:dyDescent="0.25">
      <c r="A233" s="11">
        <f t="shared" si="353"/>
        <v>58</v>
      </c>
      <c r="B233" s="34" t="e">
        <f>+VLOOKUP(B232,Hoja1!$A$1:$B$2,2,FALSE)</f>
        <v>#N/A</v>
      </c>
      <c r="C233" s="9" t="s">
        <v>0</v>
      </c>
      <c r="D233" s="9"/>
      <c r="E233" s="14" t="str">
        <f t="shared" si="355"/>
        <v/>
      </c>
      <c r="F233" s="9"/>
      <c r="G233" s="4">
        <f>-'libro compras'!I231</f>
        <v>0</v>
      </c>
      <c r="H233" s="9"/>
      <c r="I233" s="9" t="s">
        <v>2</v>
      </c>
      <c r="J233" s="9" t="str">
        <f t="shared" ref="J233:K233" si="360">+J232</f>
        <v xml:space="preserve"> </v>
      </c>
      <c r="K233" s="7">
        <f t="shared" si="360"/>
        <v>0</v>
      </c>
      <c r="L233" s="3">
        <f t="shared" si="357"/>
        <v>0</v>
      </c>
      <c r="M233" s="3">
        <f t="shared" si="358"/>
        <v>0</v>
      </c>
      <c r="N233" s="9" t="s">
        <v>34</v>
      </c>
    </row>
    <row r="234" spans="1:14" x14ac:dyDescent="0.25">
      <c r="A234" s="11">
        <f t="shared" ref="A234" si="361">+A233+1</f>
        <v>59</v>
      </c>
      <c r="B234" s="42" t="str">
        <f>+'libro compras'!$AK$1</f>
        <v>281130</v>
      </c>
      <c r="C234" s="9" t="s">
        <v>0</v>
      </c>
      <c r="D234" s="9"/>
      <c r="E234" s="14" t="str">
        <f>+'libro compras'!S235</f>
        <v/>
      </c>
      <c r="F234" s="9"/>
      <c r="G234" s="4">
        <f>+'libro compras'!AI235</f>
        <v>0</v>
      </c>
      <c r="H234" s="9"/>
      <c r="I234" s="9" t="s">
        <v>33</v>
      </c>
      <c r="J234" s="9" t="str">
        <f>+CONCATENATE('libro compras'!C235," ",'libro compras'!D235)</f>
        <v xml:space="preserve"> </v>
      </c>
      <c r="K234" s="7">
        <f>+'libro compras'!F235</f>
        <v>0</v>
      </c>
      <c r="L234" s="3">
        <f>+'libro compras'!C235</f>
        <v>0</v>
      </c>
      <c r="M234" s="3">
        <f>+'libro compras'!D235</f>
        <v>0</v>
      </c>
      <c r="N234" s="9" t="s">
        <v>34</v>
      </c>
    </row>
    <row r="235" spans="1:14" x14ac:dyDescent="0.25">
      <c r="A235" s="11">
        <f t="shared" ref="A235:A237" si="362">+A234</f>
        <v>59</v>
      </c>
      <c r="B235" s="43" t="str">
        <f>+'libro compras'!$AL$1</f>
        <v>401110</v>
      </c>
      <c r="C235" s="9" t="s">
        <v>0</v>
      </c>
      <c r="D235" s="9"/>
      <c r="E235" s="14" t="str">
        <f t="shared" ref="E235:E237" si="363">+E234</f>
        <v/>
      </c>
      <c r="F235" s="9"/>
      <c r="G235" s="4">
        <f>+'libro compras'!AJ235</f>
        <v>0</v>
      </c>
      <c r="H235" s="9"/>
      <c r="I235" s="9" t="s">
        <v>33</v>
      </c>
      <c r="J235" s="9" t="str">
        <f t="shared" ref="J235:M235" si="364">+J234</f>
        <v xml:space="preserve"> </v>
      </c>
      <c r="K235" s="7">
        <f t="shared" si="364"/>
        <v>0</v>
      </c>
      <c r="L235" s="3">
        <f t="shared" si="364"/>
        <v>0</v>
      </c>
      <c r="M235" s="3">
        <f t="shared" si="364"/>
        <v>0</v>
      </c>
      <c r="N235" s="9" t="s">
        <v>34</v>
      </c>
    </row>
    <row r="236" spans="1:14" x14ac:dyDescent="0.25">
      <c r="A236" s="11">
        <f t="shared" si="362"/>
        <v>59</v>
      </c>
      <c r="B236" s="32">
        <f>+'libro compras'!P235</f>
        <v>0</v>
      </c>
      <c r="C236" s="9" t="s">
        <v>0</v>
      </c>
      <c r="D236" s="9"/>
      <c r="E236" s="14" t="str">
        <f t="shared" si="363"/>
        <v/>
      </c>
      <c r="F236" s="9"/>
      <c r="G236" s="4">
        <f>-'libro compras'!AK235</f>
        <v>0</v>
      </c>
      <c r="H236" s="9"/>
      <c r="I236" s="9" t="s">
        <v>2</v>
      </c>
      <c r="J236" s="9" t="str">
        <f t="shared" ref="J236:M236" si="365">+J235</f>
        <v xml:space="preserve"> </v>
      </c>
      <c r="K236" s="7">
        <f t="shared" si="365"/>
        <v>0</v>
      </c>
      <c r="L236" s="3">
        <f t="shared" si="365"/>
        <v>0</v>
      </c>
      <c r="M236" s="3">
        <f t="shared" si="365"/>
        <v>0</v>
      </c>
      <c r="N236" s="9" t="s">
        <v>34</v>
      </c>
    </row>
    <row r="237" spans="1:14" x14ac:dyDescent="0.25">
      <c r="A237" s="11">
        <f t="shared" si="362"/>
        <v>59</v>
      </c>
      <c r="B237" s="34" t="e">
        <f>+VLOOKUP(B236,Hoja1!$A$1:$B$2,2,FALSE)</f>
        <v>#N/A</v>
      </c>
      <c r="C237" s="9" t="s">
        <v>0</v>
      </c>
      <c r="D237" s="9"/>
      <c r="E237" s="14" t="str">
        <f t="shared" si="363"/>
        <v/>
      </c>
      <c r="F237" s="9"/>
      <c r="G237" s="4">
        <f>-'libro compras'!I235</f>
        <v>0</v>
      </c>
      <c r="H237" s="9"/>
      <c r="I237" s="9" t="s">
        <v>2</v>
      </c>
      <c r="J237" s="9" t="str">
        <f t="shared" ref="J237:M237" si="366">+J236</f>
        <v xml:space="preserve"> </v>
      </c>
      <c r="K237" s="7">
        <f t="shared" si="366"/>
        <v>0</v>
      </c>
      <c r="L237" s="3">
        <f t="shared" si="366"/>
        <v>0</v>
      </c>
      <c r="M237" s="3">
        <f t="shared" si="366"/>
        <v>0</v>
      </c>
      <c r="N237" s="9" t="s">
        <v>34</v>
      </c>
    </row>
    <row r="238" spans="1:14" x14ac:dyDescent="0.25">
      <c r="A238" s="11">
        <f t="shared" ref="A238:A301" si="367">1+A234</f>
        <v>60</v>
      </c>
      <c r="B238" s="42" t="str">
        <f>+'libro compras'!$AK$1</f>
        <v>281130</v>
      </c>
      <c r="C238" s="9" t="s">
        <v>0</v>
      </c>
      <c r="D238" s="9"/>
      <c r="E238" s="14" t="str">
        <f>+'libro compras'!S239</f>
        <v/>
      </c>
      <c r="F238" s="9"/>
      <c r="G238" s="4">
        <f>+'libro compras'!AI239</f>
        <v>0</v>
      </c>
      <c r="H238" s="9"/>
      <c r="I238" s="9" t="s">
        <v>33</v>
      </c>
      <c r="J238" s="9" t="str">
        <f>+CONCATENATE('libro compras'!C239," ",'libro compras'!D239)</f>
        <v xml:space="preserve"> </v>
      </c>
      <c r="K238" s="7">
        <f t="shared" ref="K238" si="368">+K237</f>
        <v>0</v>
      </c>
      <c r="L238" s="3">
        <f>+'libro compras'!C239</f>
        <v>0</v>
      </c>
      <c r="M238" s="3">
        <f>+'libro compras'!D239</f>
        <v>0</v>
      </c>
      <c r="N238" s="9" t="s">
        <v>34</v>
      </c>
    </row>
    <row r="239" spans="1:14" x14ac:dyDescent="0.25">
      <c r="A239" s="11">
        <f t="shared" si="367"/>
        <v>60</v>
      </c>
      <c r="B239" s="43" t="str">
        <f>+'libro compras'!$AL$1</f>
        <v>401110</v>
      </c>
      <c r="C239" s="9" t="s">
        <v>0</v>
      </c>
      <c r="D239" s="9"/>
      <c r="E239" s="14" t="str">
        <f t="shared" ref="E239:E241" si="369">+E238</f>
        <v/>
      </c>
      <c r="F239" s="9"/>
      <c r="G239" s="4">
        <f>+'libro compras'!AJ239</f>
        <v>0</v>
      </c>
      <c r="H239" s="9"/>
      <c r="I239" s="9" t="s">
        <v>33</v>
      </c>
      <c r="J239" s="9" t="str">
        <f t="shared" ref="J239:K239" si="370">+J238</f>
        <v xml:space="preserve"> </v>
      </c>
      <c r="K239" s="7">
        <f t="shared" si="370"/>
        <v>0</v>
      </c>
      <c r="L239" s="3">
        <f t="shared" ref="L239:L241" si="371">+L238</f>
        <v>0</v>
      </c>
      <c r="M239" s="3">
        <f t="shared" ref="M239:M241" si="372">+M238</f>
        <v>0</v>
      </c>
      <c r="N239" s="9" t="s">
        <v>34</v>
      </c>
    </row>
    <row r="240" spans="1:14" x14ac:dyDescent="0.25">
      <c r="A240" s="11">
        <f t="shared" si="367"/>
        <v>60</v>
      </c>
      <c r="B240" s="32">
        <f>+'libro compras'!P239</f>
        <v>0</v>
      </c>
      <c r="C240" s="9" t="s">
        <v>0</v>
      </c>
      <c r="D240" s="9"/>
      <c r="E240" s="14" t="str">
        <f t="shared" si="369"/>
        <v/>
      </c>
      <c r="F240" s="9"/>
      <c r="G240" s="4">
        <f>-'libro compras'!AK239</f>
        <v>0</v>
      </c>
      <c r="H240" s="9"/>
      <c r="I240" s="9" t="s">
        <v>2</v>
      </c>
      <c r="J240" s="9" t="str">
        <f t="shared" ref="J240:K240" si="373">+J239</f>
        <v xml:space="preserve"> </v>
      </c>
      <c r="K240" s="7">
        <f t="shared" si="373"/>
        <v>0</v>
      </c>
      <c r="L240" s="3">
        <f t="shared" si="371"/>
        <v>0</v>
      </c>
      <c r="M240" s="3">
        <f t="shared" si="372"/>
        <v>0</v>
      </c>
      <c r="N240" s="9" t="s">
        <v>34</v>
      </c>
    </row>
    <row r="241" spans="1:14" hidden="1" x14ac:dyDescent="0.25">
      <c r="A241" s="11">
        <f t="shared" si="367"/>
        <v>60</v>
      </c>
      <c r="B241" s="34" t="e">
        <f>+VLOOKUP(B240,Hoja1!$A$1:$B$2,2,FALSE)</f>
        <v>#N/A</v>
      </c>
      <c r="C241" s="9" t="s">
        <v>0</v>
      </c>
      <c r="D241" s="9"/>
      <c r="E241" s="14" t="str">
        <f t="shared" si="369"/>
        <v/>
      </c>
      <c r="F241" s="9"/>
      <c r="G241" s="4">
        <f>-'libro compras'!I239</f>
        <v>0</v>
      </c>
      <c r="H241" s="9"/>
      <c r="I241" s="9" t="s">
        <v>2</v>
      </c>
      <c r="J241" s="9" t="str">
        <f t="shared" ref="J241:K241" si="374">+J240</f>
        <v xml:space="preserve"> </v>
      </c>
      <c r="K241" s="7">
        <f t="shared" si="374"/>
        <v>0</v>
      </c>
      <c r="L241" s="3">
        <f t="shared" si="371"/>
        <v>0</v>
      </c>
      <c r="M241" s="3">
        <f t="shared" si="372"/>
        <v>0</v>
      </c>
      <c r="N241" s="9" t="s">
        <v>34</v>
      </c>
    </row>
    <row r="242" spans="1:14" x14ac:dyDescent="0.25">
      <c r="A242" s="11">
        <f t="shared" si="367"/>
        <v>61</v>
      </c>
      <c r="B242" s="42" t="str">
        <f>+'libro compras'!$AK$1</f>
        <v>281130</v>
      </c>
      <c r="C242" s="9" t="s">
        <v>0</v>
      </c>
      <c r="D242" s="9"/>
      <c r="E242" s="14" t="str">
        <f>+'libro compras'!S243</f>
        <v/>
      </c>
      <c r="F242" s="9"/>
      <c r="G242" s="4">
        <f>+'libro compras'!AI243</f>
        <v>0</v>
      </c>
      <c r="H242" s="9"/>
      <c r="I242" s="9" t="s">
        <v>33</v>
      </c>
      <c r="J242" s="9" t="str">
        <f>+CONCATENATE('libro compras'!C243," ",'libro compras'!D243)</f>
        <v xml:space="preserve"> </v>
      </c>
      <c r="K242" s="7">
        <f t="shared" ref="K242" si="375">+K241</f>
        <v>0</v>
      </c>
      <c r="L242" s="3">
        <f>+'libro compras'!C243</f>
        <v>0</v>
      </c>
      <c r="M242" s="3">
        <f>+'libro compras'!D243</f>
        <v>0</v>
      </c>
      <c r="N242" s="9" t="s">
        <v>34</v>
      </c>
    </row>
    <row r="243" spans="1:14" x14ac:dyDescent="0.25">
      <c r="A243" s="11">
        <f t="shared" si="367"/>
        <v>61</v>
      </c>
      <c r="B243" s="43" t="str">
        <f>+'libro compras'!$AL$1</f>
        <v>401110</v>
      </c>
      <c r="C243" s="9" t="s">
        <v>0</v>
      </c>
      <c r="D243" s="9"/>
      <c r="E243" s="14" t="str">
        <f t="shared" ref="E243:E245" si="376">+E242</f>
        <v/>
      </c>
      <c r="F243" s="9"/>
      <c r="G243" s="4">
        <f>+'libro compras'!AJ243</f>
        <v>0</v>
      </c>
      <c r="H243" s="9"/>
      <c r="I243" s="9" t="s">
        <v>33</v>
      </c>
      <c r="J243" s="9" t="str">
        <f t="shared" ref="J243:K243" si="377">+J242</f>
        <v xml:space="preserve"> </v>
      </c>
      <c r="K243" s="7">
        <f t="shared" si="377"/>
        <v>0</v>
      </c>
      <c r="L243" s="3">
        <f t="shared" ref="L243:L245" si="378">+L242</f>
        <v>0</v>
      </c>
      <c r="M243" s="3">
        <f t="shared" ref="M243:M245" si="379">+M242</f>
        <v>0</v>
      </c>
      <c r="N243" s="9" t="s">
        <v>34</v>
      </c>
    </row>
    <row r="244" spans="1:14" x14ac:dyDescent="0.25">
      <c r="A244" s="11">
        <f t="shared" si="367"/>
        <v>61</v>
      </c>
      <c r="B244" s="32">
        <f>+'libro compras'!P243</f>
        <v>0</v>
      </c>
      <c r="C244" s="9" t="s">
        <v>0</v>
      </c>
      <c r="D244" s="9"/>
      <c r="E244" s="14" t="str">
        <f t="shared" si="376"/>
        <v/>
      </c>
      <c r="F244" s="9"/>
      <c r="G244" s="4">
        <f>-'libro compras'!AK243</f>
        <v>0</v>
      </c>
      <c r="H244" s="9"/>
      <c r="I244" s="9" t="s">
        <v>2</v>
      </c>
      <c r="J244" s="9" t="str">
        <f t="shared" ref="J244:K244" si="380">+J243</f>
        <v xml:space="preserve"> </v>
      </c>
      <c r="K244" s="7">
        <f t="shared" si="380"/>
        <v>0</v>
      </c>
      <c r="L244" s="3">
        <f t="shared" si="378"/>
        <v>0</v>
      </c>
      <c r="M244" s="3">
        <f t="shared" si="379"/>
        <v>0</v>
      </c>
      <c r="N244" s="9" t="s">
        <v>34</v>
      </c>
    </row>
    <row r="245" spans="1:14" hidden="1" x14ac:dyDescent="0.25">
      <c r="A245" s="11">
        <f t="shared" si="367"/>
        <v>61</v>
      </c>
      <c r="B245" s="34" t="e">
        <f>+VLOOKUP(B244,Hoja1!$A$1:$B$2,2,FALSE)</f>
        <v>#N/A</v>
      </c>
      <c r="C245" s="9" t="s">
        <v>0</v>
      </c>
      <c r="D245" s="9"/>
      <c r="E245" s="14" t="str">
        <f t="shared" si="376"/>
        <v/>
      </c>
      <c r="F245" s="9"/>
      <c r="G245" s="4">
        <f>-'libro compras'!I243</f>
        <v>0</v>
      </c>
      <c r="H245" s="9"/>
      <c r="I245" s="9" t="s">
        <v>2</v>
      </c>
      <c r="J245" s="9" t="str">
        <f t="shared" ref="J245:K245" si="381">+J244</f>
        <v xml:space="preserve"> </v>
      </c>
      <c r="K245" s="7">
        <f t="shared" si="381"/>
        <v>0</v>
      </c>
      <c r="L245" s="3">
        <f t="shared" si="378"/>
        <v>0</v>
      </c>
      <c r="M245" s="3">
        <f t="shared" si="379"/>
        <v>0</v>
      </c>
      <c r="N245" s="9" t="s">
        <v>34</v>
      </c>
    </row>
    <row r="246" spans="1:14" x14ac:dyDescent="0.25">
      <c r="A246" s="11">
        <f t="shared" ref="A246" si="382">+A245+1</f>
        <v>62</v>
      </c>
      <c r="B246" s="42" t="str">
        <f>+'libro compras'!$AK$1</f>
        <v>281130</v>
      </c>
      <c r="C246" s="9" t="s">
        <v>0</v>
      </c>
      <c r="D246" s="9"/>
      <c r="E246" s="14" t="str">
        <f>+'libro compras'!S247</f>
        <v/>
      </c>
      <c r="F246" s="9"/>
      <c r="G246" s="4">
        <f>+'libro compras'!AI247</f>
        <v>0</v>
      </c>
      <c r="H246" s="9"/>
      <c r="I246" s="9" t="s">
        <v>33</v>
      </c>
      <c r="J246" s="9" t="str">
        <f>+CONCATENATE('libro compras'!C247," ",'libro compras'!D247)</f>
        <v xml:space="preserve"> </v>
      </c>
      <c r="K246" s="7">
        <f>+'libro compras'!F247</f>
        <v>0</v>
      </c>
      <c r="L246" s="3">
        <f>+'libro compras'!C247</f>
        <v>0</v>
      </c>
      <c r="M246" s="3">
        <f>+'libro compras'!D247</f>
        <v>0</v>
      </c>
      <c r="N246" s="9" t="s">
        <v>34</v>
      </c>
    </row>
    <row r="247" spans="1:14" x14ac:dyDescent="0.25">
      <c r="A247" s="11">
        <f t="shared" ref="A247:A249" si="383">+A246</f>
        <v>62</v>
      </c>
      <c r="B247" s="43" t="str">
        <f>+'libro compras'!$AL$1</f>
        <v>401110</v>
      </c>
      <c r="C247" s="9" t="s">
        <v>0</v>
      </c>
      <c r="D247" s="9"/>
      <c r="E247" s="14" t="str">
        <f t="shared" ref="E247:E249" si="384">+E246</f>
        <v/>
      </c>
      <c r="F247" s="9"/>
      <c r="G247" s="4">
        <f>+'libro compras'!AJ247</f>
        <v>0</v>
      </c>
      <c r="H247" s="9"/>
      <c r="I247" s="9" t="s">
        <v>33</v>
      </c>
      <c r="J247" s="9" t="str">
        <f t="shared" ref="J247:M247" si="385">+J246</f>
        <v xml:space="preserve"> </v>
      </c>
      <c r="K247" s="7">
        <f t="shared" si="385"/>
        <v>0</v>
      </c>
      <c r="L247" s="3">
        <f t="shared" si="385"/>
        <v>0</v>
      </c>
      <c r="M247" s="3">
        <f t="shared" si="385"/>
        <v>0</v>
      </c>
      <c r="N247" s="9" t="s">
        <v>34</v>
      </c>
    </row>
    <row r="248" spans="1:14" x14ac:dyDescent="0.25">
      <c r="A248" s="11">
        <f t="shared" si="383"/>
        <v>62</v>
      </c>
      <c r="B248" s="32">
        <f>+'libro compras'!P247</f>
        <v>0</v>
      </c>
      <c r="C248" s="9" t="s">
        <v>0</v>
      </c>
      <c r="D248" s="9"/>
      <c r="E248" s="14" t="str">
        <f t="shared" si="384"/>
        <v/>
      </c>
      <c r="F248" s="9"/>
      <c r="G248" s="4">
        <f>-'libro compras'!AK247</f>
        <v>0</v>
      </c>
      <c r="H248" s="9"/>
      <c r="I248" s="9" t="s">
        <v>2</v>
      </c>
      <c r="J248" s="9" t="str">
        <f t="shared" ref="J248:M248" si="386">+J247</f>
        <v xml:space="preserve"> </v>
      </c>
      <c r="K248" s="7">
        <f t="shared" si="386"/>
        <v>0</v>
      </c>
      <c r="L248" s="3">
        <f t="shared" si="386"/>
        <v>0</v>
      </c>
      <c r="M248" s="3">
        <f t="shared" si="386"/>
        <v>0</v>
      </c>
      <c r="N248" s="9" t="s">
        <v>34</v>
      </c>
    </row>
    <row r="249" spans="1:14" x14ac:dyDescent="0.25">
      <c r="A249" s="11">
        <f t="shared" si="383"/>
        <v>62</v>
      </c>
      <c r="B249" s="34" t="e">
        <f>+VLOOKUP(B248,Hoja1!$A$1:$B$2,2,FALSE)</f>
        <v>#N/A</v>
      </c>
      <c r="C249" s="9" t="s">
        <v>0</v>
      </c>
      <c r="D249" s="9"/>
      <c r="E249" s="14" t="str">
        <f t="shared" si="384"/>
        <v/>
      </c>
      <c r="F249" s="9"/>
      <c r="G249" s="4">
        <f>-'libro compras'!I247</f>
        <v>0</v>
      </c>
      <c r="H249" s="9"/>
      <c r="I249" s="9" t="s">
        <v>2</v>
      </c>
      <c r="J249" s="9" t="str">
        <f t="shared" ref="J249:M249" si="387">+J248</f>
        <v xml:space="preserve"> </v>
      </c>
      <c r="K249" s="7">
        <f t="shared" si="387"/>
        <v>0</v>
      </c>
      <c r="L249" s="3">
        <f t="shared" si="387"/>
        <v>0</v>
      </c>
      <c r="M249" s="3">
        <f t="shared" si="387"/>
        <v>0</v>
      </c>
      <c r="N249" s="9" t="s">
        <v>34</v>
      </c>
    </row>
    <row r="250" spans="1:14" x14ac:dyDescent="0.25">
      <c r="A250" s="11">
        <f t="shared" si="367"/>
        <v>63</v>
      </c>
      <c r="B250" s="42" t="str">
        <f>+'libro compras'!$AK$1</f>
        <v>281130</v>
      </c>
      <c r="C250" s="9" t="s">
        <v>0</v>
      </c>
      <c r="D250" s="9"/>
      <c r="E250" s="14" t="str">
        <f>+'libro compras'!S251</f>
        <v/>
      </c>
      <c r="F250" s="9"/>
      <c r="G250" s="4">
        <f>+'libro compras'!AI251</f>
        <v>0</v>
      </c>
      <c r="H250" s="9"/>
      <c r="I250" s="9" t="s">
        <v>33</v>
      </c>
      <c r="J250" s="9" t="str">
        <f>+CONCATENATE('libro compras'!C251," ",'libro compras'!D251)</f>
        <v xml:space="preserve"> </v>
      </c>
      <c r="K250" s="7">
        <f t="shared" ref="K250" si="388">+K249</f>
        <v>0</v>
      </c>
      <c r="L250" s="3">
        <f>+'libro compras'!C251</f>
        <v>0</v>
      </c>
      <c r="M250" s="3">
        <f>+'libro compras'!D251</f>
        <v>0</v>
      </c>
      <c r="N250" s="9" t="s">
        <v>34</v>
      </c>
    </row>
    <row r="251" spans="1:14" x14ac:dyDescent="0.25">
      <c r="A251" s="11">
        <f t="shared" si="367"/>
        <v>63</v>
      </c>
      <c r="B251" s="43" t="str">
        <f>+'libro compras'!$AL$1</f>
        <v>401110</v>
      </c>
      <c r="C251" s="9" t="s">
        <v>0</v>
      </c>
      <c r="D251" s="9"/>
      <c r="E251" s="14" t="str">
        <f t="shared" ref="E251:E253" si="389">+E250</f>
        <v/>
      </c>
      <c r="F251" s="9"/>
      <c r="G251" s="4">
        <f>+'libro compras'!AJ251</f>
        <v>0</v>
      </c>
      <c r="H251" s="9"/>
      <c r="I251" s="9" t="s">
        <v>33</v>
      </c>
      <c r="J251" s="9" t="str">
        <f t="shared" ref="J251:K251" si="390">+J250</f>
        <v xml:space="preserve"> </v>
      </c>
      <c r="K251" s="7">
        <f t="shared" si="390"/>
        <v>0</v>
      </c>
      <c r="L251" s="3">
        <f t="shared" ref="L251:L253" si="391">+L250</f>
        <v>0</v>
      </c>
      <c r="M251" s="3">
        <f t="shared" ref="M251:M253" si="392">+M250</f>
        <v>0</v>
      </c>
      <c r="N251" s="9" t="s">
        <v>34</v>
      </c>
    </row>
    <row r="252" spans="1:14" x14ac:dyDescent="0.25">
      <c r="A252" s="11">
        <f t="shared" si="367"/>
        <v>63</v>
      </c>
      <c r="B252" s="32">
        <f>+'libro compras'!P251</f>
        <v>0</v>
      </c>
      <c r="C252" s="9" t="s">
        <v>0</v>
      </c>
      <c r="D252" s="9"/>
      <c r="E252" s="14" t="str">
        <f t="shared" si="389"/>
        <v/>
      </c>
      <c r="F252" s="9"/>
      <c r="G252" s="4">
        <f>-'libro compras'!AK251</f>
        <v>0</v>
      </c>
      <c r="H252" s="9"/>
      <c r="I252" s="9" t="s">
        <v>2</v>
      </c>
      <c r="J252" s="9" t="str">
        <f t="shared" ref="J252:K252" si="393">+J251</f>
        <v xml:space="preserve"> </v>
      </c>
      <c r="K252" s="7">
        <f t="shared" si="393"/>
        <v>0</v>
      </c>
      <c r="L252" s="3">
        <f t="shared" si="391"/>
        <v>0</v>
      </c>
      <c r="M252" s="3">
        <f t="shared" si="392"/>
        <v>0</v>
      </c>
      <c r="N252" s="9" t="s">
        <v>34</v>
      </c>
    </row>
    <row r="253" spans="1:14" x14ac:dyDescent="0.25">
      <c r="A253" s="11">
        <f t="shared" si="367"/>
        <v>63</v>
      </c>
      <c r="B253" s="34" t="e">
        <f>+VLOOKUP(B252,Hoja1!$A$1:$B$2,2,FALSE)</f>
        <v>#N/A</v>
      </c>
      <c r="C253" s="9" t="s">
        <v>0</v>
      </c>
      <c r="D253" s="9"/>
      <c r="E253" s="14" t="str">
        <f t="shared" si="389"/>
        <v/>
      </c>
      <c r="F253" s="9"/>
      <c r="G253" s="4">
        <f>-'libro compras'!I251</f>
        <v>0</v>
      </c>
      <c r="H253" s="9"/>
      <c r="I253" s="9" t="s">
        <v>2</v>
      </c>
      <c r="J253" s="9" t="str">
        <f t="shared" ref="J253:K253" si="394">+J252</f>
        <v xml:space="preserve"> </v>
      </c>
      <c r="K253" s="7">
        <f t="shared" si="394"/>
        <v>0</v>
      </c>
      <c r="L253" s="3">
        <f t="shared" si="391"/>
        <v>0</v>
      </c>
      <c r="M253" s="3">
        <f t="shared" si="392"/>
        <v>0</v>
      </c>
      <c r="N253" s="9" t="s">
        <v>34</v>
      </c>
    </row>
    <row r="254" spans="1:14" x14ac:dyDescent="0.25">
      <c r="A254" s="11">
        <f t="shared" si="367"/>
        <v>64</v>
      </c>
      <c r="B254" s="42" t="str">
        <f>+'libro compras'!$AK$1</f>
        <v>281130</v>
      </c>
      <c r="C254" s="9" t="s">
        <v>0</v>
      </c>
      <c r="D254" s="9"/>
      <c r="E254" s="14" t="str">
        <f>+'libro compras'!S255</f>
        <v/>
      </c>
      <c r="F254" s="9"/>
      <c r="G254" s="4">
        <f>+'libro compras'!AI255</f>
        <v>0</v>
      </c>
      <c r="H254" s="9"/>
      <c r="I254" s="9" t="s">
        <v>33</v>
      </c>
      <c r="J254" s="9" t="str">
        <f>+CONCATENATE('libro compras'!C255," ",'libro compras'!D255)</f>
        <v xml:space="preserve"> </v>
      </c>
      <c r="K254" s="7">
        <f t="shared" ref="K254" si="395">+K253</f>
        <v>0</v>
      </c>
      <c r="L254" s="3">
        <f>+'libro compras'!C255</f>
        <v>0</v>
      </c>
      <c r="M254" s="3">
        <f>+'libro compras'!D255</f>
        <v>0</v>
      </c>
      <c r="N254" s="9" t="s">
        <v>34</v>
      </c>
    </row>
    <row r="255" spans="1:14" x14ac:dyDescent="0.25">
      <c r="A255" s="11">
        <f t="shared" si="367"/>
        <v>64</v>
      </c>
      <c r="B255" s="43" t="str">
        <f>+'libro compras'!$AL$1</f>
        <v>401110</v>
      </c>
      <c r="C255" s="9" t="s">
        <v>0</v>
      </c>
      <c r="D255" s="9"/>
      <c r="E255" s="14" t="str">
        <f t="shared" ref="E255:E257" si="396">+E254</f>
        <v/>
      </c>
      <c r="F255" s="9"/>
      <c r="G255" s="4">
        <f>+'libro compras'!AJ255</f>
        <v>0</v>
      </c>
      <c r="H255" s="9"/>
      <c r="I255" s="9" t="s">
        <v>33</v>
      </c>
      <c r="J255" s="9" t="str">
        <f t="shared" ref="J255:K255" si="397">+J254</f>
        <v xml:space="preserve"> </v>
      </c>
      <c r="K255" s="7">
        <f t="shared" si="397"/>
        <v>0</v>
      </c>
      <c r="L255" s="3">
        <f t="shared" ref="L255:L257" si="398">+L254</f>
        <v>0</v>
      </c>
      <c r="M255" s="3">
        <f t="shared" ref="M255:M257" si="399">+M254</f>
        <v>0</v>
      </c>
      <c r="N255" s="9" t="s">
        <v>34</v>
      </c>
    </row>
    <row r="256" spans="1:14" x14ac:dyDescent="0.25">
      <c r="A256" s="11">
        <f t="shared" si="367"/>
        <v>64</v>
      </c>
      <c r="B256" s="32">
        <f>+'libro compras'!P255</f>
        <v>0</v>
      </c>
      <c r="C256" s="9" t="s">
        <v>0</v>
      </c>
      <c r="D256" s="9"/>
      <c r="E256" s="14" t="str">
        <f t="shared" si="396"/>
        <v/>
      </c>
      <c r="F256" s="9"/>
      <c r="G256" s="4">
        <f>-'libro compras'!AK255</f>
        <v>0</v>
      </c>
      <c r="H256" s="9"/>
      <c r="I256" s="9" t="s">
        <v>2</v>
      </c>
      <c r="J256" s="9" t="str">
        <f t="shared" ref="J256:K256" si="400">+J255</f>
        <v xml:space="preserve"> </v>
      </c>
      <c r="K256" s="7">
        <f t="shared" si="400"/>
        <v>0</v>
      </c>
      <c r="L256" s="3">
        <f t="shared" si="398"/>
        <v>0</v>
      </c>
      <c r="M256" s="3">
        <f t="shared" si="399"/>
        <v>0</v>
      </c>
      <c r="N256" s="9" t="s">
        <v>34</v>
      </c>
    </row>
    <row r="257" spans="1:14" x14ac:dyDescent="0.25">
      <c r="A257" s="11">
        <f t="shared" si="367"/>
        <v>64</v>
      </c>
      <c r="B257" s="34" t="e">
        <f>+VLOOKUP(B256,Hoja1!$A$1:$B$2,2,FALSE)</f>
        <v>#N/A</v>
      </c>
      <c r="C257" s="9" t="s">
        <v>0</v>
      </c>
      <c r="D257" s="9"/>
      <c r="E257" s="14" t="str">
        <f t="shared" si="396"/>
        <v/>
      </c>
      <c r="F257" s="9"/>
      <c r="G257" s="4">
        <f>-'libro compras'!I255</f>
        <v>0</v>
      </c>
      <c r="H257" s="9"/>
      <c r="I257" s="9" t="s">
        <v>2</v>
      </c>
      <c r="J257" s="9" t="str">
        <f t="shared" ref="J257:K257" si="401">+J256</f>
        <v xml:space="preserve"> </v>
      </c>
      <c r="K257" s="7">
        <f t="shared" si="401"/>
        <v>0</v>
      </c>
      <c r="L257" s="3">
        <f t="shared" si="398"/>
        <v>0</v>
      </c>
      <c r="M257" s="3">
        <f t="shared" si="399"/>
        <v>0</v>
      </c>
      <c r="N257" s="9" t="s">
        <v>34</v>
      </c>
    </row>
    <row r="258" spans="1:14" x14ac:dyDescent="0.25">
      <c r="A258" s="11">
        <f t="shared" ref="A258" si="402">+A257+1</f>
        <v>65</v>
      </c>
      <c r="B258" s="42" t="str">
        <f>+'libro compras'!$AK$1</f>
        <v>281130</v>
      </c>
      <c r="C258" s="9" t="s">
        <v>0</v>
      </c>
      <c r="D258" s="9"/>
      <c r="E258" s="14" t="str">
        <f>+'libro compras'!S259</f>
        <v/>
      </c>
      <c r="F258" s="9"/>
      <c r="G258" s="4">
        <f>+'libro compras'!AI259</f>
        <v>0</v>
      </c>
      <c r="H258" s="9"/>
      <c r="I258" s="9" t="s">
        <v>33</v>
      </c>
      <c r="J258" s="9" t="str">
        <f>+CONCATENATE('libro compras'!C259," ",'libro compras'!D259)</f>
        <v xml:space="preserve"> </v>
      </c>
      <c r="K258" s="7">
        <f>+'libro compras'!F259</f>
        <v>0</v>
      </c>
      <c r="L258" s="3">
        <f>+'libro compras'!C259</f>
        <v>0</v>
      </c>
      <c r="M258" s="3">
        <f>+'libro compras'!D259</f>
        <v>0</v>
      </c>
      <c r="N258" s="9" t="s">
        <v>34</v>
      </c>
    </row>
    <row r="259" spans="1:14" x14ac:dyDescent="0.25">
      <c r="A259" s="11">
        <f t="shared" ref="A259:A261" si="403">+A258</f>
        <v>65</v>
      </c>
      <c r="B259" s="43" t="str">
        <f>+'libro compras'!$AL$1</f>
        <v>401110</v>
      </c>
      <c r="C259" s="9" t="s">
        <v>0</v>
      </c>
      <c r="D259" s="9"/>
      <c r="E259" s="14" t="str">
        <f t="shared" ref="E259:E261" si="404">+E258</f>
        <v/>
      </c>
      <c r="F259" s="9"/>
      <c r="G259" s="4">
        <f>+'libro compras'!AJ259</f>
        <v>0</v>
      </c>
      <c r="H259" s="9"/>
      <c r="I259" s="9" t="s">
        <v>33</v>
      </c>
      <c r="J259" s="9" t="str">
        <f t="shared" ref="J259:M259" si="405">+J258</f>
        <v xml:space="preserve"> </v>
      </c>
      <c r="K259" s="7">
        <f t="shared" si="405"/>
        <v>0</v>
      </c>
      <c r="L259" s="3">
        <f t="shared" si="405"/>
        <v>0</v>
      </c>
      <c r="M259" s="3">
        <f t="shared" si="405"/>
        <v>0</v>
      </c>
      <c r="N259" s="9" t="s">
        <v>34</v>
      </c>
    </row>
    <row r="260" spans="1:14" x14ac:dyDescent="0.25">
      <c r="A260" s="11">
        <f t="shared" si="403"/>
        <v>65</v>
      </c>
      <c r="B260" s="32">
        <f>+'libro compras'!P259</f>
        <v>0</v>
      </c>
      <c r="C260" s="9" t="s">
        <v>0</v>
      </c>
      <c r="D260" s="9"/>
      <c r="E260" s="14" t="str">
        <f t="shared" si="404"/>
        <v/>
      </c>
      <c r="F260" s="9"/>
      <c r="G260" s="4">
        <f>-'libro compras'!AK259</f>
        <v>0</v>
      </c>
      <c r="H260" s="9"/>
      <c r="I260" s="9" t="s">
        <v>2</v>
      </c>
      <c r="J260" s="9" t="str">
        <f t="shared" ref="J260:M260" si="406">+J259</f>
        <v xml:space="preserve"> </v>
      </c>
      <c r="K260" s="7">
        <f t="shared" si="406"/>
        <v>0</v>
      </c>
      <c r="L260" s="3">
        <f t="shared" si="406"/>
        <v>0</v>
      </c>
      <c r="M260" s="3">
        <f t="shared" si="406"/>
        <v>0</v>
      </c>
      <c r="N260" s="9" t="s">
        <v>34</v>
      </c>
    </row>
    <row r="261" spans="1:14" x14ac:dyDescent="0.25">
      <c r="A261" s="11">
        <f t="shared" si="403"/>
        <v>65</v>
      </c>
      <c r="B261" s="34" t="e">
        <f>+VLOOKUP(B260,Hoja1!$A$1:$B$2,2,FALSE)</f>
        <v>#N/A</v>
      </c>
      <c r="C261" s="9" t="s">
        <v>0</v>
      </c>
      <c r="D261" s="9"/>
      <c r="E261" s="14" t="str">
        <f t="shared" si="404"/>
        <v/>
      </c>
      <c r="F261" s="9"/>
      <c r="G261" s="4">
        <f>-'libro compras'!I259</f>
        <v>0</v>
      </c>
      <c r="H261" s="9"/>
      <c r="I261" s="9" t="s">
        <v>2</v>
      </c>
      <c r="J261" s="9" t="str">
        <f t="shared" ref="J261:M261" si="407">+J260</f>
        <v xml:space="preserve"> </v>
      </c>
      <c r="K261" s="7">
        <f t="shared" si="407"/>
        <v>0</v>
      </c>
      <c r="L261" s="3">
        <f t="shared" si="407"/>
        <v>0</v>
      </c>
      <c r="M261" s="3">
        <f t="shared" si="407"/>
        <v>0</v>
      </c>
      <c r="N261" s="9" t="s">
        <v>34</v>
      </c>
    </row>
    <row r="262" spans="1:14" x14ac:dyDescent="0.25">
      <c r="A262" s="11">
        <f t="shared" si="367"/>
        <v>66</v>
      </c>
      <c r="B262" s="42" t="str">
        <f>+'libro compras'!$AK$1</f>
        <v>281130</v>
      </c>
      <c r="C262" s="9" t="s">
        <v>0</v>
      </c>
      <c r="D262" s="9"/>
      <c r="E262" s="14" t="str">
        <f>+'libro compras'!S263</f>
        <v/>
      </c>
      <c r="F262" s="9"/>
      <c r="G262" s="4">
        <f>+'libro compras'!AI263</f>
        <v>0</v>
      </c>
      <c r="H262" s="9"/>
      <c r="I262" s="9" t="s">
        <v>33</v>
      </c>
      <c r="J262" s="9" t="str">
        <f>+CONCATENATE('libro compras'!C263," ",'libro compras'!D263)</f>
        <v xml:space="preserve"> </v>
      </c>
      <c r="K262" s="7">
        <f t="shared" ref="K262" si="408">+K261</f>
        <v>0</v>
      </c>
      <c r="L262" s="3">
        <f>+'libro compras'!C263</f>
        <v>0</v>
      </c>
      <c r="M262" s="3">
        <f>+'libro compras'!D263</f>
        <v>0</v>
      </c>
      <c r="N262" s="9" t="s">
        <v>34</v>
      </c>
    </row>
    <row r="263" spans="1:14" x14ac:dyDescent="0.25">
      <c r="A263" s="11">
        <f t="shared" si="367"/>
        <v>66</v>
      </c>
      <c r="B263" s="43" t="str">
        <f>+'libro compras'!$AL$1</f>
        <v>401110</v>
      </c>
      <c r="C263" s="9" t="s">
        <v>0</v>
      </c>
      <c r="D263" s="9"/>
      <c r="E263" s="14" t="str">
        <f t="shared" ref="E263:E265" si="409">+E262</f>
        <v/>
      </c>
      <c r="F263" s="9"/>
      <c r="G263" s="4">
        <f>+'libro compras'!AJ263</f>
        <v>0</v>
      </c>
      <c r="H263" s="9"/>
      <c r="I263" s="9" t="s">
        <v>33</v>
      </c>
      <c r="J263" s="9" t="str">
        <f t="shared" ref="J263:K263" si="410">+J262</f>
        <v xml:space="preserve"> </v>
      </c>
      <c r="K263" s="7">
        <f t="shared" si="410"/>
        <v>0</v>
      </c>
      <c r="L263" s="3">
        <f t="shared" ref="L263:L265" si="411">+L262</f>
        <v>0</v>
      </c>
      <c r="M263" s="3">
        <f t="shared" ref="M263:M265" si="412">+M262</f>
        <v>0</v>
      </c>
      <c r="N263" s="9" t="s">
        <v>34</v>
      </c>
    </row>
    <row r="264" spans="1:14" x14ac:dyDescent="0.25">
      <c r="A264" s="11">
        <f t="shared" si="367"/>
        <v>66</v>
      </c>
      <c r="B264" s="32">
        <f>+'libro compras'!P263</f>
        <v>0</v>
      </c>
      <c r="C264" s="9" t="s">
        <v>0</v>
      </c>
      <c r="D264" s="9"/>
      <c r="E264" s="14" t="str">
        <f t="shared" si="409"/>
        <v/>
      </c>
      <c r="F264" s="9"/>
      <c r="G264" s="4">
        <f>-'libro compras'!AK263</f>
        <v>0</v>
      </c>
      <c r="H264" s="9"/>
      <c r="I264" s="9" t="s">
        <v>2</v>
      </c>
      <c r="J264" s="9" t="str">
        <f t="shared" ref="J264:K264" si="413">+J263</f>
        <v xml:space="preserve"> </v>
      </c>
      <c r="K264" s="7">
        <f t="shared" si="413"/>
        <v>0</v>
      </c>
      <c r="L264" s="3">
        <f t="shared" si="411"/>
        <v>0</v>
      </c>
      <c r="M264" s="3">
        <f t="shared" si="412"/>
        <v>0</v>
      </c>
      <c r="N264" s="9" t="s">
        <v>34</v>
      </c>
    </row>
    <row r="265" spans="1:14" x14ac:dyDescent="0.25">
      <c r="A265" s="11">
        <f t="shared" si="367"/>
        <v>66</v>
      </c>
      <c r="B265" s="34" t="e">
        <f>+VLOOKUP(B264,Hoja1!$A$1:$B$2,2,FALSE)</f>
        <v>#N/A</v>
      </c>
      <c r="C265" s="9" t="s">
        <v>0</v>
      </c>
      <c r="D265" s="9"/>
      <c r="E265" s="14" t="str">
        <f t="shared" si="409"/>
        <v/>
      </c>
      <c r="F265" s="9"/>
      <c r="G265" s="4">
        <f>-'libro compras'!I263</f>
        <v>0</v>
      </c>
      <c r="H265" s="9"/>
      <c r="I265" s="9" t="s">
        <v>2</v>
      </c>
      <c r="J265" s="9" t="str">
        <f t="shared" ref="J265:K265" si="414">+J264</f>
        <v xml:space="preserve"> </v>
      </c>
      <c r="K265" s="7">
        <f t="shared" si="414"/>
        <v>0</v>
      </c>
      <c r="L265" s="3">
        <f t="shared" si="411"/>
        <v>0</v>
      </c>
      <c r="M265" s="3">
        <f t="shared" si="412"/>
        <v>0</v>
      </c>
      <c r="N265" s="9" t="s">
        <v>34</v>
      </c>
    </row>
    <row r="266" spans="1:14" x14ac:dyDescent="0.25">
      <c r="A266" s="11">
        <f t="shared" si="367"/>
        <v>67</v>
      </c>
      <c r="B266" s="42" t="str">
        <f>+'libro compras'!$AK$1</f>
        <v>281130</v>
      </c>
      <c r="C266" s="9" t="s">
        <v>0</v>
      </c>
      <c r="D266" s="9"/>
      <c r="E266" s="14" t="str">
        <f>+'libro compras'!S267</f>
        <v/>
      </c>
      <c r="F266" s="9"/>
      <c r="G266" s="4">
        <f>+'libro compras'!AI267</f>
        <v>0</v>
      </c>
      <c r="H266" s="9"/>
      <c r="I266" s="9" t="s">
        <v>33</v>
      </c>
      <c r="J266" s="9" t="str">
        <f>+CONCATENATE('libro compras'!C267," ",'libro compras'!D267)</f>
        <v xml:space="preserve"> </v>
      </c>
      <c r="K266" s="7">
        <f t="shared" ref="K266" si="415">+K265</f>
        <v>0</v>
      </c>
      <c r="L266" s="3">
        <f>+'libro compras'!C267</f>
        <v>0</v>
      </c>
      <c r="M266" s="3">
        <f>+'libro compras'!D267</f>
        <v>0</v>
      </c>
      <c r="N266" s="9" t="s">
        <v>34</v>
      </c>
    </row>
    <row r="267" spans="1:14" x14ac:dyDescent="0.25">
      <c r="A267" s="11">
        <f t="shared" si="367"/>
        <v>67</v>
      </c>
      <c r="B267" s="43" t="str">
        <f>+'libro compras'!$AL$1</f>
        <v>401110</v>
      </c>
      <c r="C267" s="9" t="s">
        <v>0</v>
      </c>
      <c r="D267" s="9"/>
      <c r="E267" s="14" t="str">
        <f t="shared" ref="E267:E269" si="416">+E266</f>
        <v/>
      </c>
      <c r="F267" s="9"/>
      <c r="G267" s="4">
        <f>+'libro compras'!AJ267</f>
        <v>0</v>
      </c>
      <c r="H267" s="9"/>
      <c r="I267" s="9" t="s">
        <v>33</v>
      </c>
      <c r="J267" s="9" t="str">
        <f t="shared" ref="J267:K267" si="417">+J266</f>
        <v xml:space="preserve"> </v>
      </c>
      <c r="K267" s="7">
        <f t="shared" si="417"/>
        <v>0</v>
      </c>
      <c r="L267" s="3">
        <f t="shared" ref="L267:L269" si="418">+L266</f>
        <v>0</v>
      </c>
      <c r="M267" s="3">
        <f t="shared" ref="M267:M269" si="419">+M266</f>
        <v>0</v>
      </c>
      <c r="N267" s="9" t="s">
        <v>34</v>
      </c>
    </row>
    <row r="268" spans="1:14" x14ac:dyDescent="0.25">
      <c r="A268" s="11">
        <f t="shared" si="367"/>
        <v>67</v>
      </c>
      <c r="B268" s="32">
        <f>+'libro compras'!P267</f>
        <v>0</v>
      </c>
      <c r="C268" s="9" t="s">
        <v>0</v>
      </c>
      <c r="D268" s="9"/>
      <c r="E268" s="14" t="str">
        <f t="shared" si="416"/>
        <v/>
      </c>
      <c r="F268" s="9"/>
      <c r="G268" s="4">
        <f>-'libro compras'!AK267</f>
        <v>0</v>
      </c>
      <c r="H268" s="9"/>
      <c r="I268" s="9" t="s">
        <v>2</v>
      </c>
      <c r="J268" s="9" t="str">
        <f t="shared" ref="J268:K268" si="420">+J267</f>
        <v xml:space="preserve"> </v>
      </c>
      <c r="K268" s="7">
        <f t="shared" si="420"/>
        <v>0</v>
      </c>
      <c r="L268" s="3">
        <f t="shared" si="418"/>
        <v>0</v>
      </c>
      <c r="M268" s="3">
        <f t="shared" si="419"/>
        <v>0</v>
      </c>
      <c r="N268" s="9" t="s">
        <v>34</v>
      </c>
    </row>
    <row r="269" spans="1:14" x14ac:dyDescent="0.25">
      <c r="A269" s="11">
        <f t="shared" si="367"/>
        <v>67</v>
      </c>
      <c r="B269" s="34" t="e">
        <f>+VLOOKUP(B268,Hoja1!$A$1:$B$2,2,FALSE)</f>
        <v>#N/A</v>
      </c>
      <c r="C269" s="9" t="s">
        <v>0</v>
      </c>
      <c r="D269" s="9"/>
      <c r="E269" s="14" t="str">
        <f t="shared" si="416"/>
        <v/>
      </c>
      <c r="F269" s="9"/>
      <c r="G269" s="4">
        <f>-'libro compras'!I267</f>
        <v>0</v>
      </c>
      <c r="H269" s="9"/>
      <c r="I269" s="9" t="s">
        <v>2</v>
      </c>
      <c r="J269" s="9" t="str">
        <f t="shared" ref="J269:K269" si="421">+J268</f>
        <v xml:space="preserve"> </v>
      </c>
      <c r="K269" s="7">
        <f t="shared" si="421"/>
        <v>0</v>
      </c>
      <c r="L269" s="3">
        <f t="shared" si="418"/>
        <v>0</v>
      </c>
      <c r="M269" s="3">
        <f t="shared" si="419"/>
        <v>0</v>
      </c>
      <c r="N269" s="9" t="s">
        <v>34</v>
      </c>
    </row>
    <row r="270" spans="1:14" x14ac:dyDescent="0.25">
      <c r="A270" s="11">
        <f t="shared" ref="A270" si="422">+A269+1</f>
        <v>68</v>
      </c>
      <c r="B270" s="42" t="str">
        <f>+'libro compras'!$AK$1</f>
        <v>281130</v>
      </c>
      <c r="C270" s="9" t="s">
        <v>0</v>
      </c>
      <c r="D270" s="9"/>
      <c r="E270" s="14" t="str">
        <f>+'libro compras'!S271</f>
        <v/>
      </c>
      <c r="F270" s="9"/>
      <c r="G270" s="4">
        <f>+'libro compras'!AI271</f>
        <v>0</v>
      </c>
      <c r="H270" s="9"/>
      <c r="I270" s="9" t="s">
        <v>33</v>
      </c>
      <c r="J270" s="9" t="str">
        <f>+CONCATENATE('libro compras'!C271," ",'libro compras'!D271)</f>
        <v xml:space="preserve"> </v>
      </c>
      <c r="K270" s="7">
        <f>+'libro compras'!F271</f>
        <v>0</v>
      </c>
      <c r="L270" s="3">
        <f>+'libro compras'!C271</f>
        <v>0</v>
      </c>
      <c r="M270" s="3">
        <f>+'libro compras'!D271</f>
        <v>0</v>
      </c>
      <c r="N270" s="9" t="s">
        <v>34</v>
      </c>
    </row>
    <row r="271" spans="1:14" x14ac:dyDescent="0.25">
      <c r="A271" s="11">
        <f t="shared" ref="A271:A273" si="423">+A270</f>
        <v>68</v>
      </c>
      <c r="B271" s="43" t="str">
        <f>+'libro compras'!$AL$1</f>
        <v>401110</v>
      </c>
      <c r="C271" s="9" t="s">
        <v>0</v>
      </c>
      <c r="D271" s="9"/>
      <c r="E271" s="14" t="str">
        <f t="shared" ref="E271:E273" si="424">+E270</f>
        <v/>
      </c>
      <c r="F271" s="9"/>
      <c r="G271" s="4">
        <f>+'libro compras'!AJ271</f>
        <v>0</v>
      </c>
      <c r="H271" s="9"/>
      <c r="I271" s="9" t="s">
        <v>33</v>
      </c>
      <c r="J271" s="9" t="str">
        <f t="shared" ref="J271:M271" si="425">+J270</f>
        <v xml:space="preserve"> </v>
      </c>
      <c r="K271" s="7">
        <f t="shared" si="425"/>
        <v>0</v>
      </c>
      <c r="L271" s="3">
        <f t="shared" si="425"/>
        <v>0</v>
      </c>
      <c r="M271" s="3">
        <f t="shared" si="425"/>
        <v>0</v>
      </c>
      <c r="N271" s="9" t="s">
        <v>34</v>
      </c>
    </row>
    <row r="272" spans="1:14" x14ac:dyDescent="0.25">
      <c r="A272" s="11">
        <f t="shared" si="423"/>
        <v>68</v>
      </c>
      <c r="B272" s="32">
        <f>+'libro compras'!P271</f>
        <v>0</v>
      </c>
      <c r="C272" s="9" t="s">
        <v>0</v>
      </c>
      <c r="D272" s="9"/>
      <c r="E272" s="14" t="str">
        <f t="shared" si="424"/>
        <v/>
      </c>
      <c r="F272" s="9"/>
      <c r="G272" s="4">
        <f>-'libro compras'!AK271</f>
        <v>0</v>
      </c>
      <c r="H272" s="9"/>
      <c r="I272" s="9" t="s">
        <v>2</v>
      </c>
      <c r="J272" s="9" t="str">
        <f t="shared" ref="J272:M272" si="426">+J271</f>
        <v xml:space="preserve"> </v>
      </c>
      <c r="K272" s="7">
        <f t="shared" si="426"/>
        <v>0</v>
      </c>
      <c r="L272" s="3">
        <f t="shared" si="426"/>
        <v>0</v>
      </c>
      <c r="M272" s="3">
        <f t="shared" si="426"/>
        <v>0</v>
      </c>
      <c r="N272" s="9" t="s">
        <v>34</v>
      </c>
    </row>
    <row r="273" spans="1:14" x14ac:dyDescent="0.25">
      <c r="A273" s="11">
        <f t="shared" si="423"/>
        <v>68</v>
      </c>
      <c r="B273" s="34" t="e">
        <f>+VLOOKUP(B272,Hoja1!$A$1:$B$2,2,FALSE)</f>
        <v>#N/A</v>
      </c>
      <c r="C273" s="9" t="s">
        <v>0</v>
      </c>
      <c r="D273" s="9"/>
      <c r="E273" s="14" t="str">
        <f t="shared" si="424"/>
        <v/>
      </c>
      <c r="F273" s="9"/>
      <c r="G273" s="4">
        <f>-'libro compras'!I271</f>
        <v>0</v>
      </c>
      <c r="H273" s="9"/>
      <c r="I273" s="9" t="s">
        <v>2</v>
      </c>
      <c r="J273" s="9" t="str">
        <f t="shared" ref="J273:M273" si="427">+J272</f>
        <v xml:space="preserve"> </v>
      </c>
      <c r="K273" s="7">
        <f t="shared" si="427"/>
        <v>0</v>
      </c>
      <c r="L273" s="3">
        <f t="shared" si="427"/>
        <v>0</v>
      </c>
      <c r="M273" s="3">
        <f t="shared" si="427"/>
        <v>0</v>
      </c>
      <c r="N273" s="9" t="s">
        <v>34</v>
      </c>
    </row>
    <row r="274" spans="1:14" x14ac:dyDescent="0.25">
      <c r="A274" s="11">
        <f t="shared" si="367"/>
        <v>69</v>
      </c>
      <c r="B274" s="42" t="str">
        <f>+'libro compras'!$AK$1</f>
        <v>281130</v>
      </c>
      <c r="C274" s="9" t="s">
        <v>0</v>
      </c>
      <c r="D274" s="9"/>
      <c r="E274" s="14" t="str">
        <f>+'libro compras'!S275</f>
        <v/>
      </c>
      <c r="F274" s="9"/>
      <c r="G274" s="4">
        <f>+'libro compras'!AI275</f>
        <v>0</v>
      </c>
      <c r="H274" s="9"/>
      <c r="I274" s="9" t="s">
        <v>33</v>
      </c>
      <c r="J274" s="9" t="str">
        <f>+CONCATENATE('libro compras'!C275," ",'libro compras'!D275)</f>
        <v xml:space="preserve"> </v>
      </c>
      <c r="K274" s="7">
        <f t="shared" ref="K274" si="428">+K273</f>
        <v>0</v>
      </c>
      <c r="L274" s="3">
        <f>+'libro compras'!C275</f>
        <v>0</v>
      </c>
      <c r="M274" s="3">
        <f>+'libro compras'!D275</f>
        <v>0</v>
      </c>
      <c r="N274" s="9" t="s">
        <v>34</v>
      </c>
    </row>
    <row r="275" spans="1:14" x14ac:dyDescent="0.25">
      <c r="A275" s="11">
        <f t="shared" si="367"/>
        <v>69</v>
      </c>
      <c r="B275" s="43" t="str">
        <f>+'libro compras'!$AL$1</f>
        <v>401110</v>
      </c>
      <c r="C275" s="9" t="s">
        <v>0</v>
      </c>
      <c r="D275" s="9"/>
      <c r="E275" s="14" t="str">
        <f t="shared" ref="E275:E277" si="429">+E274</f>
        <v/>
      </c>
      <c r="F275" s="9"/>
      <c r="G275" s="4">
        <f>+'libro compras'!AJ275</f>
        <v>0</v>
      </c>
      <c r="H275" s="9"/>
      <c r="I275" s="9" t="s">
        <v>33</v>
      </c>
      <c r="J275" s="9" t="str">
        <f t="shared" ref="J275:K275" si="430">+J274</f>
        <v xml:space="preserve"> </v>
      </c>
      <c r="K275" s="7">
        <f t="shared" si="430"/>
        <v>0</v>
      </c>
      <c r="L275" s="3">
        <f t="shared" ref="L275:L277" si="431">+L274</f>
        <v>0</v>
      </c>
      <c r="M275" s="3">
        <f t="shared" ref="M275:M277" si="432">+M274</f>
        <v>0</v>
      </c>
      <c r="N275" s="9" t="s">
        <v>34</v>
      </c>
    </row>
    <row r="276" spans="1:14" x14ac:dyDescent="0.25">
      <c r="A276" s="11">
        <f t="shared" si="367"/>
        <v>69</v>
      </c>
      <c r="B276" s="32">
        <f>+'libro compras'!P275</f>
        <v>0</v>
      </c>
      <c r="C276" s="9" t="s">
        <v>0</v>
      </c>
      <c r="D276" s="9"/>
      <c r="E276" s="14" t="str">
        <f t="shared" si="429"/>
        <v/>
      </c>
      <c r="F276" s="9"/>
      <c r="G276" s="4">
        <f>-'libro compras'!AK275</f>
        <v>0</v>
      </c>
      <c r="H276" s="9"/>
      <c r="I276" s="9" t="s">
        <v>2</v>
      </c>
      <c r="J276" s="9" t="str">
        <f t="shared" ref="J276:K276" si="433">+J275</f>
        <v xml:space="preserve"> </v>
      </c>
      <c r="K276" s="7">
        <f t="shared" si="433"/>
        <v>0</v>
      </c>
      <c r="L276" s="3">
        <f t="shared" si="431"/>
        <v>0</v>
      </c>
      <c r="M276" s="3">
        <f t="shared" si="432"/>
        <v>0</v>
      </c>
      <c r="N276" s="9" t="s">
        <v>34</v>
      </c>
    </row>
    <row r="277" spans="1:14" x14ac:dyDescent="0.25">
      <c r="A277" s="11">
        <f t="shared" si="367"/>
        <v>69</v>
      </c>
      <c r="B277" s="34" t="e">
        <f>+VLOOKUP(B276,Hoja1!$A$1:$B$2,2,FALSE)</f>
        <v>#N/A</v>
      </c>
      <c r="C277" s="9" t="s">
        <v>0</v>
      </c>
      <c r="D277" s="9"/>
      <c r="E277" s="14" t="str">
        <f t="shared" si="429"/>
        <v/>
      </c>
      <c r="F277" s="9"/>
      <c r="G277" s="4">
        <f>-'libro compras'!I275</f>
        <v>0</v>
      </c>
      <c r="H277" s="9"/>
      <c r="I277" s="9" t="s">
        <v>2</v>
      </c>
      <c r="J277" s="9" t="str">
        <f t="shared" ref="J277:K277" si="434">+J276</f>
        <v xml:space="preserve"> </v>
      </c>
      <c r="K277" s="7">
        <f t="shared" si="434"/>
        <v>0</v>
      </c>
      <c r="L277" s="3">
        <f t="shared" si="431"/>
        <v>0</v>
      </c>
      <c r="M277" s="3">
        <f t="shared" si="432"/>
        <v>0</v>
      </c>
      <c r="N277" s="9" t="s">
        <v>34</v>
      </c>
    </row>
    <row r="278" spans="1:14" x14ac:dyDescent="0.25">
      <c r="A278" s="11">
        <f t="shared" si="367"/>
        <v>70</v>
      </c>
      <c r="B278" s="42" t="str">
        <f>+'libro compras'!$AK$1</f>
        <v>281130</v>
      </c>
      <c r="C278" s="9" t="s">
        <v>0</v>
      </c>
      <c r="D278" s="9"/>
      <c r="E278" s="14" t="str">
        <f>+'libro compras'!S279</f>
        <v/>
      </c>
      <c r="F278" s="9"/>
      <c r="G278" s="4">
        <f>+'libro compras'!AI279</f>
        <v>0</v>
      </c>
      <c r="H278" s="9"/>
      <c r="I278" s="9" t="s">
        <v>33</v>
      </c>
      <c r="J278" s="9" t="str">
        <f>+CONCATENATE('libro compras'!C279," ",'libro compras'!D279)</f>
        <v xml:space="preserve"> </v>
      </c>
      <c r="K278" s="7">
        <f t="shared" ref="K278" si="435">+K277</f>
        <v>0</v>
      </c>
      <c r="L278" s="3">
        <f>+'libro compras'!C279</f>
        <v>0</v>
      </c>
      <c r="M278" s="3">
        <f>+'libro compras'!D279</f>
        <v>0</v>
      </c>
      <c r="N278" s="9" t="s">
        <v>34</v>
      </c>
    </row>
    <row r="279" spans="1:14" x14ac:dyDescent="0.25">
      <c r="A279" s="11">
        <f t="shared" si="367"/>
        <v>70</v>
      </c>
      <c r="B279" s="43" t="str">
        <f>+'libro compras'!$AL$1</f>
        <v>401110</v>
      </c>
      <c r="C279" s="9" t="s">
        <v>0</v>
      </c>
      <c r="D279" s="9"/>
      <c r="E279" s="14" t="str">
        <f t="shared" ref="E279:E281" si="436">+E278</f>
        <v/>
      </c>
      <c r="F279" s="9"/>
      <c r="G279" s="4">
        <f>+'libro compras'!AJ279</f>
        <v>0</v>
      </c>
      <c r="H279" s="9"/>
      <c r="I279" s="9" t="s">
        <v>33</v>
      </c>
      <c r="J279" s="9" t="str">
        <f t="shared" ref="J279:K279" si="437">+J278</f>
        <v xml:space="preserve"> </v>
      </c>
      <c r="K279" s="7">
        <f t="shared" si="437"/>
        <v>0</v>
      </c>
      <c r="L279" s="3">
        <f t="shared" ref="L279:L281" si="438">+L278</f>
        <v>0</v>
      </c>
      <c r="M279" s="3">
        <f t="shared" ref="M279:M281" si="439">+M278</f>
        <v>0</v>
      </c>
      <c r="N279" s="9" t="s">
        <v>34</v>
      </c>
    </row>
    <row r="280" spans="1:14" x14ac:dyDescent="0.25">
      <c r="A280" s="11">
        <f t="shared" si="367"/>
        <v>70</v>
      </c>
      <c r="B280" s="32">
        <f>+'libro compras'!P279</f>
        <v>0</v>
      </c>
      <c r="C280" s="9" t="s">
        <v>0</v>
      </c>
      <c r="D280" s="9"/>
      <c r="E280" s="14" t="str">
        <f t="shared" si="436"/>
        <v/>
      </c>
      <c r="F280" s="9"/>
      <c r="G280" s="4">
        <f>-'libro compras'!AK279</f>
        <v>0</v>
      </c>
      <c r="H280" s="9"/>
      <c r="I280" s="9" t="s">
        <v>2</v>
      </c>
      <c r="J280" s="9" t="str">
        <f t="shared" ref="J280:K280" si="440">+J279</f>
        <v xml:space="preserve"> </v>
      </c>
      <c r="K280" s="7">
        <f t="shared" si="440"/>
        <v>0</v>
      </c>
      <c r="L280" s="3">
        <f t="shared" si="438"/>
        <v>0</v>
      </c>
      <c r="M280" s="3">
        <f t="shared" si="439"/>
        <v>0</v>
      </c>
      <c r="N280" s="9" t="s">
        <v>34</v>
      </c>
    </row>
    <row r="281" spans="1:14" x14ac:dyDescent="0.25">
      <c r="A281" s="11">
        <f t="shared" si="367"/>
        <v>70</v>
      </c>
      <c r="B281" s="34" t="e">
        <f>+VLOOKUP(B280,Hoja1!$A$1:$B$2,2,FALSE)</f>
        <v>#N/A</v>
      </c>
      <c r="C281" s="9" t="s">
        <v>0</v>
      </c>
      <c r="D281" s="9"/>
      <c r="E281" s="14" t="str">
        <f t="shared" si="436"/>
        <v/>
      </c>
      <c r="F281" s="9"/>
      <c r="G281" s="4">
        <f>-'libro compras'!I279</f>
        <v>0</v>
      </c>
      <c r="H281" s="9"/>
      <c r="I281" s="9" t="s">
        <v>2</v>
      </c>
      <c r="J281" s="9" t="str">
        <f t="shared" ref="J281:K281" si="441">+J280</f>
        <v xml:space="preserve"> </v>
      </c>
      <c r="K281" s="7">
        <f t="shared" si="441"/>
        <v>0</v>
      </c>
      <c r="L281" s="3">
        <f t="shared" si="438"/>
        <v>0</v>
      </c>
      <c r="M281" s="3">
        <f t="shared" si="439"/>
        <v>0</v>
      </c>
      <c r="N281" s="9" t="s">
        <v>34</v>
      </c>
    </row>
    <row r="282" spans="1:14" x14ac:dyDescent="0.25">
      <c r="A282" s="11">
        <f t="shared" ref="A282" si="442">+A281+1</f>
        <v>71</v>
      </c>
      <c r="B282" s="42" t="str">
        <f>+'libro compras'!$AK$1</f>
        <v>281130</v>
      </c>
      <c r="C282" s="9" t="s">
        <v>0</v>
      </c>
      <c r="D282" s="9"/>
      <c r="E282" s="14" t="str">
        <f>+'libro compras'!S283</f>
        <v/>
      </c>
      <c r="F282" s="9"/>
      <c r="G282" s="4">
        <f>+'libro compras'!AI283</f>
        <v>0</v>
      </c>
      <c r="H282" s="9"/>
      <c r="I282" s="9" t="s">
        <v>33</v>
      </c>
      <c r="J282" s="9" t="str">
        <f>+CONCATENATE('libro compras'!C283," ",'libro compras'!D283)</f>
        <v xml:space="preserve"> </v>
      </c>
      <c r="K282" s="7">
        <f>+'libro compras'!F283</f>
        <v>0</v>
      </c>
      <c r="L282" s="3">
        <f>+'libro compras'!C283</f>
        <v>0</v>
      </c>
      <c r="M282" s="3">
        <f>+'libro compras'!D283</f>
        <v>0</v>
      </c>
      <c r="N282" s="9" t="s">
        <v>34</v>
      </c>
    </row>
    <row r="283" spans="1:14" x14ac:dyDescent="0.25">
      <c r="A283" s="11">
        <f t="shared" ref="A283:A285" si="443">+A282</f>
        <v>71</v>
      </c>
      <c r="B283" s="43" t="str">
        <f>+'libro compras'!$AL$1</f>
        <v>401110</v>
      </c>
      <c r="C283" s="9" t="s">
        <v>0</v>
      </c>
      <c r="D283" s="9"/>
      <c r="E283" s="14" t="str">
        <f t="shared" ref="E283:E285" si="444">+E282</f>
        <v/>
      </c>
      <c r="F283" s="9"/>
      <c r="G283" s="4">
        <f>+'libro compras'!AJ283</f>
        <v>0</v>
      </c>
      <c r="H283" s="9"/>
      <c r="I283" s="9" t="s">
        <v>33</v>
      </c>
      <c r="J283" s="9" t="str">
        <f t="shared" ref="J283:M283" si="445">+J282</f>
        <v xml:space="preserve"> </v>
      </c>
      <c r="K283" s="7">
        <f t="shared" si="445"/>
        <v>0</v>
      </c>
      <c r="L283" s="3">
        <f t="shared" si="445"/>
        <v>0</v>
      </c>
      <c r="M283" s="3">
        <f t="shared" si="445"/>
        <v>0</v>
      </c>
      <c r="N283" s="9" t="s">
        <v>34</v>
      </c>
    </row>
    <row r="284" spans="1:14" x14ac:dyDescent="0.25">
      <c r="A284" s="11">
        <f t="shared" si="443"/>
        <v>71</v>
      </c>
      <c r="B284" s="32">
        <f>+'libro compras'!P283</f>
        <v>0</v>
      </c>
      <c r="C284" s="9" t="s">
        <v>0</v>
      </c>
      <c r="D284" s="9"/>
      <c r="E284" s="14" t="str">
        <f t="shared" si="444"/>
        <v/>
      </c>
      <c r="F284" s="9"/>
      <c r="G284" s="4">
        <f>-'libro compras'!AK283</f>
        <v>0</v>
      </c>
      <c r="H284" s="9"/>
      <c r="I284" s="9" t="s">
        <v>2</v>
      </c>
      <c r="J284" s="9" t="str">
        <f t="shared" ref="J284:M284" si="446">+J283</f>
        <v xml:space="preserve"> </v>
      </c>
      <c r="K284" s="7">
        <f t="shared" si="446"/>
        <v>0</v>
      </c>
      <c r="L284" s="3">
        <f t="shared" si="446"/>
        <v>0</v>
      </c>
      <c r="M284" s="3">
        <f t="shared" si="446"/>
        <v>0</v>
      </c>
      <c r="N284" s="9" t="s">
        <v>34</v>
      </c>
    </row>
    <row r="285" spans="1:14" x14ac:dyDescent="0.25">
      <c r="A285" s="11">
        <f t="shared" si="443"/>
        <v>71</v>
      </c>
      <c r="B285" s="34" t="e">
        <f>+VLOOKUP(B284,Hoja1!$A$1:$B$2,2,FALSE)</f>
        <v>#N/A</v>
      </c>
      <c r="C285" s="9" t="s">
        <v>0</v>
      </c>
      <c r="D285" s="9"/>
      <c r="E285" s="14" t="str">
        <f t="shared" si="444"/>
        <v/>
      </c>
      <c r="F285" s="9"/>
      <c r="G285" s="4">
        <f>-'libro compras'!I283</f>
        <v>0</v>
      </c>
      <c r="H285" s="9"/>
      <c r="I285" s="9" t="s">
        <v>2</v>
      </c>
      <c r="J285" s="9" t="str">
        <f t="shared" ref="J285:M285" si="447">+J284</f>
        <v xml:space="preserve"> </v>
      </c>
      <c r="K285" s="7">
        <f t="shared" si="447"/>
        <v>0</v>
      </c>
      <c r="L285" s="3">
        <f t="shared" si="447"/>
        <v>0</v>
      </c>
      <c r="M285" s="3">
        <f t="shared" si="447"/>
        <v>0</v>
      </c>
      <c r="N285" s="9" t="s">
        <v>34</v>
      </c>
    </row>
    <row r="286" spans="1:14" x14ac:dyDescent="0.25">
      <c r="A286" s="11">
        <f t="shared" si="367"/>
        <v>72</v>
      </c>
      <c r="B286" s="42" t="str">
        <f>+'libro compras'!$AK$1</f>
        <v>281130</v>
      </c>
      <c r="C286" s="9" t="s">
        <v>0</v>
      </c>
      <c r="D286" s="9"/>
      <c r="E286" s="14" t="str">
        <f>+'libro compras'!S287</f>
        <v/>
      </c>
      <c r="F286" s="9"/>
      <c r="G286" s="4">
        <f>+'libro compras'!AI287</f>
        <v>0</v>
      </c>
      <c r="H286" s="9"/>
      <c r="I286" s="9" t="s">
        <v>33</v>
      </c>
      <c r="J286" s="9" t="str">
        <f>+CONCATENATE('libro compras'!C287," ",'libro compras'!D287)</f>
        <v xml:space="preserve"> </v>
      </c>
      <c r="K286" s="7">
        <f t="shared" ref="K286" si="448">+K285</f>
        <v>0</v>
      </c>
      <c r="L286" s="3">
        <f>+'libro compras'!C287</f>
        <v>0</v>
      </c>
      <c r="M286" s="3">
        <f>+'libro compras'!D287</f>
        <v>0</v>
      </c>
      <c r="N286" s="9" t="s">
        <v>34</v>
      </c>
    </row>
    <row r="287" spans="1:14" x14ac:dyDescent="0.25">
      <c r="A287" s="11">
        <f t="shared" si="367"/>
        <v>72</v>
      </c>
      <c r="B287" s="43" t="str">
        <f>+'libro compras'!$AL$1</f>
        <v>401110</v>
      </c>
      <c r="C287" s="9" t="s">
        <v>0</v>
      </c>
      <c r="D287" s="9"/>
      <c r="E287" s="14" t="str">
        <f t="shared" ref="E287:E289" si="449">+E286</f>
        <v/>
      </c>
      <c r="F287" s="9"/>
      <c r="G287" s="4">
        <f>+'libro compras'!AJ287</f>
        <v>0</v>
      </c>
      <c r="H287" s="9"/>
      <c r="I287" s="9" t="s">
        <v>33</v>
      </c>
      <c r="J287" s="9" t="str">
        <f t="shared" ref="J287:K287" si="450">+J286</f>
        <v xml:space="preserve"> </v>
      </c>
      <c r="K287" s="7">
        <f t="shared" si="450"/>
        <v>0</v>
      </c>
      <c r="L287" s="3">
        <f t="shared" ref="L287:L289" si="451">+L286</f>
        <v>0</v>
      </c>
      <c r="M287" s="3">
        <f t="shared" ref="M287:M289" si="452">+M286</f>
        <v>0</v>
      </c>
      <c r="N287" s="9" t="s">
        <v>34</v>
      </c>
    </row>
    <row r="288" spans="1:14" x14ac:dyDescent="0.25">
      <c r="A288" s="11">
        <f t="shared" si="367"/>
        <v>72</v>
      </c>
      <c r="B288" s="32">
        <f>+'libro compras'!P287</f>
        <v>0</v>
      </c>
      <c r="C288" s="9" t="s">
        <v>0</v>
      </c>
      <c r="D288" s="9"/>
      <c r="E288" s="14" t="str">
        <f t="shared" si="449"/>
        <v/>
      </c>
      <c r="F288" s="9"/>
      <c r="G288" s="4">
        <f>-'libro compras'!AK287</f>
        <v>0</v>
      </c>
      <c r="H288" s="9"/>
      <c r="I288" s="9" t="s">
        <v>2</v>
      </c>
      <c r="J288" s="9" t="str">
        <f t="shared" ref="J288:K288" si="453">+J287</f>
        <v xml:space="preserve"> </v>
      </c>
      <c r="K288" s="7">
        <f t="shared" si="453"/>
        <v>0</v>
      </c>
      <c r="L288" s="3">
        <f t="shared" si="451"/>
        <v>0</v>
      </c>
      <c r="M288" s="3">
        <f t="shared" si="452"/>
        <v>0</v>
      </c>
      <c r="N288" s="9" t="s">
        <v>34</v>
      </c>
    </row>
    <row r="289" spans="1:14" x14ac:dyDescent="0.25">
      <c r="A289" s="11">
        <f t="shared" si="367"/>
        <v>72</v>
      </c>
      <c r="B289" s="34" t="e">
        <f>+VLOOKUP(B288,Hoja1!$A$1:$B$2,2,FALSE)</f>
        <v>#N/A</v>
      </c>
      <c r="C289" s="9" t="s">
        <v>0</v>
      </c>
      <c r="D289" s="9"/>
      <c r="E289" s="14" t="str">
        <f t="shared" si="449"/>
        <v/>
      </c>
      <c r="F289" s="9"/>
      <c r="G289" s="4">
        <f>-'libro compras'!I287</f>
        <v>0</v>
      </c>
      <c r="H289" s="9"/>
      <c r="I289" s="9" t="s">
        <v>2</v>
      </c>
      <c r="J289" s="9" t="str">
        <f t="shared" ref="J289:K289" si="454">+J288</f>
        <v xml:space="preserve"> </v>
      </c>
      <c r="K289" s="7">
        <f t="shared" si="454"/>
        <v>0</v>
      </c>
      <c r="L289" s="3">
        <f t="shared" si="451"/>
        <v>0</v>
      </c>
      <c r="M289" s="3">
        <f t="shared" si="452"/>
        <v>0</v>
      </c>
      <c r="N289" s="9" t="s">
        <v>34</v>
      </c>
    </row>
    <row r="290" spans="1:14" x14ac:dyDescent="0.25">
      <c r="A290" s="11">
        <f t="shared" si="367"/>
        <v>73</v>
      </c>
      <c r="B290" s="42" t="str">
        <f>+'libro compras'!$AK$1</f>
        <v>281130</v>
      </c>
      <c r="C290" s="9" t="s">
        <v>0</v>
      </c>
      <c r="D290" s="9"/>
      <c r="E290" s="14" t="str">
        <f>+'libro compras'!S291</f>
        <v/>
      </c>
      <c r="F290" s="9"/>
      <c r="G290" s="4">
        <f>+'libro compras'!AI291</f>
        <v>0</v>
      </c>
      <c r="H290" s="9"/>
      <c r="I290" s="9" t="s">
        <v>33</v>
      </c>
      <c r="J290" s="9" t="str">
        <f>+CONCATENATE('libro compras'!C291," ",'libro compras'!D291)</f>
        <v xml:space="preserve"> </v>
      </c>
      <c r="K290" s="7">
        <f t="shared" ref="K290" si="455">+K289</f>
        <v>0</v>
      </c>
      <c r="L290" s="3">
        <f>+'libro compras'!C291</f>
        <v>0</v>
      </c>
      <c r="M290" s="3">
        <f>+'libro compras'!D291</f>
        <v>0</v>
      </c>
      <c r="N290" s="9" t="s">
        <v>34</v>
      </c>
    </row>
    <row r="291" spans="1:14" x14ac:dyDescent="0.25">
      <c r="A291" s="11">
        <f t="shared" si="367"/>
        <v>73</v>
      </c>
      <c r="B291" s="43" t="str">
        <f>+'libro compras'!$AL$1</f>
        <v>401110</v>
      </c>
      <c r="C291" s="9" t="s">
        <v>0</v>
      </c>
      <c r="D291" s="9"/>
      <c r="E291" s="14" t="str">
        <f t="shared" ref="E291:E293" si="456">+E290</f>
        <v/>
      </c>
      <c r="F291" s="9"/>
      <c r="G291" s="4">
        <f>+'libro compras'!AJ291</f>
        <v>0</v>
      </c>
      <c r="H291" s="9"/>
      <c r="I291" s="9" t="s">
        <v>33</v>
      </c>
      <c r="J291" s="9" t="str">
        <f t="shared" ref="J291:K291" si="457">+J290</f>
        <v xml:space="preserve"> </v>
      </c>
      <c r="K291" s="7">
        <f t="shared" si="457"/>
        <v>0</v>
      </c>
      <c r="L291" s="3">
        <f t="shared" ref="L291:L293" si="458">+L290</f>
        <v>0</v>
      </c>
      <c r="M291" s="3">
        <f t="shared" ref="M291:M293" si="459">+M290</f>
        <v>0</v>
      </c>
      <c r="N291" s="9" t="s">
        <v>34</v>
      </c>
    </row>
    <row r="292" spans="1:14" x14ac:dyDescent="0.25">
      <c r="A292" s="11">
        <f t="shared" si="367"/>
        <v>73</v>
      </c>
      <c r="B292" s="32">
        <f>+'libro compras'!P291</f>
        <v>0</v>
      </c>
      <c r="C292" s="9" t="s">
        <v>0</v>
      </c>
      <c r="D292" s="9"/>
      <c r="E292" s="14" t="str">
        <f t="shared" si="456"/>
        <v/>
      </c>
      <c r="F292" s="9"/>
      <c r="G292" s="4">
        <f>-'libro compras'!AK291</f>
        <v>0</v>
      </c>
      <c r="H292" s="9"/>
      <c r="I292" s="9" t="s">
        <v>2</v>
      </c>
      <c r="J292" s="9" t="str">
        <f t="shared" ref="J292:K292" si="460">+J291</f>
        <v xml:space="preserve"> </v>
      </c>
      <c r="K292" s="7">
        <f t="shared" si="460"/>
        <v>0</v>
      </c>
      <c r="L292" s="3">
        <f t="shared" si="458"/>
        <v>0</v>
      </c>
      <c r="M292" s="3">
        <f t="shared" si="459"/>
        <v>0</v>
      </c>
      <c r="N292" s="9" t="s">
        <v>34</v>
      </c>
    </row>
    <row r="293" spans="1:14" x14ac:dyDescent="0.25">
      <c r="A293" s="11">
        <f t="shared" si="367"/>
        <v>73</v>
      </c>
      <c r="B293" s="34" t="e">
        <f>+VLOOKUP(B292,Hoja1!$A$1:$B$2,2,FALSE)</f>
        <v>#N/A</v>
      </c>
      <c r="C293" s="9" t="s">
        <v>0</v>
      </c>
      <c r="D293" s="9"/>
      <c r="E293" s="14" t="str">
        <f t="shared" si="456"/>
        <v/>
      </c>
      <c r="F293" s="9"/>
      <c r="G293" s="4">
        <f>-'libro compras'!I291</f>
        <v>0</v>
      </c>
      <c r="H293" s="9"/>
      <c r="I293" s="9" t="s">
        <v>2</v>
      </c>
      <c r="J293" s="9" t="str">
        <f t="shared" ref="J293:K293" si="461">+J292</f>
        <v xml:space="preserve"> </v>
      </c>
      <c r="K293" s="7">
        <f t="shared" si="461"/>
        <v>0</v>
      </c>
      <c r="L293" s="3">
        <f t="shared" si="458"/>
        <v>0</v>
      </c>
      <c r="M293" s="3">
        <f t="shared" si="459"/>
        <v>0</v>
      </c>
      <c r="N293" s="9" t="s">
        <v>34</v>
      </c>
    </row>
    <row r="294" spans="1:14" x14ac:dyDescent="0.25">
      <c r="A294" s="11">
        <f t="shared" ref="A294" si="462">+A293+1</f>
        <v>74</v>
      </c>
      <c r="B294" s="42" t="str">
        <f>+'libro compras'!$AK$1</f>
        <v>281130</v>
      </c>
      <c r="C294" s="9" t="s">
        <v>0</v>
      </c>
      <c r="D294" s="9"/>
      <c r="E294" s="14" t="str">
        <f>+'libro compras'!S295</f>
        <v/>
      </c>
      <c r="F294" s="9"/>
      <c r="G294" s="4">
        <f>+'libro compras'!AI295</f>
        <v>0</v>
      </c>
      <c r="H294" s="9"/>
      <c r="I294" s="9" t="s">
        <v>33</v>
      </c>
      <c r="J294" s="9" t="str">
        <f>+CONCATENATE('libro compras'!C295," ",'libro compras'!D295)</f>
        <v xml:space="preserve"> </v>
      </c>
      <c r="K294" s="7">
        <f>+'libro compras'!F295</f>
        <v>0</v>
      </c>
      <c r="L294" s="3">
        <f>+'libro compras'!C295</f>
        <v>0</v>
      </c>
      <c r="M294" s="3">
        <f>+'libro compras'!D295</f>
        <v>0</v>
      </c>
      <c r="N294" s="9" t="s">
        <v>34</v>
      </c>
    </row>
    <row r="295" spans="1:14" x14ac:dyDescent="0.25">
      <c r="A295" s="11">
        <f t="shared" ref="A295:A297" si="463">+A294</f>
        <v>74</v>
      </c>
      <c r="B295" s="43" t="str">
        <f>+'libro compras'!$AL$1</f>
        <v>401110</v>
      </c>
      <c r="C295" s="9" t="s">
        <v>0</v>
      </c>
      <c r="D295" s="9"/>
      <c r="E295" s="14" t="str">
        <f t="shared" ref="E295:E297" si="464">+E294</f>
        <v/>
      </c>
      <c r="F295" s="9"/>
      <c r="G295" s="4">
        <f>+'libro compras'!AJ295</f>
        <v>0</v>
      </c>
      <c r="H295" s="9"/>
      <c r="I295" s="9" t="s">
        <v>33</v>
      </c>
      <c r="J295" s="9" t="str">
        <f t="shared" ref="J295:M295" si="465">+J294</f>
        <v xml:space="preserve"> </v>
      </c>
      <c r="K295" s="7">
        <f t="shared" si="465"/>
        <v>0</v>
      </c>
      <c r="L295" s="3">
        <f t="shared" si="465"/>
        <v>0</v>
      </c>
      <c r="M295" s="3">
        <f t="shared" si="465"/>
        <v>0</v>
      </c>
      <c r="N295" s="9" t="s">
        <v>34</v>
      </c>
    </row>
    <row r="296" spans="1:14" x14ac:dyDescent="0.25">
      <c r="A296" s="11">
        <f t="shared" si="463"/>
        <v>74</v>
      </c>
      <c r="B296" s="32">
        <f>+'libro compras'!P295</f>
        <v>0</v>
      </c>
      <c r="C296" s="9" t="s">
        <v>0</v>
      </c>
      <c r="D296" s="9"/>
      <c r="E296" s="14" t="str">
        <f t="shared" si="464"/>
        <v/>
      </c>
      <c r="F296" s="9"/>
      <c r="G296" s="4">
        <f>-'libro compras'!AK295</f>
        <v>0</v>
      </c>
      <c r="H296" s="9"/>
      <c r="I296" s="9" t="s">
        <v>2</v>
      </c>
      <c r="J296" s="9" t="str">
        <f t="shared" ref="J296:M296" si="466">+J295</f>
        <v xml:space="preserve"> </v>
      </c>
      <c r="K296" s="7">
        <f t="shared" si="466"/>
        <v>0</v>
      </c>
      <c r="L296" s="3">
        <f t="shared" si="466"/>
        <v>0</v>
      </c>
      <c r="M296" s="3">
        <f t="shared" si="466"/>
        <v>0</v>
      </c>
      <c r="N296" s="9" t="s">
        <v>34</v>
      </c>
    </row>
    <row r="297" spans="1:14" x14ac:dyDescent="0.25">
      <c r="A297" s="11">
        <f t="shared" si="463"/>
        <v>74</v>
      </c>
      <c r="B297" s="34" t="e">
        <f>+VLOOKUP(B296,Hoja1!$A$1:$B$2,2,FALSE)</f>
        <v>#N/A</v>
      </c>
      <c r="C297" s="9" t="s">
        <v>0</v>
      </c>
      <c r="D297" s="9"/>
      <c r="E297" s="14" t="str">
        <f t="shared" si="464"/>
        <v/>
      </c>
      <c r="F297" s="9"/>
      <c r="G297" s="4">
        <f>-'libro compras'!I295</f>
        <v>0</v>
      </c>
      <c r="H297" s="9"/>
      <c r="I297" s="9" t="s">
        <v>2</v>
      </c>
      <c r="J297" s="9" t="str">
        <f t="shared" ref="J297:M297" si="467">+J296</f>
        <v xml:space="preserve"> </v>
      </c>
      <c r="K297" s="7">
        <f t="shared" si="467"/>
        <v>0</v>
      </c>
      <c r="L297" s="3">
        <f t="shared" si="467"/>
        <v>0</v>
      </c>
      <c r="M297" s="3">
        <f t="shared" si="467"/>
        <v>0</v>
      </c>
      <c r="N297" s="9" t="s">
        <v>34</v>
      </c>
    </row>
    <row r="298" spans="1:14" x14ac:dyDescent="0.25">
      <c r="A298" s="11">
        <f t="shared" si="367"/>
        <v>75</v>
      </c>
      <c r="B298" s="42" t="str">
        <f>+'libro compras'!$AK$1</f>
        <v>281130</v>
      </c>
      <c r="C298" s="9" t="s">
        <v>0</v>
      </c>
      <c r="D298" s="9"/>
      <c r="E298" s="14" t="str">
        <f>+'libro compras'!S299</f>
        <v/>
      </c>
      <c r="F298" s="9"/>
      <c r="G298" s="4">
        <f>+'libro compras'!AI299</f>
        <v>0</v>
      </c>
      <c r="H298" s="9"/>
      <c r="I298" s="9" t="s">
        <v>33</v>
      </c>
      <c r="J298" s="9" t="str">
        <f>+CONCATENATE('libro compras'!C299," ",'libro compras'!D299)</f>
        <v xml:space="preserve"> </v>
      </c>
      <c r="K298" s="7">
        <f t="shared" ref="K298" si="468">+K297</f>
        <v>0</v>
      </c>
      <c r="L298" s="3">
        <f>+'libro compras'!C299</f>
        <v>0</v>
      </c>
      <c r="M298" s="3">
        <f>+'libro compras'!D299</f>
        <v>0</v>
      </c>
      <c r="N298" s="9" t="s">
        <v>34</v>
      </c>
    </row>
    <row r="299" spans="1:14" x14ac:dyDescent="0.25">
      <c r="A299" s="11">
        <f t="shared" si="367"/>
        <v>75</v>
      </c>
      <c r="B299" s="43" t="str">
        <f>+'libro compras'!$AL$1</f>
        <v>401110</v>
      </c>
      <c r="C299" s="9" t="s">
        <v>0</v>
      </c>
      <c r="D299" s="9"/>
      <c r="E299" s="14" t="str">
        <f t="shared" ref="E299:E301" si="469">+E298</f>
        <v/>
      </c>
      <c r="F299" s="9"/>
      <c r="G299" s="4">
        <f>+'libro compras'!AJ299</f>
        <v>0</v>
      </c>
      <c r="H299" s="9"/>
      <c r="I299" s="9" t="s">
        <v>33</v>
      </c>
      <c r="J299" s="9" t="str">
        <f t="shared" ref="J299:K299" si="470">+J298</f>
        <v xml:space="preserve"> </v>
      </c>
      <c r="K299" s="7">
        <f t="shared" si="470"/>
        <v>0</v>
      </c>
      <c r="L299" s="3">
        <f t="shared" ref="L299:L301" si="471">+L298</f>
        <v>0</v>
      </c>
      <c r="M299" s="3">
        <f t="shared" ref="M299:M301" si="472">+M298</f>
        <v>0</v>
      </c>
      <c r="N299" s="9" t="s">
        <v>34</v>
      </c>
    </row>
    <row r="300" spans="1:14" x14ac:dyDescent="0.25">
      <c r="A300" s="11">
        <f t="shared" si="367"/>
        <v>75</v>
      </c>
      <c r="B300" s="32">
        <f>+'libro compras'!P299</f>
        <v>0</v>
      </c>
      <c r="C300" s="9" t="s">
        <v>0</v>
      </c>
      <c r="D300" s="9"/>
      <c r="E300" s="14" t="str">
        <f t="shared" si="469"/>
        <v/>
      </c>
      <c r="F300" s="9"/>
      <c r="G300" s="4">
        <f>-'libro compras'!AK299</f>
        <v>0</v>
      </c>
      <c r="H300" s="9"/>
      <c r="I300" s="9" t="s">
        <v>2</v>
      </c>
      <c r="J300" s="9" t="str">
        <f t="shared" ref="J300:K300" si="473">+J299</f>
        <v xml:space="preserve"> </v>
      </c>
      <c r="K300" s="7">
        <f t="shared" si="473"/>
        <v>0</v>
      </c>
      <c r="L300" s="3">
        <f t="shared" si="471"/>
        <v>0</v>
      </c>
      <c r="M300" s="3">
        <f t="shared" si="472"/>
        <v>0</v>
      </c>
      <c r="N300" s="9" t="s">
        <v>34</v>
      </c>
    </row>
    <row r="301" spans="1:14" x14ac:dyDescent="0.25">
      <c r="A301" s="11">
        <f t="shared" si="367"/>
        <v>75</v>
      </c>
      <c r="B301" s="34" t="e">
        <f>+VLOOKUP(B300,Hoja1!$A$1:$B$2,2,FALSE)</f>
        <v>#N/A</v>
      </c>
      <c r="C301" s="9" t="s">
        <v>0</v>
      </c>
      <c r="D301" s="9"/>
      <c r="E301" s="14" t="str">
        <f t="shared" si="469"/>
        <v/>
      </c>
      <c r="F301" s="9"/>
      <c r="G301" s="4">
        <f>-'libro compras'!I299</f>
        <v>0</v>
      </c>
      <c r="H301" s="9"/>
      <c r="I301" s="9" t="s">
        <v>2</v>
      </c>
      <c r="J301" s="9" t="str">
        <f t="shared" ref="J301:K301" si="474">+J300</f>
        <v xml:space="preserve"> </v>
      </c>
      <c r="K301" s="7">
        <f t="shared" si="474"/>
        <v>0</v>
      </c>
      <c r="L301" s="3">
        <f t="shared" si="471"/>
        <v>0</v>
      </c>
      <c r="M301" s="3">
        <f t="shared" si="472"/>
        <v>0</v>
      </c>
      <c r="N301" s="9" t="s">
        <v>34</v>
      </c>
    </row>
    <row r="302" spans="1:14" x14ac:dyDescent="0.25">
      <c r="A302" s="11">
        <f t="shared" ref="A302:A305" si="475">1+A298</f>
        <v>76</v>
      </c>
      <c r="B302" s="42" t="str">
        <f>+'libro compras'!$AK$1</f>
        <v>281130</v>
      </c>
      <c r="C302" s="9" t="s">
        <v>0</v>
      </c>
      <c r="D302" s="9"/>
      <c r="E302" s="14" t="str">
        <f>+'libro compras'!S303</f>
        <v/>
      </c>
      <c r="F302" s="9"/>
      <c r="G302" s="4">
        <f>+'libro compras'!AI303</f>
        <v>0</v>
      </c>
      <c r="H302" s="9"/>
      <c r="I302" s="9" t="s">
        <v>33</v>
      </c>
      <c r="J302" s="9" t="str">
        <f>+CONCATENATE('libro compras'!C303," ",'libro compras'!D303)</f>
        <v xml:space="preserve"> </v>
      </c>
      <c r="K302" s="7">
        <f t="shared" ref="K302" si="476">+K301</f>
        <v>0</v>
      </c>
      <c r="L302" s="3">
        <f>+'libro compras'!C303</f>
        <v>0</v>
      </c>
      <c r="M302" s="3">
        <f>+'libro compras'!D303</f>
        <v>0</v>
      </c>
      <c r="N302" s="9" t="s">
        <v>34</v>
      </c>
    </row>
    <row r="303" spans="1:14" x14ac:dyDescent="0.25">
      <c r="A303" s="11">
        <f t="shared" si="475"/>
        <v>76</v>
      </c>
      <c r="B303" s="43" t="str">
        <f>+'libro compras'!$AL$1</f>
        <v>401110</v>
      </c>
      <c r="C303" s="9" t="s">
        <v>0</v>
      </c>
      <c r="D303" s="9"/>
      <c r="E303" s="14" t="str">
        <f t="shared" ref="E303:E305" si="477">+E302</f>
        <v/>
      </c>
      <c r="F303" s="9"/>
      <c r="G303" s="4">
        <f>+'libro compras'!AJ303</f>
        <v>0</v>
      </c>
      <c r="H303" s="9"/>
      <c r="I303" s="9" t="s">
        <v>33</v>
      </c>
      <c r="J303" s="9" t="str">
        <f t="shared" ref="J303:K303" si="478">+J302</f>
        <v xml:space="preserve"> </v>
      </c>
      <c r="K303" s="7">
        <f t="shared" si="478"/>
        <v>0</v>
      </c>
      <c r="L303" s="3">
        <f t="shared" ref="L303:L305" si="479">+L302</f>
        <v>0</v>
      </c>
      <c r="M303" s="3">
        <f t="shared" ref="M303:M305" si="480">+M302</f>
        <v>0</v>
      </c>
      <c r="N303" s="9" t="s">
        <v>34</v>
      </c>
    </row>
    <row r="304" spans="1:14" x14ac:dyDescent="0.25">
      <c r="A304" s="11">
        <f t="shared" si="475"/>
        <v>76</v>
      </c>
      <c r="B304" s="32">
        <f>+'libro compras'!P303</f>
        <v>0</v>
      </c>
      <c r="C304" s="9" t="s">
        <v>0</v>
      </c>
      <c r="D304" s="9"/>
      <c r="E304" s="14" t="str">
        <f t="shared" si="477"/>
        <v/>
      </c>
      <c r="F304" s="9"/>
      <c r="G304" s="4">
        <f>-'libro compras'!AK303</f>
        <v>0</v>
      </c>
      <c r="H304" s="9"/>
      <c r="I304" s="9" t="s">
        <v>2</v>
      </c>
      <c r="J304" s="9" t="str">
        <f t="shared" ref="J304:K304" si="481">+J303</f>
        <v xml:space="preserve"> </v>
      </c>
      <c r="K304" s="7">
        <f t="shared" si="481"/>
        <v>0</v>
      </c>
      <c r="L304" s="3">
        <f t="shared" si="479"/>
        <v>0</v>
      </c>
      <c r="M304" s="3">
        <f t="shared" si="480"/>
        <v>0</v>
      </c>
      <c r="N304" s="9" t="s">
        <v>34</v>
      </c>
    </row>
    <row r="305" spans="1:14" x14ac:dyDescent="0.25">
      <c r="A305" s="11">
        <f t="shared" si="475"/>
        <v>76</v>
      </c>
      <c r="B305" s="34" t="e">
        <f>+VLOOKUP(B304,Hoja1!$A$1:$B$2,2,FALSE)</f>
        <v>#N/A</v>
      </c>
      <c r="C305" s="9" t="s">
        <v>0</v>
      </c>
      <c r="D305" s="9"/>
      <c r="E305" s="14" t="str">
        <f t="shared" si="477"/>
        <v/>
      </c>
      <c r="F305" s="9"/>
      <c r="G305" s="4">
        <f>-'libro compras'!I303</f>
        <v>0</v>
      </c>
      <c r="H305" s="9"/>
      <c r="I305" s="9" t="s">
        <v>2</v>
      </c>
      <c r="J305" s="9" t="str">
        <f t="shared" ref="J305:K305" si="482">+J304</f>
        <v xml:space="preserve"> </v>
      </c>
      <c r="K305" s="7">
        <f t="shared" si="482"/>
        <v>0</v>
      </c>
      <c r="L305" s="3">
        <f t="shared" si="479"/>
        <v>0</v>
      </c>
      <c r="M305" s="3">
        <f t="shared" si="480"/>
        <v>0</v>
      </c>
      <c r="N305" s="9" t="s">
        <v>34</v>
      </c>
    </row>
    <row r="306" spans="1:14" x14ac:dyDescent="0.25">
      <c r="A306" s="11">
        <f t="shared" ref="A306" si="483">+A305+1</f>
        <v>77</v>
      </c>
      <c r="B306" s="42" t="str">
        <f>+'libro compras'!$AK$1</f>
        <v>281130</v>
      </c>
      <c r="C306" s="9" t="s">
        <v>0</v>
      </c>
      <c r="D306" s="9"/>
      <c r="E306" s="14" t="str">
        <f>+'libro compras'!S307</f>
        <v/>
      </c>
      <c r="F306" s="9"/>
      <c r="G306" s="4">
        <f>+'libro compras'!AI307</f>
        <v>0</v>
      </c>
      <c r="H306" s="9"/>
      <c r="I306" s="9" t="s">
        <v>33</v>
      </c>
      <c r="J306" s="9" t="str">
        <f>+CONCATENATE('libro compras'!C307," ",'libro compras'!D307)</f>
        <v xml:space="preserve"> </v>
      </c>
      <c r="K306" s="7">
        <f>+'libro compras'!F307</f>
        <v>0</v>
      </c>
      <c r="L306" s="3">
        <f>+'libro compras'!C307</f>
        <v>0</v>
      </c>
      <c r="M306" s="3">
        <f>+'libro compras'!D307</f>
        <v>0</v>
      </c>
      <c r="N306" s="9" t="s">
        <v>34</v>
      </c>
    </row>
    <row r="307" spans="1:14" x14ac:dyDescent="0.25">
      <c r="A307" s="11">
        <f t="shared" ref="A307:A309" si="484">+A306</f>
        <v>77</v>
      </c>
      <c r="B307" s="43" t="str">
        <f>+'libro compras'!$AL$1</f>
        <v>401110</v>
      </c>
      <c r="C307" s="9" t="s">
        <v>0</v>
      </c>
      <c r="D307" s="9"/>
      <c r="E307" s="14" t="str">
        <f t="shared" ref="E307:E309" si="485">+E306</f>
        <v/>
      </c>
      <c r="F307" s="9"/>
      <c r="G307" s="4">
        <f>+'libro compras'!AJ307</f>
        <v>0</v>
      </c>
      <c r="H307" s="9"/>
      <c r="I307" s="9" t="s">
        <v>33</v>
      </c>
      <c r="J307" s="9" t="str">
        <f t="shared" ref="J307:M307" si="486">+J306</f>
        <v xml:space="preserve"> </v>
      </c>
      <c r="K307" s="7">
        <f t="shared" si="486"/>
        <v>0</v>
      </c>
      <c r="L307" s="3">
        <f t="shared" si="486"/>
        <v>0</v>
      </c>
      <c r="M307" s="3">
        <f t="shared" si="486"/>
        <v>0</v>
      </c>
      <c r="N307" s="9" t="s">
        <v>34</v>
      </c>
    </row>
    <row r="308" spans="1:14" x14ac:dyDescent="0.25">
      <c r="A308" s="11">
        <f t="shared" si="484"/>
        <v>77</v>
      </c>
      <c r="B308" s="32">
        <f>+'libro compras'!P307</f>
        <v>0</v>
      </c>
      <c r="C308" s="9" t="s">
        <v>0</v>
      </c>
      <c r="D308" s="9"/>
      <c r="E308" s="14" t="str">
        <f t="shared" si="485"/>
        <v/>
      </c>
      <c r="F308" s="9"/>
      <c r="G308" s="4">
        <f>-'libro compras'!AK307</f>
        <v>0</v>
      </c>
      <c r="H308" s="9"/>
      <c r="I308" s="9" t="s">
        <v>2</v>
      </c>
      <c r="J308" s="9" t="str">
        <f t="shared" ref="J308:M308" si="487">+J307</f>
        <v xml:space="preserve"> </v>
      </c>
      <c r="K308" s="7">
        <f t="shared" si="487"/>
        <v>0</v>
      </c>
      <c r="L308" s="3">
        <f t="shared" si="487"/>
        <v>0</v>
      </c>
      <c r="M308" s="3">
        <f t="shared" si="487"/>
        <v>0</v>
      </c>
      <c r="N308" s="9" t="s">
        <v>34</v>
      </c>
    </row>
    <row r="309" spans="1:14" x14ac:dyDescent="0.25">
      <c r="A309" s="11">
        <f t="shared" si="484"/>
        <v>77</v>
      </c>
      <c r="B309" s="34" t="e">
        <f>+VLOOKUP(B308,Hoja1!$A$1:$B$2,2,FALSE)</f>
        <v>#N/A</v>
      </c>
      <c r="C309" s="9" t="s">
        <v>0</v>
      </c>
      <c r="D309" s="9"/>
      <c r="E309" s="14" t="str">
        <f t="shared" si="485"/>
        <v/>
      </c>
      <c r="F309" s="9"/>
      <c r="G309" s="4">
        <f>-'libro compras'!I307</f>
        <v>0</v>
      </c>
      <c r="H309" s="9"/>
      <c r="I309" s="9" t="s">
        <v>2</v>
      </c>
      <c r="J309" s="9" t="str">
        <f t="shared" ref="J309:M309" si="488">+J308</f>
        <v xml:space="preserve"> </v>
      </c>
      <c r="K309" s="7">
        <f t="shared" si="488"/>
        <v>0</v>
      </c>
      <c r="L309" s="3">
        <f t="shared" si="488"/>
        <v>0</v>
      </c>
      <c r="M309" s="3">
        <f t="shared" si="488"/>
        <v>0</v>
      </c>
      <c r="N309" s="9" t="s">
        <v>34</v>
      </c>
    </row>
    <row r="310" spans="1:14" x14ac:dyDescent="0.25">
      <c r="A310" s="11">
        <f t="shared" ref="A310:A373" si="489">1+A306</f>
        <v>78</v>
      </c>
      <c r="B310" s="42" t="str">
        <f>+'libro compras'!$AK$1</f>
        <v>281130</v>
      </c>
      <c r="C310" s="9" t="s">
        <v>0</v>
      </c>
      <c r="D310" s="9"/>
      <c r="E310" s="14" t="str">
        <f>+'libro compras'!S311</f>
        <v/>
      </c>
      <c r="F310" s="9"/>
      <c r="G310" s="4">
        <f>+'libro compras'!AI311</f>
        <v>0</v>
      </c>
      <c r="H310" s="9"/>
      <c r="I310" s="9" t="s">
        <v>33</v>
      </c>
      <c r="J310" s="9" t="str">
        <f>+CONCATENATE('libro compras'!C311," ",'libro compras'!D311)</f>
        <v xml:space="preserve"> </v>
      </c>
      <c r="K310" s="7">
        <f t="shared" ref="K310" si="490">+K309</f>
        <v>0</v>
      </c>
      <c r="L310" s="3">
        <f>+'libro compras'!C311</f>
        <v>0</v>
      </c>
      <c r="M310" s="3">
        <f>+'libro compras'!D311</f>
        <v>0</v>
      </c>
      <c r="N310" s="9" t="s">
        <v>34</v>
      </c>
    </row>
    <row r="311" spans="1:14" x14ac:dyDescent="0.25">
      <c r="A311" s="11">
        <f t="shared" si="489"/>
        <v>78</v>
      </c>
      <c r="B311" s="43" t="str">
        <f>+'libro compras'!$AL$1</f>
        <v>401110</v>
      </c>
      <c r="C311" s="9" t="s">
        <v>0</v>
      </c>
      <c r="D311" s="9"/>
      <c r="E311" s="14" t="str">
        <f t="shared" ref="E311:E313" si="491">+E310</f>
        <v/>
      </c>
      <c r="F311" s="9"/>
      <c r="G311" s="4">
        <f>+'libro compras'!AJ311</f>
        <v>0</v>
      </c>
      <c r="H311" s="9"/>
      <c r="I311" s="9" t="s">
        <v>33</v>
      </c>
      <c r="J311" s="9" t="str">
        <f t="shared" ref="J311:K311" si="492">+J310</f>
        <v xml:space="preserve"> </v>
      </c>
      <c r="K311" s="7">
        <f t="shared" si="492"/>
        <v>0</v>
      </c>
      <c r="L311" s="3">
        <f t="shared" ref="L311:L313" si="493">+L310</f>
        <v>0</v>
      </c>
      <c r="M311" s="3">
        <f t="shared" ref="M311:M313" si="494">+M310</f>
        <v>0</v>
      </c>
      <c r="N311" s="9" t="s">
        <v>34</v>
      </c>
    </row>
    <row r="312" spans="1:14" x14ac:dyDescent="0.25">
      <c r="A312" s="11">
        <f t="shared" si="489"/>
        <v>78</v>
      </c>
      <c r="B312" s="32">
        <f>+'libro compras'!P311</f>
        <v>0</v>
      </c>
      <c r="C312" s="9" t="s">
        <v>0</v>
      </c>
      <c r="D312" s="9"/>
      <c r="E312" s="14" t="str">
        <f t="shared" si="491"/>
        <v/>
      </c>
      <c r="F312" s="9"/>
      <c r="G312" s="4">
        <f>-'libro compras'!AK311</f>
        <v>0</v>
      </c>
      <c r="H312" s="9"/>
      <c r="I312" s="9" t="s">
        <v>2</v>
      </c>
      <c r="J312" s="9" t="str">
        <f t="shared" ref="J312:K312" si="495">+J311</f>
        <v xml:space="preserve"> </v>
      </c>
      <c r="K312" s="7">
        <f t="shared" si="495"/>
        <v>0</v>
      </c>
      <c r="L312" s="3">
        <f t="shared" si="493"/>
        <v>0</v>
      </c>
      <c r="M312" s="3">
        <f t="shared" si="494"/>
        <v>0</v>
      </c>
      <c r="N312" s="9" t="s">
        <v>34</v>
      </c>
    </row>
    <row r="313" spans="1:14" x14ac:dyDescent="0.25">
      <c r="A313" s="11">
        <f t="shared" si="489"/>
        <v>78</v>
      </c>
      <c r="B313" s="34" t="e">
        <f>+VLOOKUP(B312,Hoja1!$A$1:$B$2,2,FALSE)</f>
        <v>#N/A</v>
      </c>
      <c r="C313" s="9" t="s">
        <v>0</v>
      </c>
      <c r="D313" s="9"/>
      <c r="E313" s="14" t="str">
        <f t="shared" si="491"/>
        <v/>
      </c>
      <c r="F313" s="9"/>
      <c r="G313" s="4">
        <f>-'libro compras'!I311</f>
        <v>0</v>
      </c>
      <c r="H313" s="9"/>
      <c r="I313" s="9" t="s">
        <v>2</v>
      </c>
      <c r="J313" s="9" t="str">
        <f t="shared" ref="J313:K313" si="496">+J312</f>
        <v xml:space="preserve"> </v>
      </c>
      <c r="K313" s="7">
        <f t="shared" si="496"/>
        <v>0</v>
      </c>
      <c r="L313" s="3">
        <f t="shared" si="493"/>
        <v>0</v>
      </c>
      <c r="M313" s="3">
        <f t="shared" si="494"/>
        <v>0</v>
      </c>
      <c r="N313" s="9" t="s">
        <v>34</v>
      </c>
    </row>
    <row r="314" spans="1:14" x14ac:dyDescent="0.25">
      <c r="A314" s="11">
        <f t="shared" si="489"/>
        <v>79</v>
      </c>
      <c r="B314" s="42" t="str">
        <f>+'libro compras'!$AK$1</f>
        <v>281130</v>
      </c>
      <c r="C314" s="9" t="s">
        <v>0</v>
      </c>
      <c r="D314" s="9"/>
      <c r="E314" s="14" t="str">
        <f>+'libro compras'!S315</f>
        <v/>
      </c>
      <c r="F314" s="9"/>
      <c r="G314" s="4">
        <f>+'libro compras'!AI315</f>
        <v>0</v>
      </c>
      <c r="H314" s="9"/>
      <c r="I314" s="9" t="s">
        <v>33</v>
      </c>
      <c r="J314" s="9" t="str">
        <f>+CONCATENATE('libro compras'!C315," ",'libro compras'!D315)</f>
        <v xml:space="preserve"> </v>
      </c>
      <c r="K314" s="7">
        <f t="shared" ref="K314" si="497">+K313</f>
        <v>0</v>
      </c>
      <c r="L314" s="3">
        <f>+'libro compras'!C315</f>
        <v>0</v>
      </c>
      <c r="M314" s="3">
        <f>+'libro compras'!D315</f>
        <v>0</v>
      </c>
      <c r="N314" s="9" t="s">
        <v>34</v>
      </c>
    </row>
    <row r="315" spans="1:14" x14ac:dyDescent="0.25">
      <c r="A315" s="11">
        <f t="shared" si="489"/>
        <v>79</v>
      </c>
      <c r="B315" s="43" t="str">
        <f>+'libro compras'!$AL$1</f>
        <v>401110</v>
      </c>
      <c r="C315" s="9" t="s">
        <v>0</v>
      </c>
      <c r="D315" s="9"/>
      <c r="E315" s="14" t="str">
        <f t="shared" ref="E315:E317" si="498">+E314</f>
        <v/>
      </c>
      <c r="F315" s="9"/>
      <c r="G315" s="4">
        <f>+'libro compras'!AJ315</f>
        <v>0</v>
      </c>
      <c r="H315" s="9"/>
      <c r="I315" s="9" t="s">
        <v>33</v>
      </c>
      <c r="J315" s="9" t="str">
        <f t="shared" ref="J315:K315" si="499">+J314</f>
        <v xml:space="preserve"> </v>
      </c>
      <c r="K315" s="7">
        <f t="shared" si="499"/>
        <v>0</v>
      </c>
      <c r="L315" s="3">
        <f t="shared" ref="L315:L317" si="500">+L314</f>
        <v>0</v>
      </c>
      <c r="M315" s="3">
        <f t="shared" ref="M315:M317" si="501">+M314</f>
        <v>0</v>
      </c>
      <c r="N315" s="9" t="s">
        <v>34</v>
      </c>
    </row>
    <row r="316" spans="1:14" x14ac:dyDescent="0.25">
      <c r="A316" s="11">
        <f t="shared" si="489"/>
        <v>79</v>
      </c>
      <c r="B316" s="32">
        <f>+'libro compras'!P315</f>
        <v>0</v>
      </c>
      <c r="C316" s="9" t="s">
        <v>0</v>
      </c>
      <c r="D316" s="9"/>
      <c r="E316" s="14" t="str">
        <f t="shared" si="498"/>
        <v/>
      </c>
      <c r="F316" s="9"/>
      <c r="G316" s="4">
        <f>-'libro compras'!AK315</f>
        <v>0</v>
      </c>
      <c r="H316" s="9"/>
      <c r="I316" s="9" t="s">
        <v>2</v>
      </c>
      <c r="J316" s="9" t="str">
        <f t="shared" ref="J316:K316" si="502">+J315</f>
        <v xml:space="preserve"> </v>
      </c>
      <c r="K316" s="7">
        <f t="shared" si="502"/>
        <v>0</v>
      </c>
      <c r="L316" s="3">
        <f t="shared" si="500"/>
        <v>0</v>
      </c>
      <c r="M316" s="3">
        <f t="shared" si="501"/>
        <v>0</v>
      </c>
      <c r="N316" s="9" t="s">
        <v>34</v>
      </c>
    </row>
    <row r="317" spans="1:14" x14ac:dyDescent="0.25">
      <c r="A317" s="11">
        <f t="shared" si="489"/>
        <v>79</v>
      </c>
      <c r="B317" s="34" t="e">
        <f>+VLOOKUP(B316,Hoja1!$A$1:$B$2,2,FALSE)</f>
        <v>#N/A</v>
      </c>
      <c r="C317" s="9" t="s">
        <v>0</v>
      </c>
      <c r="D317" s="9"/>
      <c r="E317" s="14" t="str">
        <f t="shared" si="498"/>
        <v/>
      </c>
      <c r="F317" s="9"/>
      <c r="G317" s="4">
        <f>-'libro compras'!I315</f>
        <v>0</v>
      </c>
      <c r="H317" s="9"/>
      <c r="I317" s="9" t="s">
        <v>2</v>
      </c>
      <c r="J317" s="9" t="str">
        <f t="shared" ref="J317:K317" si="503">+J316</f>
        <v xml:space="preserve"> </v>
      </c>
      <c r="K317" s="7">
        <f t="shared" si="503"/>
        <v>0</v>
      </c>
      <c r="L317" s="3">
        <f t="shared" si="500"/>
        <v>0</v>
      </c>
      <c r="M317" s="3">
        <f t="shared" si="501"/>
        <v>0</v>
      </c>
      <c r="N317" s="9" t="s">
        <v>34</v>
      </c>
    </row>
    <row r="318" spans="1:14" x14ac:dyDescent="0.25">
      <c r="A318" s="11">
        <f t="shared" ref="A318" si="504">+A317+1</f>
        <v>80</v>
      </c>
      <c r="B318" s="42" t="str">
        <f>+'libro compras'!$AK$1</f>
        <v>281130</v>
      </c>
      <c r="C318" s="9" t="s">
        <v>0</v>
      </c>
      <c r="D318" s="9"/>
      <c r="E318" s="14" t="str">
        <f>+'libro compras'!S319</f>
        <v/>
      </c>
      <c r="F318" s="9"/>
      <c r="G318" s="4">
        <f>+'libro compras'!AI319</f>
        <v>0</v>
      </c>
      <c r="H318" s="9"/>
      <c r="I318" s="9" t="s">
        <v>33</v>
      </c>
      <c r="J318" s="9" t="str">
        <f>+CONCATENATE('libro compras'!C319," ",'libro compras'!D319)</f>
        <v xml:space="preserve"> </v>
      </c>
      <c r="K318" s="7">
        <f>+'libro compras'!F319</f>
        <v>0</v>
      </c>
      <c r="L318" s="3">
        <f>+'libro compras'!C319</f>
        <v>0</v>
      </c>
      <c r="M318" s="3">
        <f>+'libro compras'!D319</f>
        <v>0</v>
      </c>
      <c r="N318" s="9" t="s">
        <v>34</v>
      </c>
    </row>
    <row r="319" spans="1:14" x14ac:dyDescent="0.25">
      <c r="A319" s="11">
        <f t="shared" ref="A319:A321" si="505">+A318</f>
        <v>80</v>
      </c>
      <c r="B319" s="43" t="str">
        <f>+'libro compras'!$AL$1</f>
        <v>401110</v>
      </c>
      <c r="C319" s="9" t="s">
        <v>0</v>
      </c>
      <c r="D319" s="9"/>
      <c r="E319" s="14" t="str">
        <f t="shared" ref="E319:E321" si="506">+E318</f>
        <v/>
      </c>
      <c r="F319" s="9"/>
      <c r="G319" s="4">
        <f>+'libro compras'!AJ319</f>
        <v>0</v>
      </c>
      <c r="H319" s="9"/>
      <c r="I319" s="9" t="s">
        <v>33</v>
      </c>
      <c r="J319" s="9" t="str">
        <f t="shared" ref="J319:M319" si="507">+J318</f>
        <v xml:space="preserve"> </v>
      </c>
      <c r="K319" s="7">
        <f t="shared" si="507"/>
        <v>0</v>
      </c>
      <c r="L319" s="3">
        <f t="shared" si="507"/>
        <v>0</v>
      </c>
      <c r="M319" s="3">
        <f t="shared" si="507"/>
        <v>0</v>
      </c>
      <c r="N319" s="9" t="s">
        <v>34</v>
      </c>
    </row>
    <row r="320" spans="1:14" x14ac:dyDescent="0.25">
      <c r="A320" s="11">
        <f t="shared" si="505"/>
        <v>80</v>
      </c>
      <c r="B320" s="32">
        <f>+'libro compras'!P319</f>
        <v>0</v>
      </c>
      <c r="C320" s="9" t="s">
        <v>0</v>
      </c>
      <c r="D320" s="9"/>
      <c r="E320" s="14" t="str">
        <f t="shared" si="506"/>
        <v/>
      </c>
      <c r="F320" s="9"/>
      <c r="G320" s="4">
        <f>-'libro compras'!AK319</f>
        <v>0</v>
      </c>
      <c r="H320" s="9"/>
      <c r="I320" s="9" t="s">
        <v>2</v>
      </c>
      <c r="J320" s="9" t="str">
        <f t="shared" ref="J320:M320" si="508">+J319</f>
        <v xml:space="preserve"> </v>
      </c>
      <c r="K320" s="7">
        <f t="shared" si="508"/>
        <v>0</v>
      </c>
      <c r="L320" s="3">
        <f t="shared" si="508"/>
        <v>0</v>
      </c>
      <c r="M320" s="3">
        <f t="shared" si="508"/>
        <v>0</v>
      </c>
      <c r="N320" s="9" t="s">
        <v>34</v>
      </c>
    </row>
    <row r="321" spans="1:14" x14ac:dyDescent="0.25">
      <c r="A321" s="11">
        <f t="shared" si="505"/>
        <v>80</v>
      </c>
      <c r="B321" s="34" t="e">
        <f>+VLOOKUP(B320,Hoja1!$A$1:$B$2,2,FALSE)</f>
        <v>#N/A</v>
      </c>
      <c r="C321" s="9" t="s">
        <v>0</v>
      </c>
      <c r="D321" s="9"/>
      <c r="E321" s="14" t="str">
        <f t="shared" si="506"/>
        <v/>
      </c>
      <c r="F321" s="9"/>
      <c r="G321" s="4">
        <f>-'libro compras'!I319</f>
        <v>0</v>
      </c>
      <c r="H321" s="9"/>
      <c r="I321" s="9" t="s">
        <v>2</v>
      </c>
      <c r="J321" s="9" t="str">
        <f t="shared" ref="J321:M321" si="509">+J320</f>
        <v xml:space="preserve"> </v>
      </c>
      <c r="K321" s="7">
        <f t="shared" si="509"/>
        <v>0</v>
      </c>
      <c r="L321" s="3">
        <f t="shared" si="509"/>
        <v>0</v>
      </c>
      <c r="M321" s="3">
        <f t="shared" si="509"/>
        <v>0</v>
      </c>
      <c r="N321" s="9" t="s">
        <v>34</v>
      </c>
    </row>
    <row r="322" spans="1:14" x14ac:dyDescent="0.25">
      <c r="A322" s="11">
        <f t="shared" si="489"/>
        <v>81</v>
      </c>
      <c r="B322" s="42" t="str">
        <f>+'libro compras'!$AK$1</f>
        <v>281130</v>
      </c>
      <c r="C322" s="9" t="s">
        <v>0</v>
      </c>
      <c r="D322" s="9"/>
      <c r="E322" s="14" t="str">
        <f>+'libro compras'!S323</f>
        <v/>
      </c>
      <c r="F322" s="9"/>
      <c r="G322" s="4">
        <f>+'libro compras'!AI323</f>
        <v>0</v>
      </c>
      <c r="H322" s="9"/>
      <c r="I322" s="9" t="s">
        <v>33</v>
      </c>
      <c r="J322" s="9" t="str">
        <f>+CONCATENATE('libro compras'!C323," ",'libro compras'!D323)</f>
        <v xml:space="preserve"> </v>
      </c>
      <c r="K322" s="7">
        <f t="shared" ref="K322" si="510">+K321</f>
        <v>0</v>
      </c>
      <c r="L322" s="3">
        <f>+'libro compras'!C323</f>
        <v>0</v>
      </c>
      <c r="M322" s="3">
        <f>+'libro compras'!D323</f>
        <v>0</v>
      </c>
      <c r="N322" s="9" t="s">
        <v>34</v>
      </c>
    </row>
    <row r="323" spans="1:14" x14ac:dyDescent="0.25">
      <c r="A323" s="11">
        <f t="shared" si="489"/>
        <v>81</v>
      </c>
      <c r="B323" s="43" t="str">
        <f>+'libro compras'!$AL$1</f>
        <v>401110</v>
      </c>
      <c r="C323" s="9" t="s">
        <v>0</v>
      </c>
      <c r="D323" s="9"/>
      <c r="E323" s="14" t="str">
        <f t="shared" ref="E323:E325" si="511">+E322</f>
        <v/>
      </c>
      <c r="F323" s="9"/>
      <c r="G323" s="4">
        <f>+'libro compras'!AJ323</f>
        <v>0</v>
      </c>
      <c r="H323" s="9"/>
      <c r="I323" s="9" t="s">
        <v>33</v>
      </c>
      <c r="J323" s="9" t="str">
        <f t="shared" ref="J323:K323" si="512">+J322</f>
        <v xml:space="preserve"> </v>
      </c>
      <c r="K323" s="7">
        <f t="shared" si="512"/>
        <v>0</v>
      </c>
      <c r="L323" s="3">
        <f t="shared" ref="L323:L325" si="513">+L322</f>
        <v>0</v>
      </c>
      <c r="M323" s="3">
        <f t="shared" ref="M323:M325" si="514">+M322</f>
        <v>0</v>
      </c>
      <c r="N323" s="9" t="s">
        <v>34</v>
      </c>
    </row>
    <row r="324" spans="1:14" x14ac:dyDescent="0.25">
      <c r="A324" s="11">
        <f t="shared" si="489"/>
        <v>81</v>
      </c>
      <c r="B324" s="32">
        <f>+'libro compras'!P323</f>
        <v>0</v>
      </c>
      <c r="C324" s="9" t="s">
        <v>0</v>
      </c>
      <c r="D324" s="9"/>
      <c r="E324" s="14" t="str">
        <f t="shared" si="511"/>
        <v/>
      </c>
      <c r="F324" s="9"/>
      <c r="G324" s="4">
        <f>-'libro compras'!AK323</f>
        <v>0</v>
      </c>
      <c r="H324" s="9"/>
      <c r="I324" s="9" t="s">
        <v>2</v>
      </c>
      <c r="J324" s="9" t="str">
        <f t="shared" ref="J324:K324" si="515">+J323</f>
        <v xml:space="preserve"> </v>
      </c>
      <c r="K324" s="7">
        <f t="shared" si="515"/>
        <v>0</v>
      </c>
      <c r="L324" s="3">
        <f t="shared" si="513"/>
        <v>0</v>
      </c>
      <c r="M324" s="3">
        <f t="shared" si="514"/>
        <v>0</v>
      </c>
      <c r="N324" s="9" t="s">
        <v>34</v>
      </c>
    </row>
    <row r="325" spans="1:14" x14ac:dyDescent="0.25">
      <c r="A325" s="11">
        <f t="shared" si="489"/>
        <v>81</v>
      </c>
      <c r="B325" s="34" t="e">
        <f>+VLOOKUP(B324,Hoja1!$A$1:$B$2,2,FALSE)</f>
        <v>#N/A</v>
      </c>
      <c r="C325" s="9" t="s">
        <v>0</v>
      </c>
      <c r="D325" s="9"/>
      <c r="E325" s="14" t="str">
        <f t="shared" si="511"/>
        <v/>
      </c>
      <c r="F325" s="9"/>
      <c r="G325" s="4">
        <f>-'libro compras'!I323</f>
        <v>0</v>
      </c>
      <c r="H325" s="9"/>
      <c r="I325" s="9" t="s">
        <v>2</v>
      </c>
      <c r="J325" s="9" t="str">
        <f t="shared" ref="J325:K325" si="516">+J324</f>
        <v xml:space="preserve"> </v>
      </c>
      <c r="K325" s="7">
        <f t="shared" si="516"/>
        <v>0</v>
      </c>
      <c r="L325" s="3">
        <f t="shared" si="513"/>
        <v>0</v>
      </c>
      <c r="M325" s="3">
        <f t="shared" si="514"/>
        <v>0</v>
      </c>
      <c r="N325" s="9" t="s">
        <v>34</v>
      </c>
    </row>
    <row r="326" spans="1:14" x14ac:dyDescent="0.25">
      <c r="A326" s="11">
        <f t="shared" si="489"/>
        <v>82</v>
      </c>
      <c r="B326" s="42" t="str">
        <f>+'libro compras'!$AK$1</f>
        <v>281130</v>
      </c>
      <c r="C326" s="9" t="s">
        <v>0</v>
      </c>
      <c r="D326" s="9"/>
      <c r="E326" s="14" t="str">
        <f>+'libro compras'!S327</f>
        <v/>
      </c>
      <c r="F326" s="9"/>
      <c r="G326" s="4">
        <f>+'libro compras'!AI327</f>
        <v>0</v>
      </c>
      <c r="H326" s="9"/>
      <c r="I326" s="9" t="s">
        <v>33</v>
      </c>
      <c r="J326" s="9" t="str">
        <f>+CONCATENATE('libro compras'!C327," ",'libro compras'!D327)</f>
        <v xml:space="preserve"> </v>
      </c>
      <c r="K326" s="7">
        <f t="shared" ref="K326" si="517">+K325</f>
        <v>0</v>
      </c>
      <c r="L326" s="3">
        <f>+'libro compras'!C327</f>
        <v>0</v>
      </c>
      <c r="M326" s="3">
        <f>+'libro compras'!D327</f>
        <v>0</v>
      </c>
      <c r="N326" s="9" t="s">
        <v>34</v>
      </c>
    </row>
    <row r="327" spans="1:14" x14ac:dyDescent="0.25">
      <c r="A327" s="11">
        <f t="shared" si="489"/>
        <v>82</v>
      </c>
      <c r="B327" s="43" t="str">
        <f>+'libro compras'!$AL$1</f>
        <v>401110</v>
      </c>
      <c r="C327" s="9" t="s">
        <v>0</v>
      </c>
      <c r="D327" s="9"/>
      <c r="E327" s="14" t="str">
        <f t="shared" ref="E327:E329" si="518">+E326</f>
        <v/>
      </c>
      <c r="F327" s="9"/>
      <c r="G327" s="4">
        <f>+'libro compras'!AJ327</f>
        <v>0</v>
      </c>
      <c r="H327" s="9"/>
      <c r="I327" s="9" t="s">
        <v>33</v>
      </c>
      <c r="J327" s="9" t="str">
        <f t="shared" ref="J327:K327" si="519">+J326</f>
        <v xml:space="preserve"> </v>
      </c>
      <c r="K327" s="7">
        <f t="shared" si="519"/>
        <v>0</v>
      </c>
      <c r="L327" s="3">
        <f t="shared" ref="L327:L329" si="520">+L326</f>
        <v>0</v>
      </c>
      <c r="M327" s="3">
        <f t="shared" ref="M327:M329" si="521">+M326</f>
        <v>0</v>
      </c>
      <c r="N327" s="9" t="s">
        <v>34</v>
      </c>
    </row>
    <row r="328" spans="1:14" x14ac:dyDescent="0.25">
      <c r="A328" s="11">
        <f t="shared" si="489"/>
        <v>82</v>
      </c>
      <c r="B328" s="32">
        <f>+'libro compras'!P327</f>
        <v>0</v>
      </c>
      <c r="C328" s="9" t="s">
        <v>0</v>
      </c>
      <c r="D328" s="9"/>
      <c r="E328" s="14" t="str">
        <f t="shared" si="518"/>
        <v/>
      </c>
      <c r="F328" s="9"/>
      <c r="G328" s="4">
        <f>-'libro compras'!AK327</f>
        <v>0</v>
      </c>
      <c r="H328" s="9"/>
      <c r="I328" s="9" t="s">
        <v>2</v>
      </c>
      <c r="J328" s="9" t="str">
        <f t="shared" ref="J328:K328" si="522">+J327</f>
        <v xml:space="preserve"> </v>
      </c>
      <c r="K328" s="7">
        <f t="shared" si="522"/>
        <v>0</v>
      </c>
      <c r="L328" s="3">
        <f t="shared" si="520"/>
        <v>0</v>
      </c>
      <c r="M328" s="3">
        <f t="shared" si="521"/>
        <v>0</v>
      </c>
      <c r="N328" s="9" t="s">
        <v>34</v>
      </c>
    </row>
    <row r="329" spans="1:14" x14ac:dyDescent="0.25">
      <c r="A329" s="11">
        <f t="shared" si="489"/>
        <v>82</v>
      </c>
      <c r="B329" s="34" t="e">
        <f>+VLOOKUP(B328,Hoja1!$A$1:$B$2,2,FALSE)</f>
        <v>#N/A</v>
      </c>
      <c r="C329" s="9" t="s">
        <v>0</v>
      </c>
      <c r="D329" s="9"/>
      <c r="E329" s="14" t="str">
        <f t="shared" si="518"/>
        <v/>
      </c>
      <c r="F329" s="9"/>
      <c r="G329" s="4">
        <f>-'libro compras'!I327</f>
        <v>0</v>
      </c>
      <c r="H329" s="9"/>
      <c r="I329" s="9" t="s">
        <v>2</v>
      </c>
      <c r="J329" s="9" t="str">
        <f t="shared" ref="J329:K329" si="523">+J328</f>
        <v xml:space="preserve"> </v>
      </c>
      <c r="K329" s="7">
        <f t="shared" si="523"/>
        <v>0</v>
      </c>
      <c r="L329" s="3">
        <f t="shared" si="520"/>
        <v>0</v>
      </c>
      <c r="M329" s="3">
        <f t="shared" si="521"/>
        <v>0</v>
      </c>
      <c r="N329" s="9" t="s">
        <v>34</v>
      </c>
    </row>
    <row r="330" spans="1:14" x14ac:dyDescent="0.25">
      <c r="A330" s="11">
        <f t="shared" ref="A330" si="524">+A329+1</f>
        <v>83</v>
      </c>
      <c r="B330" s="42" t="str">
        <f>+'libro compras'!$AK$1</f>
        <v>281130</v>
      </c>
      <c r="C330" s="9" t="s">
        <v>0</v>
      </c>
      <c r="D330" s="9"/>
      <c r="E330" s="14" t="str">
        <f>+'libro compras'!S331</f>
        <v/>
      </c>
      <c r="F330" s="9"/>
      <c r="G330" s="4">
        <f>+'libro compras'!AI331</f>
        <v>0</v>
      </c>
      <c r="H330" s="9"/>
      <c r="I330" s="9" t="s">
        <v>33</v>
      </c>
      <c r="J330" s="9" t="str">
        <f>+CONCATENATE('libro compras'!C331," ",'libro compras'!D331)</f>
        <v xml:space="preserve"> </v>
      </c>
      <c r="K330" s="7">
        <f>+'libro compras'!F331</f>
        <v>0</v>
      </c>
      <c r="L330" s="3">
        <f>+'libro compras'!C331</f>
        <v>0</v>
      </c>
      <c r="M330" s="3">
        <f>+'libro compras'!D331</f>
        <v>0</v>
      </c>
      <c r="N330" s="9" t="s">
        <v>34</v>
      </c>
    </row>
    <row r="331" spans="1:14" x14ac:dyDescent="0.25">
      <c r="A331" s="11">
        <f t="shared" ref="A331:A333" si="525">+A330</f>
        <v>83</v>
      </c>
      <c r="B331" s="43" t="str">
        <f>+'libro compras'!$AL$1</f>
        <v>401110</v>
      </c>
      <c r="C331" s="9" t="s">
        <v>0</v>
      </c>
      <c r="D331" s="9"/>
      <c r="E331" s="14" t="str">
        <f t="shared" ref="E331:E333" si="526">+E330</f>
        <v/>
      </c>
      <c r="F331" s="9"/>
      <c r="G331" s="4">
        <f>+'libro compras'!AJ331</f>
        <v>0</v>
      </c>
      <c r="H331" s="9"/>
      <c r="I331" s="9" t="s">
        <v>33</v>
      </c>
      <c r="J331" s="9" t="str">
        <f t="shared" ref="J331:M331" si="527">+J330</f>
        <v xml:space="preserve"> </v>
      </c>
      <c r="K331" s="7">
        <f t="shared" si="527"/>
        <v>0</v>
      </c>
      <c r="L331" s="3">
        <f t="shared" si="527"/>
        <v>0</v>
      </c>
      <c r="M331" s="3">
        <f t="shared" si="527"/>
        <v>0</v>
      </c>
      <c r="N331" s="9" t="s">
        <v>34</v>
      </c>
    </row>
    <row r="332" spans="1:14" x14ac:dyDescent="0.25">
      <c r="A332" s="11">
        <f t="shared" si="525"/>
        <v>83</v>
      </c>
      <c r="B332" s="32">
        <f>+'libro compras'!P331</f>
        <v>0</v>
      </c>
      <c r="C332" s="9" t="s">
        <v>0</v>
      </c>
      <c r="D332" s="9"/>
      <c r="E332" s="14" t="str">
        <f t="shared" si="526"/>
        <v/>
      </c>
      <c r="F332" s="9"/>
      <c r="G332" s="4">
        <f>-'libro compras'!AK331</f>
        <v>0</v>
      </c>
      <c r="H332" s="9"/>
      <c r="I332" s="9" t="s">
        <v>2</v>
      </c>
      <c r="J332" s="9" t="str">
        <f t="shared" ref="J332:M332" si="528">+J331</f>
        <v xml:space="preserve"> </v>
      </c>
      <c r="K332" s="7">
        <f t="shared" si="528"/>
        <v>0</v>
      </c>
      <c r="L332" s="3">
        <f t="shared" si="528"/>
        <v>0</v>
      </c>
      <c r="M332" s="3">
        <f t="shared" si="528"/>
        <v>0</v>
      </c>
      <c r="N332" s="9" t="s">
        <v>34</v>
      </c>
    </row>
    <row r="333" spans="1:14" x14ac:dyDescent="0.25">
      <c r="A333" s="11">
        <f t="shared" si="525"/>
        <v>83</v>
      </c>
      <c r="B333" s="34" t="e">
        <f>+VLOOKUP(B332,Hoja1!$A$1:$B$2,2,FALSE)</f>
        <v>#N/A</v>
      </c>
      <c r="C333" s="9" t="s">
        <v>0</v>
      </c>
      <c r="D333" s="9"/>
      <c r="E333" s="14" t="str">
        <f t="shared" si="526"/>
        <v/>
      </c>
      <c r="F333" s="9"/>
      <c r="G333" s="4">
        <f>-'libro compras'!I331</f>
        <v>0</v>
      </c>
      <c r="H333" s="9"/>
      <c r="I333" s="9" t="s">
        <v>2</v>
      </c>
      <c r="J333" s="9" t="str">
        <f t="shared" ref="J333:M333" si="529">+J332</f>
        <v xml:space="preserve"> </v>
      </c>
      <c r="K333" s="7">
        <f t="shared" si="529"/>
        <v>0</v>
      </c>
      <c r="L333" s="3">
        <f t="shared" si="529"/>
        <v>0</v>
      </c>
      <c r="M333" s="3">
        <f t="shared" si="529"/>
        <v>0</v>
      </c>
      <c r="N333" s="9" t="s">
        <v>34</v>
      </c>
    </row>
    <row r="334" spans="1:14" x14ac:dyDescent="0.25">
      <c r="A334" s="11">
        <f t="shared" si="489"/>
        <v>84</v>
      </c>
      <c r="B334" s="42" t="str">
        <f>+'libro compras'!$AK$1</f>
        <v>281130</v>
      </c>
      <c r="C334" s="9" t="s">
        <v>0</v>
      </c>
      <c r="D334" s="9"/>
      <c r="E334" s="14" t="str">
        <f>+'libro compras'!S335</f>
        <v/>
      </c>
      <c r="F334" s="9"/>
      <c r="G334" s="4">
        <f>+'libro compras'!AI335</f>
        <v>0</v>
      </c>
      <c r="H334" s="9"/>
      <c r="I334" s="9" t="s">
        <v>33</v>
      </c>
      <c r="J334" s="9" t="str">
        <f>+CONCATENATE('libro compras'!C335," ",'libro compras'!D335)</f>
        <v xml:space="preserve"> </v>
      </c>
      <c r="K334" s="7">
        <f t="shared" ref="K334" si="530">+K333</f>
        <v>0</v>
      </c>
      <c r="L334" s="3">
        <f>+'libro compras'!C335</f>
        <v>0</v>
      </c>
      <c r="M334" s="3">
        <f>+'libro compras'!D335</f>
        <v>0</v>
      </c>
      <c r="N334" s="9" t="s">
        <v>34</v>
      </c>
    </row>
    <row r="335" spans="1:14" x14ac:dyDescent="0.25">
      <c r="A335" s="11">
        <f t="shared" si="489"/>
        <v>84</v>
      </c>
      <c r="B335" s="43" t="str">
        <f>+'libro compras'!$AL$1</f>
        <v>401110</v>
      </c>
      <c r="C335" s="9" t="s">
        <v>0</v>
      </c>
      <c r="D335" s="9"/>
      <c r="E335" s="14" t="str">
        <f t="shared" ref="E335:E337" si="531">+E334</f>
        <v/>
      </c>
      <c r="F335" s="9"/>
      <c r="G335" s="4">
        <f>+'libro compras'!AJ335</f>
        <v>0</v>
      </c>
      <c r="H335" s="9"/>
      <c r="I335" s="9" t="s">
        <v>33</v>
      </c>
      <c r="J335" s="9" t="str">
        <f t="shared" ref="J335:K335" si="532">+J334</f>
        <v xml:space="preserve"> </v>
      </c>
      <c r="K335" s="7">
        <f t="shared" si="532"/>
        <v>0</v>
      </c>
      <c r="L335" s="3">
        <f t="shared" ref="L335:L337" si="533">+L334</f>
        <v>0</v>
      </c>
      <c r="M335" s="3">
        <f t="shared" ref="M335:M337" si="534">+M334</f>
        <v>0</v>
      </c>
      <c r="N335" s="9" t="s">
        <v>34</v>
      </c>
    </row>
    <row r="336" spans="1:14" x14ac:dyDescent="0.25">
      <c r="A336" s="11">
        <f t="shared" si="489"/>
        <v>84</v>
      </c>
      <c r="B336" s="32">
        <f>+'libro compras'!P335</f>
        <v>0</v>
      </c>
      <c r="C336" s="9" t="s">
        <v>0</v>
      </c>
      <c r="D336" s="9"/>
      <c r="E336" s="14" t="str">
        <f t="shared" si="531"/>
        <v/>
      </c>
      <c r="F336" s="9"/>
      <c r="G336" s="4">
        <f>-'libro compras'!AK335</f>
        <v>0</v>
      </c>
      <c r="H336" s="9"/>
      <c r="I336" s="9" t="s">
        <v>2</v>
      </c>
      <c r="J336" s="9" t="str">
        <f t="shared" ref="J336:K336" si="535">+J335</f>
        <v xml:space="preserve"> </v>
      </c>
      <c r="K336" s="7">
        <f t="shared" si="535"/>
        <v>0</v>
      </c>
      <c r="L336" s="3">
        <f t="shared" si="533"/>
        <v>0</v>
      </c>
      <c r="M336" s="3">
        <f t="shared" si="534"/>
        <v>0</v>
      </c>
      <c r="N336" s="9" t="s">
        <v>34</v>
      </c>
    </row>
    <row r="337" spans="1:14" x14ac:dyDescent="0.25">
      <c r="A337" s="11">
        <f t="shared" si="489"/>
        <v>84</v>
      </c>
      <c r="B337" s="34" t="e">
        <f>+VLOOKUP(B336,Hoja1!$A$1:$B$2,2,FALSE)</f>
        <v>#N/A</v>
      </c>
      <c r="C337" s="9" t="s">
        <v>0</v>
      </c>
      <c r="D337" s="9"/>
      <c r="E337" s="14" t="str">
        <f t="shared" si="531"/>
        <v/>
      </c>
      <c r="F337" s="9"/>
      <c r="G337" s="4">
        <f>-'libro compras'!I335</f>
        <v>0</v>
      </c>
      <c r="H337" s="9"/>
      <c r="I337" s="9" t="s">
        <v>2</v>
      </c>
      <c r="J337" s="9" t="str">
        <f t="shared" ref="J337:K337" si="536">+J336</f>
        <v xml:space="preserve"> </v>
      </c>
      <c r="K337" s="7">
        <f t="shared" si="536"/>
        <v>0</v>
      </c>
      <c r="L337" s="3">
        <f t="shared" si="533"/>
        <v>0</v>
      </c>
      <c r="M337" s="3">
        <f t="shared" si="534"/>
        <v>0</v>
      </c>
      <c r="N337" s="9" t="s">
        <v>34</v>
      </c>
    </row>
    <row r="338" spans="1:14" x14ac:dyDescent="0.25">
      <c r="A338" s="11">
        <f t="shared" si="489"/>
        <v>85</v>
      </c>
      <c r="B338" s="42" t="str">
        <f>+'libro compras'!$AK$1</f>
        <v>281130</v>
      </c>
      <c r="C338" s="9" t="s">
        <v>0</v>
      </c>
      <c r="D338" s="9"/>
      <c r="E338" s="14" t="str">
        <f>+'libro compras'!S339</f>
        <v/>
      </c>
      <c r="F338" s="9"/>
      <c r="G338" s="4">
        <f>+'libro compras'!AI339</f>
        <v>0</v>
      </c>
      <c r="H338" s="9"/>
      <c r="I338" s="9" t="s">
        <v>33</v>
      </c>
      <c r="J338" s="9" t="str">
        <f>+CONCATENATE('libro compras'!C339," ",'libro compras'!D339)</f>
        <v xml:space="preserve"> </v>
      </c>
      <c r="K338" s="7">
        <f t="shared" ref="K338" si="537">+K337</f>
        <v>0</v>
      </c>
      <c r="L338" s="3">
        <f>+'libro compras'!C339</f>
        <v>0</v>
      </c>
      <c r="M338" s="3">
        <f>+'libro compras'!D339</f>
        <v>0</v>
      </c>
      <c r="N338" s="9" t="s">
        <v>34</v>
      </c>
    </row>
    <row r="339" spans="1:14" x14ac:dyDescent="0.25">
      <c r="A339" s="11">
        <f t="shared" si="489"/>
        <v>85</v>
      </c>
      <c r="B339" s="43" t="str">
        <f>+'libro compras'!$AL$1</f>
        <v>401110</v>
      </c>
      <c r="C339" s="9" t="s">
        <v>0</v>
      </c>
      <c r="D339" s="9"/>
      <c r="E339" s="14" t="str">
        <f t="shared" ref="E339:E341" si="538">+E338</f>
        <v/>
      </c>
      <c r="F339" s="9"/>
      <c r="G339" s="4">
        <f>+'libro compras'!AJ339</f>
        <v>0</v>
      </c>
      <c r="H339" s="9"/>
      <c r="I339" s="9" t="s">
        <v>33</v>
      </c>
      <c r="J339" s="9" t="str">
        <f t="shared" ref="J339:K339" si="539">+J338</f>
        <v xml:space="preserve"> </v>
      </c>
      <c r="K339" s="7">
        <f t="shared" si="539"/>
        <v>0</v>
      </c>
      <c r="L339" s="3">
        <f t="shared" ref="L339:L341" si="540">+L338</f>
        <v>0</v>
      </c>
      <c r="M339" s="3">
        <f t="shared" ref="M339:M341" si="541">+M338</f>
        <v>0</v>
      </c>
      <c r="N339" s="9" t="s">
        <v>34</v>
      </c>
    </row>
    <row r="340" spans="1:14" x14ac:dyDescent="0.25">
      <c r="A340" s="11">
        <f t="shared" si="489"/>
        <v>85</v>
      </c>
      <c r="B340" s="32">
        <f>+'libro compras'!P339</f>
        <v>0</v>
      </c>
      <c r="C340" s="9" t="s">
        <v>0</v>
      </c>
      <c r="D340" s="9"/>
      <c r="E340" s="14" t="str">
        <f t="shared" si="538"/>
        <v/>
      </c>
      <c r="F340" s="9"/>
      <c r="G340" s="4">
        <f>-'libro compras'!AK339</f>
        <v>0</v>
      </c>
      <c r="H340" s="9"/>
      <c r="I340" s="9" t="s">
        <v>2</v>
      </c>
      <c r="J340" s="9" t="str">
        <f t="shared" ref="J340:K340" si="542">+J339</f>
        <v xml:space="preserve"> </v>
      </c>
      <c r="K340" s="7">
        <f t="shared" si="542"/>
        <v>0</v>
      </c>
      <c r="L340" s="3">
        <f t="shared" si="540"/>
        <v>0</v>
      </c>
      <c r="M340" s="3">
        <f t="shared" si="541"/>
        <v>0</v>
      </c>
      <c r="N340" s="9" t="s">
        <v>34</v>
      </c>
    </row>
    <row r="341" spans="1:14" x14ac:dyDescent="0.25">
      <c r="A341" s="11">
        <f t="shared" si="489"/>
        <v>85</v>
      </c>
      <c r="B341" s="34" t="e">
        <f>+VLOOKUP(B340,Hoja1!$A$1:$B$2,2,FALSE)</f>
        <v>#N/A</v>
      </c>
      <c r="C341" s="9" t="s">
        <v>0</v>
      </c>
      <c r="D341" s="9"/>
      <c r="E341" s="14" t="str">
        <f t="shared" si="538"/>
        <v/>
      </c>
      <c r="F341" s="9"/>
      <c r="G341" s="4">
        <f>-'libro compras'!I339</f>
        <v>0</v>
      </c>
      <c r="H341" s="9"/>
      <c r="I341" s="9" t="s">
        <v>2</v>
      </c>
      <c r="J341" s="9" t="str">
        <f t="shared" ref="J341:K341" si="543">+J340</f>
        <v xml:space="preserve"> </v>
      </c>
      <c r="K341" s="7">
        <f t="shared" si="543"/>
        <v>0</v>
      </c>
      <c r="L341" s="3">
        <f t="shared" si="540"/>
        <v>0</v>
      </c>
      <c r="M341" s="3">
        <f t="shared" si="541"/>
        <v>0</v>
      </c>
      <c r="N341" s="9" t="s">
        <v>34</v>
      </c>
    </row>
    <row r="342" spans="1:14" x14ac:dyDescent="0.25">
      <c r="A342" s="11">
        <f t="shared" ref="A342" si="544">+A341+1</f>
        <v>86</v>
      </c>
      <c r="B342" s="42" t="str">
        <f>+'libro compras'!$AK$1</f>
        <v>281130</v>
      </c>
      <c r="C342" s="9" t="s">
        <v>0</v>
      </c>
      <c r="D342" s="9"/>
      <c r="E342" s="14" t="str">
        <f>+'libro compras'!S343</f>
        <v/>
      </c>
      <c r="F342" s="9"/>
      <c r="G342" s="4">
        <f>+'libro compras'!AI343</f>
        <v>0</v>
      </c>
      <c r="H342" s="9"/>
      <c r="I342" s="9" t="s">
        <v>33</v>
      </c>
      <c r="J342" s="9" t="str">
        <f>+CONCATENATE('libro compras'!C343," ",'libro compras'!D343)</f>
        <v xml:space="preserve"> </v>
      </c>
      <c r="K342" s="7">
        <f>+'libro compras'!F343</f>
        <v>0</v>
      </c>
      <c r="L342" s="3">
        <f>+'libro compras'!C343</f>
        <v>0</v>
      </c>
      <c r="M342" s="3">
        <f>+'libro compras'!D343</f>
        <v>0</v>
      </c>
      <c r="N342" s="9" t="s">
        <v>34</v>
      </c>
    </row>
    <row r="343" spans="1:14" x14ac:dyDescent="0.25">
      <c r="A343" s="11">
        <f t="shared" ref="A343:A345" si="545">+A342</f>
        <v>86</v>
      </c>
      <c r="B343" s="43" t="str">
        <f>+'libro compras'!$AL$1</f>
        <v>401110</v>
      </c>
      <c r="C343" s="9" t="s">
        <v>0</v>
      </c>
      <c r="D343" s="9"/>
      <c r="E343" s="14" t="str">
        <f t="shared" ref="E343:E345" si="546">+E342</f>
        <v/>
      </c>
      <c r="F343" s="9"/>
      <c r="G343" s="4">
        <f>+'libro compras'!AJ343</f>
        <v>0</v>
      </c>
      <c r="H343" s="9"/>
      <c r="I343" s="9" t="s">
        <v>33</v>
      </c>
      <c r="J343" s="9" t="str">
        <f t="shared" ref="J343:M343" si="547">+J342</f>
        <v xml:space="preserve"> </v>
      </c>
      <c r="K343" s="7">
        <f t="shared" si="547"/>
        <v>0</v>
      </c>
      <c r="L343" s="3">
        <f t="shared" si="547"/>
        <v>0</v>
      </c>
      <c r="M343" s="3">
        <f t="shared" si="547"/>
        <v>0</v>
      </c>
      <c r="N343" s="9" t="s">
        <v>34</v>
      </c>
    </row>
    <row r="344" spans="1:14" x14ac:dyDescent="0.25">
      <c r="A344" s="11">
        <f t="shared" si="545"/>
        <v>86</v>
      </c>
      <c r="B344" s="32">
        <f>+'libro compras'!P343</f>
        <v>0</v>
      </c>
      <c r="C344" s="9" t="s">
        <v>0</v>
      </c>
      <c r="D344" s="9"/>
      <c r="E344" s="14" t="str">
        <f t="shared" si="546"/>
        <v/>
      </c>
      <c r="F344" s="9"/>
      <c r="G344" s="4">
        <f>-'libro compras'!AK343</f>
        <v>0</v>
      </c>
      <c r="H344" s="9"/>
      <c r="I344" s="9" t="s">
        <v>2</v>
      </c>
      <c r="J344" s="9" t="str">
        <f t="shared" ref="J344:M344" si="548">+J343</f>
        <v xml:space="preserve"> </v>
      </c>
      <c r="K344" s="7">
        <f t="shared" si="548"/>
        <v>0</v>
      </c>
      <c r="L344" s="3">
        <f t="shared" si="548"/>
        <v>0</v>
      </c>
      <c r="M344" s="3">
        <f t="shared" si="548"/>
        <v>0</v>
      </c>
      <c r="N344" s="9" t="s">
        <v>34</v>
      </c>
    </row>
    <row r="345" spans="1:14" x14ac:dyDescent="0.25">
      <c r="A345" s="11">
        <f t="shared" si="545"/>
        <v>86</v>
      </c>
      <c r="B345" s="34" t="e">
        <f>+VLOOKUP(B344,Hoja1!$A$1:$B$2,2,FALSE)</f>
        <v>#N/A</v>
      </c>
      <c r="C345" s="9" t="s">
        <v>0</v>
      </c>
      <c r="D345" s="9"/>
      <c r="E345" s="14" t="str">
        <f t="shared" si="546"/>
        <v/>
      </c>
      <c r="F345" s="9"/>
      <c r="G345" s="4">
        <f>-'libro compras'!I343</f>
        <v>0</v>
      </c>
      <c r="H345" s="9"/>
      <c r="I345" s="9" t="s">
        <v>2</v>
      </c>
      <c r="J345" s="9" t="str">
        <f t="shared" ref="J345:M345" si="549">+J344</f>
        <v xml:space="preserve"> </v>
      </c>
      <c r="K345" s="7">
        <f t="shared" si="549"/>
        <v>0</v>
      </c>
      <c r="L345" s="3">
        <f t="shared" si="549"/>
        <v>0</v>
      </c>
      <c r="M345" s="3">
        <f t="shared" si="549"/>
        <v>0</v>
      </c>
      <c r="N345" s="9" t="s">
        <v>34</v>
      </c>
    </row>
    <row r="346" spans="1:14" x14ac:dyDescent="0.25">
      <c r="A346" s="11">
        <f t="shared" si="489"/>
        <v>87</v>
      </c>
      <c r="B346" s="42" t="str">
        <f>+'libro compras'!$AK$1</f>
        <v>281130</v>
      </c>
      <c r="C346" s="9" t="s">
        <v>0</v>
      </c>
      <c r="D346" s="9"/>
      <c r="E346" s="14" t="str">
        <f>+'libro compras'!S347</f>
        <v/>
      </c>
      <c r="F346" s="9"/>
      <c r="G346" s="4">
        <f>+'libro compras'!AI347</f>
        <v>0</v>
      </c>
      <c r="H346" s="9"/>
      <c r="I346" s="9" t="s">
        <v>33</v>
      </c>
      <c r="J346" s="9" t="str">
        <f>+CONCATENATE('libro compras'!C347," ",'libro compras'!D347)</f>
        <v xml:space="preserve"> </v>
      </c>
      <c r="K346" s="7">
        <f t="shared" ref="K346" si="550">+K345</f>
        <v>0</v>
      </c>
      <c r="L346" s="3">
        <f>+'libro compras'!C347</f>
        <v>0</v>
      </c>
      <c r="M346" s="3">
        <f>+'libro compras'!D347</f>
        <v>0</v>
      </c>
      <c r="N346" s="9" t="s">
        <v>34</v>
      </c>
    </row>
    <row r="347" spans="1:14" x14ac:dyDescent="0.25">
      <c r="A347" s="11">
        <f t="shared" si="489"/>
        <v>87</v>
      </c>
      <c r="B347" s="43" t="str">
        <f>+'libro compras'!$AL$1</f>
        <v>401110</v>
      </c>
      <c r="C347" s="9" t="s">
        <v>0</v>
      </c>
      <c r="D347" s="9"/>
      <c r="E347" s="14" t="str">
        <f t="shared" ref="E347:E349" si="551">+E346</f>
        <v/>
      </c>
      <c r="F347" s="9"/>
      <c r="G347" s="4">
        <f>+'libro compras'!AJ347</f>
        <v>0</v>
      </c>
      <c r="H347" s="9"/>
      <c r="I347" s="9" t="s">
        <v>33</v>
      </c>
      <c r="J347" s="9" t="str">
        <f t="shared" ref="J347:K347" si="552">+J346</f>
        <v xml:space="preserve"> </v>
      </c>
      <c r="K347" s="7">
        <f t="shared" si="552"/>
        <v>0</v>
      </c>
      <c r="L347" s="3">
        <f t="shared" ref="L347:L349" si="553">+L346</f>
        <v>0</v>
      </c>
      <c r="M347" s="3">
        <f t="shared" ref="M347:M349" si="554">+M346</f>
        <v>0</v>
      </c>
      <c r="N347" s="9" t="s">
        <v>34</v>
      </c>
    </row>
    <row r="348" spans="1:14" x14ac:dyDescent="0.25">
      <c r="A348" s="11">
        <f t="shared" si="489"/>
        <v>87</v>
      </c>
      <c r="B348" s="32">
        <f>+'libro compras'!P347</f>
        <v>0</v>
      </c>
      <c r="C348" s="9" t="s">
        <v>0</v>
      </c>
      <c r="D348" s="9"/>
      <c r="E348" s="14" t="str">
        <f t="shared" si="551"/>
        <v/>
      </c>
      <c r="F348" s="9"/>
      <c r="G348" s="4">
        <f>-'libro compras'!AK347</f>
        <v>0</v>
      </c>
      <c r="H348" s="9"/>
      <c r="I348" s="9" t="s">
        <v>2</v>
      </c>
      <c r="J348" s="9" t="str">
        <f t="shared" ref="J348:K348" si="555">+J347</f>
        <v xml:space="preserve"> </v>
      </c>
      <c r="K348" s="7">
        <f t="shared" si="555"/>
        <v>0</v>
      </c>
      <c r="L348" s="3">
        <f t="shared" si="553"/>
        <v>0</v>
      </c>
      <c r="M348" s="3">
        <f t="shared" si="554"/>
        <v>0</v>
      </c>
      <c r="N348" s="9" t="s">
        <v>34</v>
      </c>
    </row>
    <row r="349" spans="1:14" x14ac:dyDescent="0.25">
      <c r="A349" s="11">
        <f t="shared" si="489"/>
        <v>87</v>
      </c>
      <c r="B349" s="34" t="e">
        <f>+VLOOKUP(B348,Hoja1!$A$1:$B$2,2,FALSE)</f>
        <v>#N/A</v>
      </c>
      <c r="C349" s="9" t="s">
        <v>0</v>
      </c>
      <c r="D349" s="9"/>
      <c r="E349" s="14" t="str">
        <f t="shared" si="551"/>
        <v/>
      </c>
      <c r="F349" s="9"/>
      <c r="G349" s="4">
        <f>-'libro compras'!I347</f>
        <v>0</v>
      </c>
      <c r="H349" s="9"/>
      <c r="I349" s="9" t="s">
        <v>2</v>
      </c>
      <c r="J349" s="9" t="str">
        <f t="shared" ref="J349:K349" si="556">+J348</f>
        <v xml:space="preserve"> </v>
      </c>
      <c r="K349" s="7">
        <f t="shared" si="556"/>
        <v>0</v>
      </c>
      <c r="L349" s="3">
        <f t="shared" si="553"/>
        <v>0</v>
      </c>
      <c r="M349" s="3">
        <f t="shared" si="554"/>
        <v>0</v>
      </c>
      <c r="N349" s="9" t="s">
        <v>34</v>
      </c>
    </row>
    <row r="350" spans="1:14" x14ac:dyDescent="0.25">
      <c r="A350" s="11">
        <f t="shared" si="489"/>
        <v>88</v>
      </c>
      <c r="B350" s="42" t="str">
        <f>+'libro compras'!$AK$1</f>
        <v>281130</v>
      </c>
      <c r="C350" s="9" t="s">
        <v>0</v>
      </c>
      <c r="D350" s="9"/>
      <c r="E350" s="14" t="str">
        <f>+'libro compras'!S351</f>
        <v/>
      </c>
      <c r="F350" s="9"/>
      <c r="G350" s="4">
        <f>+'libro compras'!AI351</f>
        <v>0</v>
      </c>
      <c r="H350" s="9"/>
      <c r="I350" s="9" t="s">
        <v>33</v>
      </c>
      <c r="J350" s="9" t="str">
        <f>+CONCATENATE('libro compras'!C351," ",'libro compras'!D351)</f>
        <v xml:space="preserve"> </v>
      </c>
      <c r="K350" s="7">
        <f t="shared" ref="K350" si="557">+K349</f>
        <v>0</v>
      </c>
      <c r="L350" s="3">
        <f>+'libro compras'!C351</f>
        <v>0</v>
      </c>
      <c r="M350" s="3">
        <f>+'libro compras'!D351</f>
        <v>0</v>
      </c>
      <c r="N350" s="9" t="s">
        <v>34</v>
      </c>
    </row>
    <row r="351" spans="1:14" x14ac:dyDescent="0.25">
      <c r="A351" s="11">
        <f t="shared" si="489"/>
        <v>88</v>
      </c>
      <c r="B351" s="43" t="str">
        <f>+'libro compras'!$AL$1</f>
        <v>401110</v>
      </c>
      <c r="C351" s="9" t="s">
        <v>0</v>
      </c>
      <c r="D351" s="9"/>
      <c r="E351" s="14" t="str">
        <f t="shared" ref="E351:E353" si="558">+E350</f>
        <v/>
      </c>
      <c r="F351" s="9"/>
      <c r="G351" s="4">
        <f>+'libro compras'!AJ351</f>
        <v>0</v>
      </c>
      <c r="H351" s="9"/>
      <c r="I351" s="9" t="s">
        <v>33</v>
      </c>
      <c r="J351" s="9" t="str">
        <f t="shared" ref="J351:K351" si="559">+J350</f>
        <v xml:space="preserve"> </v>
      </c>
      <c r="K351" s="7">
        <f t="shared" si="559"/>
        <v>0</v>
      </c>
      <c r="L351" s="3">
        <f t="shared" ref="L351:L353" si="560">+L350</f>
        <v>0</v>
      </c>
      <c r="M351" s="3">
        <f t="shared" ref="M351:M353" si="561">+M350</f>
        <v>0</v>
      </c>
      <c r="N351" s="9" t="s">
        <v>34</v>
      </c>
    </row>
    <row r="352" spans="1:14" x14ac:dyDescent="0.25">
      <c r="A352" s="11">
        <f t="shared" si="489"/>
        <v>88</v>
      </c>
      <c r="B352" s="32">
        <f>+'libro compras'!P351</f>
        <v>0</v>
      </c>
      <c r="C352" s="9" t="s">
        <v>0</v>
      </c>
      <c r="D352" s="9"/>
      <c r="E352" s="14" t="str">
        <f t="shared" si="558"/>
        <v/>
      </c>
      <c r="F352" s="9"/>
      <c r="G352" s="4">
        <f>-'libro compras'!AK351</f>
        <v>0</v>
      </c>
      <c r="H352" s="9"/>
      <c r="I352" s="9" t="s">
        <v>2</v>
      </c>
      <c r="J352" s="9" t="str">
        <f t="shared" ref="J352:K352" si="562">+J351</f>
        <v xml:space="preserve"> </v>
      </c>
      <c r="K352" s="7">
        <f t="shared" si="562"/>
        <v>0</v>
      </c>
      <c r="L352" s="3">
        <f t="shared" si="560"/>
        <v>0</v>
      </c>
      <c r="M352" s="3">
        <f t="shared" si="561"/>
        <v>0</v>
      </c>
      <c r="N352" s="9" t="s">
        <v>34</v>
      </c>
    </row>
    <row r="353" spans="1:14" x14ac:dyDescent="0.25">
      <c r="A353" s="11">
        <f t="shared" si="489"/>
        <v>88</v>
      </c>
      <c r="B353" s="34" t="e">
        <f>+VLOOKUP(B352,Hoja1!$A$1:$B$2,2,FALSE)</f>
        <v>#N/A</v>
      </c>
      <c r="C353" s="9" t="s">
        <v>0</v>
      </c>
      <c r="D353" s="9"/>
      <c r="E353" s="14" t="str">
        <f t="shared" si="558"/>
        <v/>
      </c>
      <c r="F353" s="9"/>
      <c r="G353" s="4">
        <f>-'libro compras'!I351</f>
        <v>0</v>
      </c>
      <c r="H353" s="9"/>
      <c r="I353" s="9" t="s">
        <v>2</v>
      </c>
      <c r="J353" s="9" t="str">
        <f t="shared" ref="J353:K353" si="563">+J352</f>
        <v xml:space="preserve"> </v>
      </c>
      <c r="K353" s="7">
        <f t="shared" si="563"/>
        <v>0</v>
      </c>
      <c r="L353" s="3">
        <f t="shared" si="560"/>
        <v>0</v>
      </c>
      <c r="M353" s="3">
        <f t="shared" si="561"/>
        <v>0</v>
      </c>
      <c r="N353" s="9" t="s">
        <v>34</v>
      </c>
    </row>
    <row r="354" spans="1:14" x14ac:dyDescent="0.25">
      <c r="A354" s="11">
        <f t="shared" ref="A354" si="564">+A353+1</f>
        <v>89</v>
      </c>
      <c r="B354" s="42" t="str">
        <f>+'libro compras'!$AK$1</f>
        <v>281130</v>
      </c>
      <c r="C354" s="9" t="s">
        <v>0</v>
      </c>
      <c r="D354" s="9"/>
      <c r="E354" s="14" t="str">
        <f>+'libro compras'!S355</f>
        <v/>
      </c>
      <c r="F354" s="9"/>
      <c r="G354" s="4">
        <f>+'libro compras'!AI355</f>
        <v>0</v>
      </c>
      <c r="H354" s="9"/>
      <c r="I354" s="9" t="s">
        <v>33</v>
      </c>
      <c r="J354" s="9" t="str">
        <f>+CONCATENATE('libro compras'!C355," ",'libro compras'!D355)</f>
        <v xml:space="preserve"> </v>
      </c>
      <c r="K354" s="7">
        <f>+'libro compras'!F355</f>
        <v>0</v>
      </c>
      <c r="L354" s="3">
        <f>+'libro compras'!C355</f>
        <v>0</v>
      </c>
      <c r="M354" s="3">
        <f>+'libro compras'!D355</f>
        <v>0</v>
      </c>
      <c r="N354" s="9" t="s">
        <v>34</v>
      </c>
    </row>
    <row r="355" spans="1:14" x14ac:dyDescent="0.25">
      <c r="A355" s="11">
        <f t="shared" ref="A355:A357" si="565">+A354</f>
        <v>89</v>
      </c>
      <c r="B355" s="43" t="str">
        <f>+'libro compras'!$AL$1</f>
        <v>401110</v>
      </c>
      <c r="C355" s="9" t="s">
        <v>0</v>
      </c>
      <c r="D355" s="9"/>
      <c r="E355" s="14" t="str">
        <f t="shared" ref="E355:E357" si="566">+E354</f>
        <v/>
      </c>
      <c r="F355" s="9"/>
      <c r="G355" s="4">
        <f>+'libro compras'!AJ355</f>
        <v>0</v>
      </c>
      <c r="H355" s="9"/>
      <c r="I355" s="9" t="s">
        <v>33</v>
      </c>
      <c r="J355" s="9" t="str">
        <f t="shared" ref="J355:M355" si="567">+J354</f>
        <v xml:space="preserve"> </v>
      </c>
      <c r="K355" s="7">
        <f t="shared" si="567"/>
        <v>0</v>
      </c>
      <c r="L355" s="3">
        <f t="shared" si="567"/>
        <v>0</v>
      </c>
      <c r="M355" s="3">
        <f t="shared" si="567"/>
        <v>0</v>
      </c>
      <c r="N355" s="9" t="s">
        <v>34</v>
      </c>
    </row>
    <row r="356" spans="1:14" x14ac:dyDescent="0.25">
      <c r="A356" s="11">
        <f t="shared" si="565"/>
        <v>89</v>
      </c>
      <c r="B356" s="32">
        <f>+'libro compras'!P355</f>
        <v>0</v>
      </c>
      <c r="C356" s="9" t="s">
        <v>0</v>
      </c>
      <c r="D356" s="9"/>
      <c r="E356" s="14" t="str">
        <f t="shared" si="566"/>
        <v/>
      </c>
      <c r="F356" s="9"/>
      <c r="G356" s="4">
        <f>-'libro compras'!AK355</f>
        <v>0</v>
      </c>
      <c r="H356" s="9"/>
      <c r="I356" s="9" t="s">
        <v>2</v>
      </c>
      <c r="J356" s="9" t="str">
        <f t="shared" ref="J356:M356" si="568">+J355</f>
        <v xml:space="preserve"> </v>
      </c>
      <c r="K356" s="7">
        <f t="shared" si="568"/>
        <v>0</v>
      </c>
      <c r="L356" s="3">
        <f t="shared" si="568"/>
        <v>0</v>
      </c>
      <c r="M356" s="3">
        <f t="shared" si="568"/>
        <v>0</v>
      </c>
      <c r="N356" s="9" t="s">
        <v>34</v>
      </c>
    </row>
    <row r="357" spans="1:14" x14ac:dyDescent="0.25">
      <c r="A357" s="11">
        <f t="shared" si="565"/>
        <v>89</v>
      </c>
      <c r="B357" s="34" t="e">
        <f>+VLOOKUP(B356,Hoja1!$A$1:$B$2,2,FALSE)</f>
        <v>#N/A</v>
      </c>
      <c r="C357" s="9" t="s">
        <v>0</v>
      </c>
      <c r="D357" s="9"/>
      <c r="E357" s="14" t="str">
        <f t="shared" si="566"/>
        <v/>
      </c>
      <c r="F357" s="9"/>
      <c r="G357" s="4">
        <f>-'libro compras'!I355</f>
        <v>0</v>
      </c>
      <c r="H357" s="9"/>
      <c r="I357" s="9" t="s">
        <v>2</v>
      </c>
      <c r="J357" s="9" t="str">
        <f t="shared" ref="J357:M357" si="569">+J356</f>
        <v xml:space="preserve"> </v>
      </c>
      <c r="K357" s="7">
        <f t="shared" si="569"/>
        <v>0</v>
      </c>
      <c r="L357" s="3">
        <f t="shared" si="569"/>
        <v>0</v>
      </c>
      <c r="M357" s="3">
        <f t="shared" si="569"/>
        <v>0</v>
      </c>
      <c r="N357" s="9" t="s">
        <v>34</v>
      </c>
    </row>
    <row r="358" spans="1:14" x14ac:dyDescent="0.25">
      <c r="A358" s="11">
        <f t="shared" si="489"/>
        <v>90</v>
      </c>
      <c r="B358" s="42" t="str">
        <f>+'libro compras'!$AK$1</f>
        <v>281130</v>
      </c>
      <c r="C358" s="9" t="s">
        <v>0</v>
      </c>
      <c r="D358" s="9"/>
      <c r="E358" s="14" t="str">
        <f>+'libro compras'!S359</f>
        <v/>
      </c>
      <c r="F358" s="9"/>
      <c r="G358" s="4">
        <f>+'libro compras'!AI359</f>
        <v>0</v>
      </c>
      <c r="H358" s="9"/>
      <c r="I358" s="9" t="s">
        <v>33</v>
      </c>
      <c r="J358" s="9" t="str">
        <f>+CONCATENATE('libro compras'!C359," ",'libro compras'!D359)</f>
        <v xml:space="preserve"> </v>
      </c>
      <c r="K358" s="7">
        <f t="shared" ref="K358" si="570">+K357</f>
        <v>0</v>
      </c>
      <c r="L358" s="3">
        <f>+'libro compras'!C359</f>
        <v>0</v>
      </c>
      <c r="M358" s="3">
        <f>+'libro compras'!D359</f>
        <v>0</v>
      </c>
      <c r="N358" s="9" t="s">
        <v>34</v>
      </c>
    </row>
    <row r="359" spans="1:14" x14ac:dyDescent="0.25">
      <c r="A359" s="11">
        <f t="shared" si="489"/>
        <v>90</v>
      </c>
      <c r="B359" s="43" t="str">
        <f>+'libro compras'!$AL$1</f>
        <v>401110</v>
      </c>
      <c r="C359" s="9" t="s">
        <v>0</v>
      </c>
      <c r="D359" s="9"/>
      <c r="E359" s="14" t="str">
        <f t="shared" ref="E359:E361" si="571">+E358</f>
        <v/>
      </c>
      <c r="F359" s="9"/>
      <c r="G359" s="4">
        <f>+'libro compras'!AJ359</f>
        <v>0</v>
      </c>
      <c r="H359" s="9"/>
      <c r="I359" s="9" t="s">
        <v>33</v>
      </c>
      <c r="J359" s="9" t="str">
        <f t="shared" ref="J359:K359" si="572">+J358</f>
        <v xml:space="preserve"> </v>
      </c>
      <c r="K359" s="7">
        <f t="shared" si="572"/>
        <v>0</v>
      </c>
      <c r="L359" s="3">
        <f t="shared" ref="L359:L361" si="573">+L358</f>
        <v>0</v>
      </c>
      <c r="M359" s="3">
        <f t="shared" ref="M359:M361" si="574">+M358</f>
        <v>0</v>
      </c>
      <c r="N359" s="9" t="s">
        <v>34</v>
      </c>
    </row>
    <row r="360" spans="1:14" x14ac:dyDescent="0.25">
      <c r="A360" s="11">
        <f t="shared" si="489"/>
        <v>90</v>
      </c>
      <c r="B360" s="32">
        <f>+'libro compras'!P359</f>
        <v>0</v>
      </c>
      <c r="C360" s="9" t="s">
        <v>0</v>
      </c>
      <c r="D360" s="9"/>
      <c r="E360" s="14" t="str">
        <f t="shared" si="571"/>
        <v/>
      </c>
      <c r="F360" s="9"/>
      <c r="G360" s="4">
        <f>-'libro compras'!AK359</f>
        <v>0</v>
      </c>
      <c r="H360" s="9"/>
      <c r="I360" s="9" t="s">
        <v>2</v>
      </c>
      <c r="J360" s="9" t="str">
        <f t="shared" ref="J360:K360" si="575">+J359</f>
        <v xml:space="preserve"> </v>
      </c>
      <c r="K360" s="7">
        <f t="shared" si="575"/>
        <v>0</v>
      </c>
      <c r="L360" s="3">
        <f t="shared" si="573"/>
        <v>0</v>
      </c>
      <c r="M360" s="3">
        <f t="shared" si="574"/>
        <v>0</v>
      </c>
      <c r="N360" s="9" t="s">
        <v>34</v>
      </c>
    </row>
    <row r="361" spans="1:14" x14ac:dyDescent="0.25">
      <c r="A361" s="11">
        <f t="shared" si="489"/>
        <v>90</v>
      </c>
      <c r="B361" s="34" t="e">
        <f>+VLOOKUP(B360,Hoja1!$A$1:$B$2,2,FALSE)</f>
        <v>#N/A</v>
      </c>
      <c r="C361" s="9" t="s">
        <v>0</v>
      </c>
      <c r="D361" s="9"/>
      <c r="E361" s="14" t="str">
        <f t="shared" si="571"/>
        <v/>
      </c>
      <c r="F361" s="9"/>
      <c r="G361" s="4">
        <f>-'libro compras'!I359</f>
        <v>0</v>
      </c>
      <c r="H361" s="9"/>
      <c r="I361" s="9" t="s">
        <v>2</v>
      </c>
      <c r="J361" s="9" t="str">
        <f t="shared" ref="J361:K361" si="576">+J360</f>
        <v xml:space="preserve"> </v>
      </c>
      <c r="K361" s="7">
        <f t="shared" si="576"/>
        <v>0</v>
      </c>
      <c r="L361" s="3">
        <f t="shared" si="573"/>
        <v>0</v>
      </c>
      <c r="M361" s="3">
        <f t="shared" si="574"/>
        <v>0</v>
      </c>
      <c r="N361" s="9" t="s">
        <v>34</v>
      </c>
    </row>
    <row r="362" spans="1:14" x14ac:dyDescent="0.25">
      <c r="A362" s="11">
        <f t="shared" si="489"/>
        <v>91</v>
      </c>
      <c r="B362" s="42" t="str">
        <f>+'libro compras'!$AK$1</f>
        <v>281130</v>
      </c>
      <c r="C362" s="9" t="s">
        <v>0</v>
      </c>
      <c r="D362" s="9"/>
      <c r="E362" s="14" t="str">
        <f>+'libro compras'!S363</f>
        <v/>
      </c>
      <c r="F362" s="9"/>
      <c r="G362" s="4">
        <f>+'libro compras'!AI363</f>
        <v>0</v>
      </c>
      <c r="H362" s="9"/>
      <c r="I362" s="9" t="s">
        <v>33</v>
      </c>
      <c r="J362" s="9" t="str">
        <f>+CONCATENATE('libro compras'!C363," ",'libro compras'!D363)</f>
        <v xml:space="preserve"> </v>
      </c>
      <c r="K362" s="7">
        <f t="shared" ref="K362" si="577">+K361</f>
        <v>0</v>
      </c>
      <c r="L362" s="3">
        <f>+'libro compras'!C363</f>
        <v>0</v>
      </c>
      <c r="M362" s="3">
        <f>+'libro compras'!D363</f>
        <v>0</v>
      </c>
      <c r="N362" s="9" t="s">
        <v>34</v>
      </c>
    </row>
    <row r="363" spans="1:14" x14ac:dyDescent="0.25">
      <c r="A363" s="11">
        <f t="shared" si="489"/>
        <v>91</v>
      </c>
      <c r="B363" s="43" t="str">
        <f>+'libro compras'!$AL$1</f>
        <v>401110</v>
      </c>
      <c r="C363" s="9" t="s">
        <v>0</v>
      </c>
      <c r="D363" s="9"/>
      <c r="E363" s="14" t="str">
        <f t="shared" ref="E363:E365" si="578">+E362</f>
        <v/>
      </c>
      <c r="F363" s="9"/>
      <c r="G363" s="4">
        <f>+'libro compras'!AJ363</f>
        <v>0</v>
      </c>
      <c r="H363" s="9"/>
      <c r="I363" s="9" t="s">
        <v>33</v>
      </c>
      <c r="J363" s="9" t="str">
        <f t="shared" ref="J363:K363" si="579">+J362</f>
        <v xml:space="preserve"> </v>
      </c>
      <c r="K363" s="7">
        <f t="shared" si="579"/>
        <v>0</v>
      </c>
      <c r="L363" s="3">
        <f t="shared" ref="L363:L365" si="580">+L362</f>
        <v>0</v>
      </c>
      <c r="M363" s="3">
        <f t="shared" ref="M363:M365" si="581">+M362</f>
        <v>0</v>
      </c>
      <c r="N363" s="9" t="s">
        <v>34</v>
      </c>
    </row>
    <row r="364" spans="1:14" x14ac:dyDescent="0.25">
      <c r="A364" s="11">
        <f t="shared" si="489"/>
        <v>91</v>
      </c>
      <c r="B364" s="32">
        <f>+'libro compras'!P363</f>
        <v>0</v>
      </c>
      <c r="C364" s="9" t="s">
        <v>0</v>
      </c>
      <c r="D364" s="9"/>
      <c r="E364" s="14" t="str">
        <f t="shared" si="578"/>
        <v/>
      </c>
      <c r="F364" s="9"/>
      <c r="G364" s="4">
        <f>-'libro compras'!AK363</f>
        <v>0</v>
      </c>
      <c r="H364" s="9"/>
      <c r="I364" s="9" t="s">
        <v>2</v>
      </c>
      <c r="J364" s="9" t="str">
        <f t="shared" ref="J364:K364" si="582">+J363</f>
        <v xml:space="preserve"> </v>
      </c>
      <c r="K364" s="7">
        <f t="shared" si="582"/>
        <v>0</v>
      </c>
      <c r="L364" s="3">
        <f t="shared" si="580"/>
        <v>0</v>
      </c>
      <c r="M364" s="3">
        <f t="shared" si="581"/>
        <v>0</v>
      </c>
      <c r="N364" s="9" t="s">
        <v>34</v>
      </c>
    </row>
    <row r="365" spans="1:14" x14ac:dyDescent="0.25">
      <c r="A365" s="11">
        <f t="shared" si="489"/>
        <v>91</v>
      </c>
      <c r="B365" s="34" t="e">
        <f>+VLOOKUP(B364,Hoja1!$A$1:$B$2,2,FALSE)</f>
        <v>#N/A</v>
      </c>
      <c r="C365" s="9" t="s">
        <v>0</v>
      </c>
      <c r="D365" s="9"/>
      <c r="E365" s="14" t="str">
        <f t="shared" si="578"/>
        <v/>
      </c>
      <c r="F365" s="9"/>
      <c r="G365" s="4">
        <f>-'libro compras'!I363</f>
        <v>0</v>
      </c>
      <c r="H365" s="9"/>
      <c r="I365" s="9" t="s">
        <v>2</v>
      </c>
      <c r="J365" s="9" t="str">
        <f t="shared" ref="J365:K365" si="583">+J364</f>
        <v xml:space="preserve"> </v>
      </c>
      <c r="K365" s="7">
        <f t="shared" si="583"/>
        <v>0</v>
      </c>
      <c r="L365" s="3">
        <f t="shared" si="580"/>
        <v>0</v>
      </c>
      <c r="M365" s="3">
        <f t="shared" si="581"/>
        <v>0</v>
      </c>
      <c r="N365" s="9" t="s">
        <v>34</v>
      </c>
    </row>
    <row r="366" spans="1:14" x14ac:dyDescent="0.25">
      <c r="A366" s="11">
        <f t="shared" ref="A366" si="584">+A365+1</f>
        <v>92</v>
      </c>
      <c r="B366" s="42" t="str">
        <f>+'libro compras'!$AK$1</f>
        <v>281130</v>
      </c>
      <c r="C366" s="9" t="s">
        <v>0</v>
      </c>
      <c r="D366" s="9"/>
      <c r="E366" s="14" t="str">
        <f>+'libro compras'!S367</f>
        <v/>
      </c>
      <c r="F366" s="9"/>
      <c r="G366" s="4">
        <f>+'libro compras'!AI367</f>
        <v>0</v>
      </c>
      <c r="H366" s="9"/>
      <c r="I366" s="9" t="s">
        <v>33</v>
      </c>
      <c r="J366" s="9" t="str">
        <f>+CONCATENATE('libro compras'!C367," ",'libro compras'!D367)</f>
        <v xml:space="preserve"> </v>
      </c>
      <c r="K366" s="7">
        <f>+'libro compras'!F367</f>
        <v>0</v>
      </c>
      <c r="L366" s="3">
        <f>+'libro compras'!C367</f>
        <v>0</v>
      </c>
      <c r="M366" s="3">
        <f>+'libro compras'!D367</f>
        <v>0</v>
      </c>
      <c r="N366" s="9" t="s">
        <v>34</v>
      </c>
    </row>
    <row r="367" spans="1:14" x14ac:dyDescent="0.25">
      <c r="A367" s="11">
        <f t="shared" ref="A367:A369" si="585">+A366</f>
        <v>92</v>
      </c>
      <c r="B367" s="43" t="str">
        <f>+'libro compras'!$AL$1</f>
        <v>401110</v>
      </c>
      <c r="C367" s="9" t="s">
        <v>0</v>
      </c>
      <c r="D367" s="9"/>
      <c r="E367" s="14" t="str">
        <f t="shared" ref="E367:E369" si="586">+E366</f>
        <v/>
      </c>
      <c r="F367" s="9"/>
      <c r="G367" s="4">
        <f>+'libro compras'!AJ367</f>
        <v>0</v>
      </c>
      <c r="H367" s="9"/>
      <c r="I367" s="9" t="s">
        <v>33</v>
      </c>
      <c r="J367" s="9" t="str">
        <f t="shared" ref="J367:M367" si="587">+J366</f>
        <v xml:space="preserve"> </v>
      </c>
      <c r="K367" s="7">
        <f t="shared" si="587"/>
        <v>0</v>
      </c>
      <c r="L367" s="3">
        <f t="shared" si="587"/>
        <v>0</v>
      </c>
      <c r="M367" s="3">
        <f t="shared" si="587"/>
        <v>0</v>
      </c>
      <c r="N367" s="9" t="s">
        <v>34</v>
      </c>
    </row>
    <row r="368" spans="1:14" x14ac:dyDescent="0.25">
      <c r="A368" s="11">
        <f t="shared" si="585"/>
        <v>92</v>
      </c>
      <c r="B368" s="32">
        <f>+'libro compras'!P367</f>
        <v>0</v>
      </c>
      <c r="C368" s="9" t="s">
        <v>0</v>
      </c>
      <c r="D368" s="9"/>
      <c r="E368" s="14" t="str">
        <f t="shared" si="586"/>
        <v/>
      </c>
      <c r="F368" s="9"/>
      <c r="G368" s="4">
        <f>-'libro compras'!AK367</f>
        <v>0</v>
      </c>
      <c r="H368" s="9"/>
      <c r="I368" s="9" t="s">
        <v>2</v>
      </c>
      <c r="J368" s="9" t="str">
        <f t="shared" ref="J368:M368" si="588">+J367</f>
        <v xml:space="preserve"> </v>
      </c>
      <c r="K368" s="7">
        <f t="shared" si="588"/>
        <v>0</v>
      </c>
      <c r="L368" s="3">
        <f t="shared" si="588"/>
        <v>0</v>
      </c>
      <c r="M368" s="3">
        <f t="shared" si="588"/>
        <v>0</v>
      </c>
      <c r="N368" s="9" t="s">
        <v>34</v>
      </c>
    </row>
    <row r="369" spans="1:14" hidden="1" x14ac:dyDescent="0.25">
      <c r="A369" s="11">
        <f t="shared" si="585"/>
        <v>92</v>
      </c>
      <c r="B369" s="34" t="e">
        <f>+VLOOKUP(B368,Hoja1!$A$1:$B$2,2,FALSE)</f>
        <v>#N/A</v>
      </c>
      <c r="C369" s="9" t="s">
        <v>0</v>
      </c>
      <c r="D369" s="9"/>
      <c r="E369" s="14" t="str">
        <f t="shared" si="586"/>
        <v/>
      </c>
      <c r="F369" s="9"/>
      <c r="G369" s="4">
        <f>-'libro compras'!I367</f>
        <v>0</v>
      </c>
      <c r="H369" s="9"/>
      <c r="I369" s="9" t="s">
        <v>2</v>
      </c>
      <c r="J369" s="9" t="str">
        <f t="shared" ref="J369:M369" si="589">+J368</f>
        <v xml:space="preserve"> </v>
      </c>
      <c r="K369" s="7">
        <f t="shared" si="589"/>
        <v>0</v>
      </c>
      <c r="L369" s="3">
        <f t="shared" si="589"/>
        <v>0</v>
      </c>
      <c r="M369" s="3">
        <f t="shared" si="589"/>
        <v>0</v>
      </c>
      <c r="N369" s="9" t="s">
        <v>34</v>
      </c>
    </row>
    <row r="370" spans="1:14" x14ac:dyDescent="0.25">
      <c r="A370" s="11">
        <f t="shared" si="489"/>
        <v>93</v>
      </c>
      <c r="B370" s="42" t="str">
        <f>+'libro compras'!$AK$1</f>
        <v>281130</v>
      </c>
      <c r="C370" s="9" t="s">
        <v>0</v>
      </c>
      <c r="D370" s="9"/>
      <c r="E370" s="14" t="str">
        <f>+'libro compras'!S371</f>
        <v/>
      </c>
      <c r="F370" s="9"/>
      <c r="G370" s="4">
        <f>+'libro compras'!AI371</f>
        <v>0</v>
      </c>
      <c r="H370" s="9"/>
      <c r="I370" s="9" t="s">
        <v>33</v>
      </c>
      <c r="J370" s="9" t="str">
        <f>+CONCATENATE('libro compras'!C371," ",'libro compras'!D371)</f>
        <v xml:space="preserve"> </v>
      </c>
      <c r="K370" s="7">
        <f t="shared" ref="K370" si="590">+K369</f>
        <v>0</v>
      </c>
      <c r="L370" s="3">
        <f>+'libro compras'!C371</f>
        <v>0</v>
      </c>
      <c r="M370" s="3">
        <f>+'libro compras'!D371</f>
        <v>0</v>
      </c>
      <c r="N370" s="9" t="s">
        <v>34</v>
      </c>
    </row>
    <row r="371" spans="1:14" x14ac:dyDescent="0.25">
      <c r="A371" s="11">
        <f t="shared" si="489"/>
        <v>93</v>
      </c>
      <c r="B371" s="43" t="str">
        <f>+'libro compras'!$AL$1</f>
        <v>401110</v>
      </c>
      <c r="C371" s="9" t="s">
        <v>0</v>
      </c>
      <c r="D371" s="9"/>
      <c r="E371" s="14" t="str">
        <f t="shared" ref="E371:E373" si="591">+E370</f>
        <v/>
      </c>
      <c r="F371" s="9"/>
      <c r="G371" s="4">
        <f>+'libro compras'!AJ371</f>
        <v>0</v>
      </c>
      <c r="H371" s="9"/>
      <c r="I371" s="9" t="s">
        <v>33</v>
      </c>
      <c r="J371" s="9" t="str">
        <f t="shared" ref="J371:K371" si="592">+J370</f>
        <v xml:space="preserve"> </v>
      </c>
      <c r="K371" s="7">
        <f t="shared" si="592"/>
        <v>0</v>
      </c>
      <c r="L371" s="3">
        <f t="shared" ref="L371:L373" si="593">+L370</f>
        <v>0</v>
      </c>
      <c r="M371" s="3">
        <f t="shared" ref="M371:M373" si="594">+M370</f>
        <v>0</v>
      </c>
      <c r="N371" s="9" t="s">
        <v>34</v>
      </c>
    </row>
    <row r="372" spans="1:14" x14ac:dyDescent="0.25">
      <c r="A372" s="11">
        <f t="shared" si="489"/>
        <v>93</v>
      </c>
      <c r="B372" s="32">
        <f>+'libro compras'!P371</f>
        <v>0</v>
      </c>
      <c r="C372" s="9" t="s">
        <v>0</v>
      </c>
      <c r="D372" s="9"/>
      <c r="E372" s="14" t="str">
        <f t="shared" si="591"/>
        <v/>
      </c>
      <c r="F372" s="9"/>
      <c r="G372" s="4">
        <f>-'libro compras'!AK371</f>
        <v>0</v>
      </c>
      <c r="H372" s="9"/>
      <c r="I372" s="9" t="s">
        <v>2</v>
      </c>
      <c r="J372" s="9" t="str">
        <f t="shared" ref="J372:K372" si="595">+J371</f>
        <v xml:space="preserve"> </v>
      </c>
      <c r="K372" s="7">
        <f t="shared" si="595"/>
        <v>0</v>
      </c>
      <c r="L372" s="3">
        <f t="shared" si="593"/>
        <v>0</v>
      </c>
      <c r="M372" s="3">
        <f t="shared" si="594"/>
        <v>0</v>
      </c>
      <c r="N372" s="9" t="s">
        <v>34</v>
      </c>
    </row>
    <row r="373" spans="1:14" hidden="1" x14ac:dyDescent="0.25">
      <c r="A373" s="11">
        <f t="shared" si="489"/>
        <v>93</v>
      </c>
      <c r="B373" s="34" t="e">
        <f>+VLOOKUP(B372,Hoja1!$A$1:$B$2,2,FALSE)</f>
        <v>#N/A</v>
      </c>
      <c r="C373" s="9" t="s">
        <v>0</v>
      </c>
      <c r="D373" s="9"/>
      <c r="E373" s="14" t="str">
        <f t="shared" si="591"/>
        <v/>
      </c>
      <c r="F373" s="9"/>
      <c r="G373" s="4">
        <f>-'libro compras'!I371</f>
        <v>0</v>
      </c>
      <c r="H373" s="9"/>
      <c r="I373" s="9" t="s">
        <v>2</v>
      </c>
      <c r="J373" s="9" t="str">
        <f t="shared" ref="J373:K373" si="596">+J372</f>
        <v xml:space="preserve"> </v>
      </c>
      <c r="K373" s="7">
        <f t="shared" si="596"/>
        <v>0</v>
      </c>
      <c r="L373" s="3">
        <f t="shared" si="593"/>
        <v>0</v>
      </c>
      <c r="M373" s="3">
        <f t="shared" si="594"/>
        <v>0</v>
      </c>
      <c r="N373" s="9" t="s">
        <v>34</v>
      </c>
    </row>
    <row r="374" spans="1:14" x14ac:dyDescent="0.25">
      <c r="A374" s="11">
        <f t="shared" ref="A374:A377" si="597">1+A370</f>
        <v>94</v>
      </c>
      <c r="B374" s="42" t="str">
        <f>+'libro compras'!$AK$1</f>
        <v>281130</v>
      </c>
      <c r="C374" s="9" t="s">
        <v>0</v>
      </c>
      <c r="D374" s="9"/>
      <c r="E374" s="14" t="str">
        <f>+'libro compras'!S375</f>
        <v/>
      </c>
      <c r="F374" s="9"/>
      <c r="G374" s="4">
        <f>+'libro compras'!AI375</f>
        <v>0</v>
      </c>
      <c r="H374" s="9"/>
      <c r="I374" s="9" t="s">
        <v>33</v>
      </c>
      <c r="J374" s="9" t="str">
        <f>+CONCATENATE('libro compras'!C375," ",'libro compras'!D375)</f>
        <v xml:space="preserve"> </v>
      </c>
      <c r="K374" s="7">
        <f t="shared" ref="K374" si="598">+K373</f>
        <v>0</v>
      </c>
      <c r="L374" s="3">
        <f>+'libro compras'!C375</f>
        <v>0</v>
      </c>
      <c r="M374" s="3">
        <f>+'libro compras'!D375</f>
        <v>0</v>
      </c>
      <c r="N374" s="9" t="s">
        <v>34</v>
      </c>
    </row>
    <row r="375" spans="1:14" x14ac:dyDescent="0.25">
      <c r="A375" s="11">
        <f t="shared" si="597"/>
        <v>94</v>
      </c>
      <c r="B375" s="43" t="str">
        <f>+'libro compras'!$AL$1</f>
        <v>401110</v>
      </c>
      <c r="C375" s="9" t="s">
        <v>0</v>
      </c>
      <c r="D375" s="9"/>
      <c r="E375" s="14" t="str">
        <f t="shared" ref="E375:E377" si="599">+E374</f>
        <v/>
      </c>
      <c r="F375" s="9"/>
      <c r="G375" s="4">
        <f>+'libro compras'!AJ375</f>
        <v>0</v>
      </c>
      <c r="H375" s="9"/>
      <c r="I375" s="9" t="s">
        <v>33</v>
      </c>
      <c r="J375" s="9" t="str">
        <f t="shared" ref="J375:K375" si="600">+J374</f>
        <v xml:space="preserve"> </v>
      </c>
      <c r="K375" s="7">
        <f t="shared" si="600"/>
        <v>0</v>
      </c>
      <c r="L375" s="3">
        <f t="shared" ref="L375:L377" si="601">+L374</f>
        <v>0</v>
      </c>
      <c r="M375" s="3">
        <f t="shared" ref="M375:M377" si="602">+M374</f>
        <v>0</v>
      </c>
      <c r="N375" s="9" t="s">
        <v>34</v>
      </c>
    </row>
    <row r="376" spans="1:14" x14ac:dyDescent="0.25">
      <c r="A376" s="11">
        <f t="shared" si="597"/>
        <v>94</v>
      </c>
      <c r="B376" s="32">
        <f>+'libro compras'!P375</f>
        <v>0</v>
      </c>
      <c r="C376" s="9" t="s">
        <v>0</v>
      </c>
      <c r="D376" s="9"/>
      <c r="E376" s="14" t="str">
        <f t="shared" si="599"/>
        <v/>
      </c>
      <c r="F376" s="9"/>
      <c r="G376" s="4">
        <f>-'libro compras'!AK375</f>
        <v>0</v>
      </c>
      <c r="H376" s="9"/>
      <c r="I376" s="9" t="s">
        <v>2</v>
      </c>
      <c r="J376" s="9" t="str">
        <f t="shared" ref="J376:K376" si="603">+J375</f>
        <v xml:space="preserve"> </v>
      </c>
      <c r="K376" s="7">
        <f t="shared" si="603"/>
        <v>0</v>
      </c>
      <c r="L376" s="3">
        <f t="shared" si="601"/>
        <v>0</v>
      </c>
      <c r="M376" s="3">
        <f t="shared" si="602"/>
        <v>0</v>
      </c>
      <c r="N376" s="9" t="s">
        <v>34</v>
      </c>
    </row>
    <row r="377" spans="1:14" x14ac:dyDescent="0.25">
      <c r="A377" s="11">
        <f t="shared" si="597"/>
        <v>94</v>
      </c>
      <c r="B377" s="34" t="e">
        <f>+VLOOKUP(B376,Hoja1!$A$1:$B$2,2,FALSE)</f>
        <v>#N/A</v>
      </c>
      <c r="C377" s="9" t="s">
        <v>0</v>
      </c>
      <c r="D377" s="9"/>
      <c r="E377" s="14" t="str">
        <f t="shared" si="599"/>
        <v/>
      </c>
      <c r="F377" s="9"/>
      <c r="G377" s="4">
        <f>-'libro compras'!I375</f>
        <v>0</v>
      </c>
      <c r="H377" s="9"/>
      <c r="I377" s="9" t="s">
        <v>2</v>
      </c>
      <c r="J377" s="9" t="str">
        <f t="shared" ref="J377:K377" si="604">+J376</f>
        <v xml:space="preserve"> </v>
      </c>
      <c r="K377" s="7">
        <f t="shared" si="604"/>
        <v>0</v>
      </c>
      <c r="L377" s="3">
        <f t="shared" si="601"/>
        <v>0</v>
      </c>
      <c r="M377" s="3">
        <f t="shared" si="602"/>
        <v>0</v>
      </c>
      <c r="N377" s="9" t="s">
        <v>34</v>
      </c>
    </row>
    <row r="378" spans="1:14" x14ac:dyDescent="0.25">
      <c r="A378" s="11">
        <f t="shared" ref="A378" si="605">+A377+1</f>
        <v>95</v>
      </c>
      <c r="B378" s="42" t="str">
        <f>+'libro compras'!$AK$1</f>
        <v>281130</v>
      </c>
      <c r="C378" s="9" t="s">
        <v>0</v>
      </c>
      <c r="D378" s="9"/>
      <c r="E378" s="14" t="str">
        <f>+'libro compras'!S379</f>
        <v/>
      </c>
      <c r="F378" s="9"/>
      <c r="G378" s="4">
        <f>+'libro compras'!AI379</f>
        <v>0</v>
      </c>
      <c r="H378" s="9"/>
      <c r="I378" s="9" t="s">
        <v>33</v>
      </c>
      <c r="J378" s="9" t="str">
        <f>+CONCATENATE('libro compras'!C379," ",'libro compras'!D379)</f>
        <v xml:space="preserve"> </v>
      </c>
      <c r="K378" s="7">
        <f>+'libro compras'!F379</f>
        <v>0</v>
      </c>
      <c r="L378" s="3">
        <f>+'libro compras'!C379</f>
        <v>0</v>
      </c>
      <c r="M378" s="3">
        <f>+'libro compras'!D379</f>
        <v>0</v>
      </c>
      <c r="N378" s="9" t="s">
        <v>34</v>
      </c>
    </row>
    <row r="379" spans="1:14" x14ac:dyDescent="0.25">
      <c r="A379" s="11">
        <f t="shared" ref="A379:A381" si="606">+A378</f>
        <v>95</v>
      </c>
      <c r="B379" s="43" t="str">
        <f>+'libro compras'!$AL$1</f>
        <v>401110</v>
      </c>
      <c r="C379" s="9" t="s">
        <v>0</v>
      </c>
      <c r="D379" s="9"/>
      <c r="E379" s="14" t="str">
        <f t="shared" ref="E379:E381" si="607">+E378</f>
        <v/>
      </c>
      <c r="F379" s="9"/>
      <c r="G379" s="4">
        <f>+'libro compras'!AJ379</f>
        <v>0</v>
      </c>
      <c r="H379" s="9"/>
      <c r="I379" s="9" t="s">
        <v>33</v>
      </c>
      <c r="J379" s="9" t="str">
        <f t="shared" ref="J379:M379" si="608">+J378</f>
        <v xml:space="preserve"> </v>
      </c>
      <c r="K379" s="7">
        <f t="shared" si="608"/>
        <v>0</v>
      </c>
      <c r="L379" s="3">
        <f t="shared" si="608"/>
        <v>0</v>
      </c>
      <c r="M379" s="3">
        <f t="shared" si="608"/>
        <v>0</v>
      </c>
      <c r="N379" s="9" t="s">
        <v>34</v>
      </c>
    </row>
    <row r="380" spans="1:14" x14ac:dyDescent="0.25">
      <c r="A380" s="11">
        <f t="shared" si="606"/>
        <v>95</v>
      </c>
      <c r="B380" s="32">
        <f>+'libro compras'!P379</f>
        <v>0</v>
      </c>
      <c r="C380" s="9" t="s">
        <v>0</v>
      </c>
      <c r="D380" s="9"/>
      <c r="E380" s="14" t="str">
        <f t="shared" si="607"/>
        <v/>
      </c>
      <c r="F380" s="9"/>
      <c r="G380" s="4">
        <f>-'libro compras'!AK379</f>
        <v>0</v>
      </c>
      <c r="H380" s="9"/>
      <c r="I380" s="9" t="s">
        <v>2</v>
      </c>
      <c r="J380" s="9" t="str">
        <f t="shared" ref="J380:M380" si="609">+J379</f>
        <v xml:space="preserve"> </v>
      </c>
      <c r="K380" s="7">
        <f t="shared" si="609"/>
        <v>0</v>
      </c>
      <c r="L380" s="3">
        <f t="shared" si="609"/>
        <v>0</v>
      </c>
      <c r="M380" s="3">
        <f t="shared" si="609"/>
        <v>0</v>
      </c>
      <c r="N380" s="9" t="s">
        <v>34</v>
      </c>
    </row>
    <row r="381" spans="1:14" hidden="1" x14ac:dyDescent="0.25">
      <c r="A381" s="11">
        <f t="shared" si="606"/>
        <v>95</v>
      </c>
      <c r="B381" s="34" t="e">
        <f>+VLOOKUP(B380,Hoja1!$A$1:$B$2,2,FALSE)</f>
        <v>#N/A</v>
      </c>
      <c r="C381" s="9" t="s">
        <v>0</v>
      </c>
      <c r="D381" s="9"/>
      <c r="E381" s="14" t="str">
        <f t="shared" si="607"/>
        <v/>
      </c>
      <c r="F381" s="9"/>
      <c r="G381" s="4">
        <f>-'libro compras'!I379</f>
        <v>0</v>
      </c>
      <c r="H381" s="9"/>
      <c r="I381" s="9" t="s">
        <v>2</v>
      </c>
      <c r="J381" s="9" t="str">
        <f t="shared" ref="J381:M381" si="610">+J380</f>
        <v xml:space="preserve"> </v>
      </c>
      <c r="K381" s="7">
        <f t="shared" si="610"/>
        <v>0</v>
      </c>
      <c r="L381" s="3">
        <f t="shared" si="610"/>
        <v>0</v>
      </c>
      <c r="M381" s="3">
        <f t="shared" si="610"/>
        <v>0</v>
      </c>
      <c r="N381" s="9" t="s">
        <v>34</v>
      </c>
    </row>
    <row r="382" spans="1:14" x14ac:dyDescent="0.25">
      <c r="A382" s="11">
        <f t="shared" ref="A382:A445" si="611">1+A378</f>
        <v>96</v>
      </c>
      <c r="B382" s="42" t="str">
        <f>+'libro compras'!$AK$1</f>
        <v>281130</v>
      </c>
      <c r="C382" s="9" t="s">
        <v>0</v>
      </c>
      <c r="D382" s="9"/>
      <c r="E382" s="14" t="str">
        <f>+'libro compras'!S383</f>
        <v/>
      </c>
      <c r="F382" s="9"/>
      <c r="G382" s="4">
        <f>+'libro compras'!AI383</f>
        <v>0</v>
      </c>
      <c r="H382" s="9"/>
      <c r="I382" s="9" t="s">
        <v>33</v>
      </c>
      <c r="J382" s="9" t="str">
        <f>+CONCATENATE('libro compras'!C383," ",'libro compras'!D383)</f>
        <v xml:space="preserve"> </v>
      </c>
      <c r="K382" s="7">
        <f t="shared" ref="K382" si="612">+K381</f>
        <v>0</v>
      </c>
      <c r="L382" s="3">
        <f>+'libro compras'!C383</f>
        <v>0</v>
      </c>
      <c r="M382" s="3">
        <f>+'libro compras'!D383</f>
        <v>0</v>
      </c>
      <c r="N382" s="9" t="s">
        <v>34</v>
      </c>
    </row>
    <row r="383" spans="1:14" x14ac:dyDescent="0.25">
      <c r="A383" s="11">
        <f t="shared" si="611"/>
        <v>96</v>
      </c>
      <c r="B383" s="43" t="str">
        <f>+'libro compras'!$AL$1</f>
        <v>401110</v>
      </c>
      <c r="C383" s="9" t="s">
        <v>0</v>
      </c>
      <c r="D383" s="9"/>
      <c r="E383" s="14" t="str">
        <f t="shared" ref="E383:E385" si="613">+E382</f>
        <v/>
      </c>
      <c r="F383" s="9"/>
      <c r="G383" s="4">
        <f>+'libro compras'!AJ383</f>
        <v>0</v>
      </c>
      <c r="H383" s="9"/>
      <c r="I383" s="9" t="s">
        <v>33</v>
      </c>
      <c r="J383" s="9" t="str">
        <f t="shared" ref="J383:K383" si="614">+J382</f>
        <v xml:space="preserve"> </v>
      </c>
      <c r="K383" s="7">
        <f t="shared" si="614"/>
        <v>0</v>
      </c>
      <c r="L383" s="3">
        <f t="shared" ref="L383:L385" si="615">+L382</f>
        <v>0</v>
      </c>
      <c r="M383" s="3">
        <f t="shared" ref="M383:M385" si="616">+M382</f>
        <v>0</v>
      </c>
      <c r="N383" s="9" t="s">
        <v>34</v>
      </c>
    </row>
    <row r="384" spans="1:14" x14ac:dyDescent="0.25">
      <c r="A384" s="11">
        <f t="shared" si="611"/>
        <v>96</v>
      </c>
      <c r="B384" s="32">
        <f>+'libro compras'!P383</f>
        <v>0</v>
      </c>
      <c r="C384" s="9" t="s">
        <v>0</v>
      </c>
      <c r="D384" s="9"/>
      <c r="E384" s="14" t="str">
        <f t="shared" si="613"/>
        <v/>
      </c>
      <c r="F384" s="9"/>
      <c r="G384" s="4">
        <f>-'libro compras'!AK383</f>
        <v>0</v>
      </c>
      <c r="H384" s="9"/>
      <c r="I384" s="9" t="s">
        <v>2</v>
      </c>
      <c r="J384" s="9" t="str">
        <f t="shared" ref="J384:K384" si="617">+J383</f>
        <v xml:space="preserve"> </v>
      </c>
      <c r="K384" s="7">
        <f t="shared" si="617"/>
        <v>0</v>
      </c>
      <c r="L384" s="3">
        <f t="shared" si="615"/>
        <v>0</v>
      </c>
      <c r="M384" s="3">
        <f t="shared" si="616"/>
        <v>0</v>
      </c>
      <c r="N384" s="9" t="s">
        <v>34</v>
      </c>
    </row>
    <row r="385" spans="1:14" x14ac:dyDescent="0.25">
      <c r="A385" s="11">
        <f t="shared" si="611"/>
        <v>96</v>
      </c>
      <c r="B385" s="34" t="e">
        <f>+VLOOKUP(B384,Hoja1!$A$1:$B$2,2,FALSE)</f>
        <v>#N/A</v>
      </c>
      <c r="C385" s="9" t="s">
        <v>0</v>
      </c>
      <c r="D385" s="9"/>
      <c r="E385" s="14" t="str">
        <f t="shared" si="613"/>
        <v/>
      </c>
      <c r="F385" s="9"/>
      <c r="G385" s="4">
        <f>-'libro compras'!I383</f>
        <v>0</v>
      </c>
      <c r="H385" s="9"/>
      <c r="I385" s="9" t="s">
        <v>2</v>
      </c>
      <c r="J385" s="9" t="str">
        <f t="shared" ref="J385:K385" si="618">+J384</f>
        <v xml:space="preserve"> </v>
      </c>
      <c r="K385" s="7">
        <f t="shared" si="618"/>
        <v>0</v>
      </c>
      <c r="L385" s="3">
        <f t="shared" si="615"/>
        <v>0</v>
      </c>
      <c r="M385" s="3">
        <f t="shared" si="616"/>
        <v>0</v>
      </c>
      <c r="N385" s="9" t="s">
        <v>34</v>
      </c>
    </row>
    <row r="386" spans="1:14" x14ac:dyDescent="0.25">
      <c r="A386" s="11">
        <f t="shared" si="611"/>
        <v>97</v>
      </c>
      <c r="B386" s="42" t="str">
        <f>+'libro compras'!$AK$1</f>
        <v>281130</v>
      </c>
      <c r="C386" s="9" t="s">
        <v>0</v>
      </c>
      <c r="D386" s="9"/>
      <c r="E386" s="14" t="str">
        <f>+'libro compras'!S387</f>
        <v/>
      </c>
      <c r="F386" s="9"/>
      <c r="G386" s="4">
        <f>+'libro compras'!AI387</f>
        <v>0</v>
      </c>
      <c r="H386" s="9"/>
      <c r="I386" s="9" t="s">
        <v>33</v>
      </c>
      <c r="J386" s="9" t="str">
        <f>+CONCATENATE('libro compras'!C387," ",'libro compras'!D387)</f>
        <v xml:space="preserve"> </v>
      </c>
      <c r="K386" s="7">
        <f t="shared" ref="K386" si="619">+K385</f>
        <v>0</v>
      </c>
      <c r="L386" s="3">
        <f>+'libro compras'!C387</f>
        <v>0</v>
      </c>
      <c r="M386" s="3">
        <f>+'libro compras'!D387</f>
        <v>0</v>
      </c>
      <c r="N386" s="9" t="s">
        <v>34</v>
      </c>
    </row>
    <row r="387" spans="1:14" x14ac:dyDescent="0.25">
      <c r="A387" s="11">
        <f t="shared" si="611"/>
        <v>97</v>
      </c>
      <c r="B387" s="43" t="str">
        <f>+'libro compras'!$AL$1</f>
        <v>401110</v>
      </c>
      <c r="C387" s="9" t="s">
        <v>0</v>
      </c>
      <c r="D387" s="9"/>
      <c r="E387" s="14" t="str">
        <f t="shared" ref="E387:E389" si="620">+E386</f>
        <v/>
      </c>
      <c r="F387" s="9"/>
      <c r="G387" s="4">
        <f>+'libro compras'!AJ387</f>
        <v>0</v>
      </c>
      <c r="H387" s="9"/>
      <c r="I387" s="9" t="s">
        <v>33</v>
      </c>
      <c r="J387" s="9" t="str">
        <f t="shared" ref="J387:K387" si="621">+J386</f>
        <v xml:space="preserve"> </v>
      </c>
      <c r="K387" s="7">
        <f t="shared" si="621"/>
        <v>0</v>
      </c>
      <c r="L387" s="3">
        <f t="shared" ref="L387:L389" si="622">+L386</f>
        <v>0</v>
      </c>
      <c r="M387" s="3">
        <f t="shared" ref="M387:M389" si="623">+M386</f>
        <v>0</v>
      </c>
      <c r="N387" s="9" t="s">
        <v>34</v>
      </c>
    </row>
    <row r="388" spans="1:14" x14ac:dyDescent="0.25">
      <c r="A388" s="11">
        <f t="shared" si="611"/>
        <v>97</v>
      </c>
      <c r="B388" s="32">
        <f>+'libro compras'!P387</f>
        <v>0</v>
      </c>
      <c r="C388" s="9" t="s">
        <v>0</v>
      </c>
      <c r="D388" s="9"/>
      <c r="E388" s="14" t="str">
        <f t="shared" si="620"/>
        <v/>
      </c>
      <c r="F388" s="9"/>
      <c r="G388" s="4">
        <f>-'libro compras'!AK387</f>
        <v>0</v>
      </c>
      <c r="H388" s="9"/>
      <c r="I388" s="9" t="s">
        <v>2</v>
      </c>
      <c r="J388" s="9" t="str">
        <f t="shared" ref="J388:K388" si="624">+J387</f>
        <v xml:space="preserve"> </v>
      </c>
      <c r="K388" s="7">
        <f t="shared" si="624"/>
        <v>0</v>
      </c>
      <c r="L388" s="3">
        <f t="shared" si="622"/>
        <v>0</v>
      </c>
      <c r="M388" s="3">
        <f t="shared" si="623"/>
        <v>0</v>
      </c>
      <c r="N388" s="9" t="s">
        <v>34</v>
      </c>
    </row>
    <row r="389" spans="1:14" x14ac:dyDescent="0.25">
      <c r="A389" s="11">
        <f t="shared" si="611"/>
        <v>97</v>
      </c>
      <c r="B389" s="34" t="e">
        <f>+VLOOKUP(B388,Hoja1!$A$1:$B$2,2,FALSE)</f>
        <v>#N/A</v>
      </c>
      <c r="C389" s="9" t="s">
        <v>0</v>
      </c>
      <c r="D389" s="9"/>
      <c r="E389" s="14" t="str">
        <f t="shared" si="620"/>
        <v/>
      </c>
      <c r="F389" s="9"/>
      <c r="G389" s="4">
        <f>-'libro compras'!I387</f>
        <v>0</v>
      </c>
      <c r="H389" s="9"/>
      <c r="I389" s="9" t="s">
        <v>2</v>
      </c>
      <c r="J389" s="9" t="str">
        <f t="shared" ref="J389:K389" si="625">+J388</f>
        <v xml:space="preserve"> </v>
      </c>
      <c r="K389" s="7">
        <f t="shared" si="625"/>
        <v>0</v>
      </c>
      <c r="L389" s="3">
        <f t="shared" si="622"/>
        <v>0</v>
      </c>
      <c r="M389" s="3">
        <f t="shared" si="623"/>
        <v>0</v>
      </c>
      <c r="N389" s="9" t="s">
        <v>34</v>
      </c>
    </row>
    <row r="390" spans="1:14" x14ac:dyDescent="0.25">
      <c r="A390" s="11">
        <f t="shared" ref="A390" si="626">+A389+1</f>
        <v>98</v>
      </c>
      <c r="B390" s="42" t="str">
        <f>+'libro compras'!$AK$1</f>
        <v>281130</v>
      </c>
      <c r="C390" s="9" t="s">
        <v>0</v>
      </c>
      <c r="D390" s="9"/>
      <c r="E390" s="14" t="str">
        <f>+'libro compras'!S391</f>
        <v/>
      </c>
      <c r="F390" s="9"/>
      <c r="G390" s="4">
        <f>+'libro compras'!AI391</f>
        <v>0</v>
      </c>
      <c r="H390" s="9"/>
      <c r="I390" s="9" t="s">
        <v>33</v>
      </c>
      <c r="J390" s="9" t="str">
        <f>+CONCATENATE('libro compras'!C391," ",'libro compras'!D391)</f>
        <v xml:space="preserve"> </v>
      </c>
      <c r="K390" s="7">
        <f>+'libro compras'!F391</f>
        <v>0</v>
      </c>
      <c r="L390" s="3">
        <f>+'libro compras'!C391</f>
        <v>0</v>
      </c>
      <c r="M390" s="3">
        <f>+'libro compras'!D391</f>
        <v>0</v>
      </c>
      <c r="N390" s="9" t="s">
        <v>34</v>
      </c>
    </row>
    <row r="391" spans="1:14" x14ac:dyDescent="0.25">
      <c r="A391" s="11">
        <f t="shared" ref="A391:A393" si="627">+A390</f>
        <v>98</v>
      </c>
      <c r="B391" s="43" t="str">
        <f>+'libro compras'!$AL$1</f>
        <v>401110</v>
      </c>
      <c r="C391" s="9" t="s">
        <v>0</v>
      </c>
      <c r="D391" s="9"/>
      <c r="E391" s="14" t="str">
        <f t="shared" ref="E391:E393" si="628">+E390</f>
        <v/>
      </c>
      <c r="F391" s="9"/>
      <c r="G391" s="4">
        <f>+'libro compras'!AJ391</f>
        <v>0</v>
      </c>
      <c r="H391" s="9"/>
      <c r="I391" s="9" t="s">
        <v>33</v>
      </c>
      <c r="J391" s="9" t="str">
        <f t="shared" ref="J391:M391" si="629">+J390</f>
        <v xml:space="preserve"> </v>
      </c>
      <c r="K391" s="7">
        <f t="shared" si="629"/>
        <v>0</v>
      </c>
      <c r="L391" s="3">
        <f t="shared" si="629"/>
        <v>0</v>
      </c>
      <c r="M391" s="3">
        <f t="shared" si="629"/>
        <v>0</v>
      </c>
      <c r="N391" s="9" t="s">
        <v>34</v>
      </c>
    </row>
    <row r="392" spans="1:14" x14ac:dyDescent="0.25">
      <c r="A392" s="11">
        <f t="shared" si="627"/>
        <v>98</v>
      </c>
      <c r="B392" s="32">
        <f>+'libro compras'!P391</f>
        <v>0</v>
      </c>
      <c r="C392" s="9" t="s">
        <v>0</v>
      </c>
      <c r="D392" s="9"/>
      <c r="E392" s="14" t="str">
        <f t="shared" si="628"/>
        <v/>
      </c>
      <c r="F392" s="9"/>
      <c r="G392" s="4">
        <f>-'libro compras'!AK391</f>
        <v>0</v>
      </c>
      <c r="H392" s="9"/>
      <c r="I392" s="9" t="s">
        <v>2</v>
      </c>
      <c r="J392" s="9" t="str">
        <f t="shared" ref="J392:M392" si="630">+J391</f>
        <v xml:space="preserve"> </v>
      </c>
      <c r="K392" s="7">
        <f t="shared" si="630"/>
        <v>0</v>
      </c>
      <c r="L392" s="3">
        <f t="shared" si="630"/>
        <v>0</v>
      </c>
      <c r="M392" s="3">
        <f t="shared" si="630"/>
        <v>0</v>
      </c>
      <c r="N392" s="9" t="s">
        <v>34</v>
      </c>
    </row>
    <row r="393" spans="1:14" x14ac:dyDescent="0.25">
      <c r="A393" s="11">
        <f t="shared" si="627"/>
        <v>98</v>
      </c>
      <c r="B393" s="34" t="e">
        <f>+VLOOKUP(B392,Hoja1!$A$1:$B$2,2,FALSE)</f>
        <v>#N/A</v>
      </c>
      <c r="C393" s="9" t="s">
        <v>0</v>
      </c>
      <c r="D393" s="9"/>
      <c r="E393" s="14" t="str">
        <f t="shared" si="628"/>
        <v/>
      </c>
      <c r="F393" s="9"/>
      <c r="G393" s="4">
        <f>-'libro compras'!I391</f>
        <v>0</v>
      </c>
      <c r="H393" s="9"/>
      <c r="I393" s="9" t="s">
        <v>2</v>
      </c>
      <c r="J393" s="9" t="str">
        <f t="shared" ref="J393:M393" si="631">+J392</f>
        <v xml:space="preserve"> </v>
      </c>
      <c r="K393" s="7">
        <f t="shared" si="631"/>
        <v>0</v>
      </c>
      <c r="L393" s="3">
        <f t="shared" si="631"/>
        <v>0</v>
      </c>
      <c r="M393" s="3">
        <f t="shared" si="631"/>
        <v>0</v>
      </c>
      <c r="N393" s="9" t="s">
        <v>34</v>
      </c>
    </row>
    <row r="394" spans="1:14" x14ac:dyDescent="0.25">
      <c r="A394" s="11">
        <f t="shared" si="611"/>
        <v>99</v>
      </c>
      <c r="B394" s="42" t="str">
        <f>+'libro compras'!$AK$1</f>
        <v>281130</v>
      </c>
      <c r="C394" s="9" t="s">
        <v>0</v>
      </c>
      <c r="D394" s="9"/>
      <c r="E394" s="14" t="str">
        <f>+'libro compras'!S395</f>
        <v/>
      </c>
      <c r="F394" s="9"/>
      <c r="G394" s="4">
        <f>+'libro compras'!AI395</f>
        <v>0</v>
      </c>
      <c r="H394" s="9"/>
      <c r="I394" s="9" t="s">
        <v>33</v>
      </c>
      <c r="J394" s="9" t="str">
        <f>+CONCATENATE('libro compras'!C395," ",'libro compras'!D395)</f>
        <v xml:space="preserve"> </v>
      </c>
      <c r="K394" s="7">
        <f t="shared" ref="K394" si="632">+K393</f>
        <v>0</v>
      </c>
      <c r="L394" s="3">
        <f>+'libro compras'!C395</f>
        <v>0</v>
      </c>
      <c r="M394" s="3">
        <f>+'libro compras'!D395</f>
        <v>0</v>
      </c>
      <c r="N394" s="9" t="s">
        <v>34</v>
      </c>
    </row>
    <row r="395" spans="1:14" x14ac:dyDescent="0.25">
      <c r="A395" s="11">
        <f t="shared" si="611"/>
        <v>99</v>
      </c>
      <c r="B395" s="43" t="str">
        <f>+'libro compras'!$AL$1</f>
        <v>401110</v>
      </c>
      <c r="C395" s="9" t="s">
        <v>0</v>
      </c>
      <c r="D395" s="9"/>
      <c r="E395" s="14" t="str">
        <f t="shared" ref="E395:E397" si="633">+E394</f>
        <v/>
      </c>
      <c r="F395" s="9"/>
      <c r="G395" s="4">
        <f>+'libro compras'!AJ395</f>
        <v>0</v>
      </c>
      <c r="H395" s="9"/>
      <c r="I395" s="9" t="s">
        <v>33</v>
      </c>
      <c r="J395" s="9" t="str">
        <f t="shared" ref="J395:K395" si="634">+J394</f>
        <v xml:space="preserve"> </v>
      </c>
      <c r="K395" s="7">
        <f t="shared" si="634"/>
        <v>0</v>
      </c>
      <c r="L395" s="3">
        <f t="shared" ref="L395:L397" si="635">+L394</f>
        <v>0</v>
      </c>
      <c r="M395" s="3">
        <f t="shared" ref="M395:M397" si="636">+M394</f>
        <v>0</v>
      </c>
      <c r="N395" s="9" t="s">
        <v>34</v>
      </c>
    </row>
    <row r="396" spans="1:14" x14ac:dyDescent="0.25">
      <c r="A396" s="11">
        <f t="shared" si="611"/>
        <v>99</v>
      </c>
      <c r="B396" s="32">
        <f>+'libro compras'!P395</f>
        <v>0</v>
      </c>
      <c r="C396" s="9" t="s">
        <v>0</v>
      </c>
      <c r="D396" s="9"/>
      <c r="E396" s="14" t="str">
        <f t="shared" si="633"/>
        <v/>
      </c>
      <c r="F396" s="9"/>
      <c r="G396" s="4">
        <f>-'libro compras'!AK395</f>
        <v>0</v>
      </c>
      <c r="H396" s="9"/>
      <c r="I396" s="9" t="s">
        <v>2</v>
      </c>
      <c r="J396" s="9" t="str">
        <f t="shared" ref="J396:K396" si="637">+J395</f>
        <v xml:space="preserve"> </v>
      </c>
      <c r="K396" s="7">
        <f t="shared" si="637"/>
        <v>0</v>
      </c>
      <c r="L396" s="3">
        <f t="shared" si="635"/>
        <v>0</v>
      </c>
      <c r="M396" s="3">
        <f t="shared" si="636"/>
        <v>0</v>
      </c>
      <c r="N396" s="9" t="s">
        <v>34</v>
      </c>
    </row>
    <row r="397" spans="1:14" x14ac:dyDescent="0.25">
      <c r="A397" s="11">
        <f t="shared" si="611"/>
        <v>99</v>
      </c>
      <c r="B397" s="34" t="e">
        <f>+VLOOKUP(B396,Hoja1!$A$1:$B$2,2,FALSE)</f>
        <v>#N/A</v>
      </c>
      <c r="C397" s="9" t="s">
        <v>0</v>
      </c>
      <c r="D397" s="9"/>
      <c r="E397" s="14" t="str">
        <f t="shared" si="633"/>
        <v/>
      </c>
      <c r="F397" s="9"/>
      <c r="G397" s="4">
        <f>-'libro compras'!I395</f>
        <v>0</v>
      </c>
      <c r="H397" s="9"/>
      <c r="I397" s="9" t="s">
        <v>2</v>
      </c>
      <c r="J397" s="9" t="str">
        <f t="shared" ref="J397:K397" si="638">+J396</f>
        <v xml:space="preserve"> </v>
      </c>
      <c r="K397" s="7">
        <f t="shared" si="638"/>
        <v>0</v>
      </c>
      <c r="L397" s="3">
        <f t="shared" si="635"/>
        <v>0</v>
      </c>
      <c r="M397" s="3">
        <f t="shared" si="636"/>
        <v>0</v>
      </c>
      <c r="N397" s="9" t="s">
        <v>34</v>
      </c>
    </row>
    <row r="398" spans="1:14" x14ac:dyDescent="0.25">
      <c r="A398" s="11">
        <f t="shared" si="611"/>
        <v>100</v>
      </c>
      <c r="B398" s="42" t="str">
        <f>+'libro compras'!$AK$1</f>
        <v>281130</v>
      </c>
      <c r="C398" s="9" t="s">
        <v>0</v>
      </c>
      <c r="D398" s="9"/>
      <c r="E398" s="14" t="str">
        <f>+'libro compras'!S399</f>
        <v/>
      </c>
      <c r="F398" s="9"/>
      <c r="G398" s="4">
        <f>+'libro compras'!AI399</f>
        <v>0</v>
      </c>
      <c r="H398" s="9"/>
      <c r="I398" s="9" t="s">
        <v>33</v>
      </c>
      <c r="J398" s="9" t="str">
        <f>+CONCATENATE('libro compras'!C399," ",'libro compras'!D399)</f>
        <v xml:space="preserve"> </v>
      </c>
      <c r="K398" s="7">
        <f t="shared" ref="K398" si="639">+K397</f>
        <v>0</v>
      </c>
      <c r="L398" s="3">
        <f>+'libro compras'!C399</f>
        <v>0</v>
      </c>
      <c r="M398" s="3">
        <f>+'libro compras'!D399</f>
        <v>0</v>
      </c>
      <c r="N398" s="9" t="s">
        <v>34</v>
      </c>
    </row>
    <row r="399" spans="1:14" x14ac:dyDescent="0.25">
      <c r="A399" s="11">
        <f t="shared" si="611"/>
        <v>100</v>
      </c>
      <c r="B399" s="43" t="str">
        <f>+'libro compras'!$AL$1</f>
        <v>401110</v>
      </c>
      <c r="C399" s="9" t="s">
        <v>0</v>
      </c>
      <c r="D399" s="9"/>
      <c r="E399" s="14" t="str">
        <f t="shared" ref="E399:E401" si="640">+E398</f>
        <v/>
      </c>
      <c r="F399" s="9"/>
      <c r="G399" s="4">
        <f>+'libro compras'!AJ399</f>
        <v>0</v>
      </c>
      <c r="H399" s="9"/>
      <c r="I399" s="9" t="s">
        <v>33</v>
      </c>
      <c r="J399" s="9" t="str">
        <f t="shared" ref="J399:K399" si="641">+J398</f>
        <v xml:space="preserve"> </v>
      </c>
      <c r="K399" s="7">
        <f t="shared" si="641"/>
        <v>0</v>
      </c>
      <c r="L399" s="3">
        <f t="shared" ref="L399:L401" si="642">+L398</f>
        <v>0</v>
      </c>
      <c r="M399" s="3">
        <f t="shared" ref="M399:M401" si="643">+M398</f>
        <v>0</v>
      </c>
      <c r="N399" s="9" t="s">
        <v>34</v>
      </c>
    </row>
    <row r="400" spans="1:14" x14ac:dyDescent="0.25">
      <c r="A400" s="11">
        <f t="shared" si="611"/>
        <v>100</v>
      </c>
      <c r="B400" s="32">
        <f>+'libro compras'!P399</f>
        <v>0</v>
      </c>
      <c r="C400" s="9" t="s">
        <v>0</v>
      </c>
      <c r="D400" s="9"/>
      <c r="E400" s="14" t="str">
        <f t="shared" si="640"/>
        <v/>
      </c>
      <c r="F400" s="9"/>
      <c r="G400" s="4">
        <f>-'libro compras'!AK399</f>
        <v>0</v>
      </c>
      <c r="H400" s="9"/>
      <c r="I400" s="9" t="s">
        <v>2</v>
      </c>
      <c r="J400" s="9" t="str">
        <f t="shared" ref="J400:K400" si="644">+J399</f>
        <v xml:space="preserve"> </v>
      </c>
      <c r="K400" s="7">
        <f t="shared" si="644"/>
        <v>0</v>
      </c>
      <c r="L400" s="3">
        <f t="shared" si="642"/>
        <v>0</v>
      </c>
      <c r="M400" s="3">
        <f t="shared" si="643"/>
        <v>0</v>
      </c>
      <c r="N400" s="9" t="s">
        <v>34</v>
      </c>
    </row>
    <row r="401" spans="1:14" x14ac:dyDescent="0.25">
      <c r="A401" s="11">
        <f t="shared" si="611"/>
        <v>100</v>
      </c>
      <c r="B401" s="34" t="e">
        <f>+VLOOKUP(B400,Hoja1!$A$1:$B$2,2,FALSE)</f>
        <v>#N/A</v>
      </c>
      <c r="C401" s="9" t="s">
        <v>0</v>
      </c>
      <c r="D401" s="9"/>
      <c r="E401" s="14" t="str">
        <f t="shared" si="640"/>
        <v/>
      </c>
      <c r="F401" s="9"/>
      <c r="G401" s="4">
        <f>-'libro compras'!I399</f>
        <v>0</v>
      </c>
      <c r="H401" s="9"/>
      <c r="I401" s="9" t="s">
        <v>2</v>
      </c>
      <c r="J401" s="9" t="str">
        <f t="shared" ref="J401:K401" si="645">+J400</f>
        <v xml:space="preserve"> </v>
      </c>
      <c r="K401" s="7">
        <f t="shared" si="645"/>
        <v>0</v>
      </c>
      <c r="L401" s="3">
        <f t="shared" si="642"/>
        <v>0</v>
      </c>
      <c r="M401" s="3">
        <f t="shared" si="643"/>
        <v>0</v>
      </c>
      <c r="N401" s="9" t="s">
        <v>34</v>
      </c>
    </row>
    <row r="402" spans="1:14" x14ac:dyDescent="0.25">
      <c r="A402" s="11">
        <f t="shared" ref="A402" si="646">+A401+1</f>
        <v>101</v>
      </c>
      <c r="B402" s="42" t="str">
        <f>+'libro compras'!$AK$1</f>
        <v>281130</v>
      </c>
      <c r="C402" s="9" t="s">
        <v>0</v>
      </c>
      <c r="D402" s="9"/>
      <c r="E402" s="14" t="str">
        <f>+'libro compras'!S403</f>
        <v/>
      </c>
      <c r="F402" s="9"/>
      <c r="G402" s="4">
        <f>+'libro compras'!AI403</f>
        <v>0</v>
      </c>
      <c r="H402" s="9"/>
      <c r="I402" s="9" t="s">
        <v>33</v>
      </c>
      <c r="J402" s="9" t="str">
        <f>+CONCATENATE('libro compras'!C403," ",'libro compras'!D403)</f>
        <v xml:space="preserve"> </v>
      </c>
      <c r="K402" s="7">
        <f>+'libro compras'!F403</f>
        <v>0</v>
      </c>
      <c r="L402" s="3">
        <f>+'libro compras'!C403</f>
        <v>0</v>
      </c>
      <c r="M402" s="3">
        <f>+'libro compras'!D403</f>
        <v>0</v>
      </c>
      <c r="N402" s="9" t="s">
        <v>34</v>
      </c>
    </row>
    <row r="403" spans="1:14" x14ac:dyDescent="0.25">
      <c r="A403" s="11">
        <f t="shared" ref="A403:A405" si="647">+A402</f>
        <v>101</v>
      </c>
      <c r="B403" s="43" t="str">
        <f>+'libro compras'!$AL$1</f>
        <v>401110</v>
      </c>
      <c r="C403" s="9" t="s">
        <v>0</v>
      </c>
      <c r="D403" s="9"/>
      <c r="E403" s="14" t="str">
        <f t="shared" ref="E403:E405" si="648">+E402</f>
        <v/>
      </c>
      <c r="F403" s="9"/>
      <c r="G403" s="4">
        <f>+'libro compras'!AJ403</f>
        <v>0</v>
      </c>
      <c r="H403" s="9"/>
      <c r="I403" s="9" t="s">
        <v>33</v>
      </c>
      <c r="J403" s="9" t="str">
        <f t="shared" ref="J403:M403" si="649">+J402</f>
        <v xml:space="preserve"> </v>
      </c>
      <c r="K403" s="7">
        <f t="shared" si="649"/>
        <v>0</v>
      </c>
      <c r="L403" s="3">
        <f t="shared" si="649"/>
        <v>0</v>
      </c>
      <c r="M403" s="3">
        <f t="shared" si="649"/>
        <v>0</v>
      </c>
      <c r="N403" s="9" t="s">
        <v>34</v>
      </c>
    </row>
    <row r="404" spans="1:14" x14ac:dyDescent="0.25">
      <c r="A404" s="11">
        <f t="shared" si="647"/>
        <v>101</v>
      </c>
      <c r="B404" s="32">
        <f>+'libro compras'!P403</f>
        <v>0</v>
      </c>
      <c r="C404" s="9" t="s">
        <v>0</v>
      </c>
      <c r="D404" s="9"/>
      <c r="E404" s="14" t="str">
        <f t="shared" si="648"/>
        <v/>
      </c>
      <c r="F404" s="9"/>
      <c r="G404" s="4">
        <f>-'libro compras'!AK403</f>
        <v>0</v>
      </c>
      <c r="H404" s="9"/>
      <c r="I404" s="9" t="s">
        <v>2</v>
      </c>
      <c r="J404" s="9" t="str">
        <f t="shared" ref="J404:M404" si="650">+J403</f>
        <v xml:space="preserve"> </v>
      </c>
      <c r="K404" s="7">
        <f t="shared" si="650"/>
        <v>0</v>
      </c>
      <c r="L404" s="3">
        <f t="shared" si="650"/>
        <v>0</v>
      </c>
      <c r="M404" s="3">
        <f t="shared" si="650"/>
        <v>0</v>
      </c>
      <c r="N404" s="9" t="s">
        <v>34</v>
      </c>
    </row>
    <row r="405" spans="1:14" x14ac:dyDescent="0.25">
      <c r="A405" s="11">
        <f t="shared" si="647"/>
        <v>101</v>
      </c>
      <c r="B405" s="34" t="e">
        <f>+VLOOKUP(B404,Hoja1!$A$1:$B$2,2,FALSE)</f>
        <v>#N/A</v>
      </c>
      <c r="C405" s="9" t="s">
        <v>0</v>
      </c>
      <c r="D405" s="9"/>
      <c r="E405" s="14" t="str">
        <f t="shared" si="648"/>
        <v/>
      </c>
      <c r="F405" s="9"/>
      <c r="G405" s="4">
        <f>-'libro compras'!I403</f>
        <v>0</v>
      </c>
      <c r="H405" s="9"/>
      <c r="I405" s="9" t="s">
        <v>2</v>
      </c>
      <c r="J405" s="9" t="str">
        <f t="shared" ref="J405:M405" si="651">+J404</f>
        <v xml:space="preserve"> </v>
      </c>
      <c r="K405" s="7">
        <f t="shared" si="651"/>
        <v>0</v>
      </c>
      <c r="L405" s="3">
        <f t="shared" si="651"/>
        <v>0</v>
      </c>
      <c r="M405" s="3">
        <f t="shared" si="651"/>
        <v>0</v>
      </c>
      <c r="N405" s="9" t="s">
        <v>34</v>
      </c>
    </row>
    <row r="406" spans="1:14" x14ac:dyDescent="0.25">
      <c r="A406" s="11">
        <f t="shared" si="611"/>
        <v>102</v>
      </c>
      <c r="B406" s="42" t="str">
        <f>+'libro compras'!$AK$1</f>
        <v>281130</v>
      </c>
      <c r="C406" s="9" t="s">
        <v>0</v>
      </c>
      <c r="D406" s="9"/>
      <c r="E406" s="14" t="str">
        <f>+'libro compras'!S407</f>
        <v/>
      </c>
      <c r="F406" s="9"/>
      <c r="G406" s="4">
        <f>+'libro compras'!AI407</f>
        <v>0</v>
      </c>
      <c r="H406" s="9"/>
      <c r="I406" s="9" t="s">
        <v>33</v>
      </c>
      <c r="J406" s="9" t="str">
        <f>+CONCATENATE('libro compras'!C407," ",'libro compras'!D407)</f>
        <v xml:space="preserve"> </v>
      </c>
      <c r="K406" s="7">
        <f t="shared" ref="K406" si="652">+K405</f>
        <v>0</v>
      </c>
      <c r="L406" s="3">
        <f>+'libro compras'!C407</f>
        <v>0</v>
      </c>
      <c r="M406" s="3">
        <f>+'libro compras'!D407</f>
        <v>0</v>
      </c>
      <c r="N406" s="9" t="s">
        <v>34</v>
      </c>
    </row>
    <row r="407" spans="1:14" x14ac:dyDescent="0.25">
      <c r="A407" s="11">
        <f t="shared" si="611"/>
        <v>102</v>
      </c>
      <c r="B407" s="43" t="str">
        <f>+'libro compras'!$AL$1</f>
        <v>401110</v>
      </c>
      <c r="C407" s="9" t="s">
        <v>0</v>
      </c>
      <c r="D407" s="9"/>
      <c r="E407" s="14" t="str">
        <f t="shared" ref="E407:E409" si="653">+E406</f>
        <v/>
      </c>
      <c r="F407" s="9"/>
      <c r="G407" s="4">
        <f>+'libro compras'!AJ407</f>
        <v>0</v>
      </c>
      <c r="H407" s="9"/>
      <c r="I407" s="9" t="s">
        <v>33</v>
      </c>
      <c r="J407" s="9" t="str">
        <f t="shared" ref="J407:K407" si="654">+J406</f>
        <v xml:space="preserve"> </v>
      </c>
      <c r="K407" s="7">
        <f t="shared" si="654"/>
        <v>0</v>
      </c>
      <c r="L407" s="3">
        <f t="shared" ref="L407:L409" si="655">+L406</f>
        <v>0</v>
      </c>
      <c r="M407" s="3">
        <f t="shared" ref="M407:M409" si="656">+M406</f>
        <v>0</v>
      </c>
      <c r="N407" s="9" t="s">
        <v>34</v>
      </c>
    </row>
    <row r="408" spans="1:14" x14ac:dyDescent="0.25">
      <c r="A408" s="11">
        <f t="shared" si="611"/>
        <v>102</v>
      </c>
      <c r="B408" s="32">
        <f>+'libro compras'!P407</f>
        <v>0</v>
      </c>
      <c r="C408" s="9" t="s">
        <v>0</v>
      </c>
      <c r="D408" s="9"/>
      <c r="E408" s="14" t="str">
        <f t="shared" si="653"/>
        <v/>
      </c>
      <c r="F408" s="9"/>
      <c r="G408" s="4">
        <f>-'libro compras'!AK407</f>
        <v>0</v>
      </c>
      <c r="H408" s="9"/>
      <c r="I408" s="9" t="s">
        <v>2</v>
      </c>
      <c r="J408" s="9" t="str">
        <f t="shared" ref="J408:K408" si="657">+J407</f>
        <v xml:space="preserve"> </v>
      </c>
      <c r="K408" s="7">
        <f t="shared" si="657"/>
        <v>0</v>
      </c>
      <c r="L408" s="3">
        <f t="shared" si="655"/>
        <v>0</v>
      </c>
      <c r="M408" s="3">
        <f t="shared" si="656"/>
        <v>0</v>
      </c>
      <c r="N408" s="9" t="s">
        <v>34</v>
      </c>
    </row>
    <row r="409" spans="1:14" x14ac:dyDescent="0.25">
      <c r="A409" s="11">
        <f t="shared" si="611"/>
        <v>102</v>
      </c>
      <c r="B409" s="34" t="e">
        <f>+VLOOKUP(B408,Hoja1!$A$1:$B$2,2,FALSE)</f>
        <v>#N/A</v>
      </c>
      <c r="C409" s="9" t="s">
        <v>0</v>
      </c>
      <c r="D409" s="9"/>
      <c r="E409" s="14" t="str">
        <f t="shared" si="653"/>
        <v/>
      </c>
      <c r="F409" s="9"/>
      <c r="G409" s="4">
        <f>-'libro compras'!I407</f>
        <v>0</v>
      </c>
      <c r="H409" s="9"/>
      <c r="I409" s="9" t="s">
        <v>2</v>
      </c>
      <c r="J409" s="9" t="str">
        <f t="shared" ref="J409:K409" si="658">+J408</f>
        <v xml:space="preserve"> </v>
      </c>
      <c r="K409" s="7">
        <f t="shared" si="658"/>
        <v>0</v>
      </c>
      <c r="L409" s="3">
        <f t="shared" si="655"/>
        <v>0</v>
      </c>
      <c r="M409" s="3">
        <f t="shared" si="656"/>
        <v>0</v>
      </c>
      <c r="N409" s="9" t="s">
        <v>34</v>
      </c>
    </row>
    <row r="410" spans="1:14" x14ac:dyDescent="0.25">
      <c r="A410" s="11">
        <f t="shared" si="611"/>
        <v>103</v>
      </c>
      <c r="B410" s="42" t="str">
        <f>+'libro compras'!$AK$1</f>
        <v>281130</v>
      </c>
      <c r="C410" s="9" t="s">
        <v>0</v>
      </c>
      <c r="D410" s="9"/>
      <c r="E410" s="14" t="str">
        <f>+'libro compras'!S411</f>
        <v/>
      </c>
      <c r="F410" s="9"/>
      <c r="G410" s="4">
        <f>+'libro compras'!AI411</f>
        <v>0</v>
      </c>
      <c r="H410" s="9"/>
      <c r="I410" s="9" t="s">
        <v>33</v>
      </c>
      <c r="J410" s="9" t="str">
        <f>+CONCATENATE('libro compras'!C411," ",'libro compras'!D411)</f>
        <v xml:space="preserve"> </v>
      </c>
      <c r="K410" s="7">
        <f t="shared" ref="K410" si="659">+K409</f>
        <v>0</v>
      </c>
      <c r="L410" s="3">
        <f>+'libro compras'!C411</f>
        <v>0</v>
      </c>
      <c r="M410" s="3">
        <f>+'libro compras'!D411</f>
        <v>0</v>
      </c>
      <c r="N410" s="9" t="s">
        <v>34</v>
      </c>
    </row>
    <row r="411" spans="1:14" x14ac:dyDescent="0.25">
      <c r="A411" s="11">
        <f t="shared" si="611"/>
        <v>103</v>
      </c>
      <c r="B411" s="43" t="str">
        <f>+'libro compras'!$AL$1</f>
        <v>401110</v>
      </c>
      <c r="C411" s="9" t="s">
        <v>0</v>
      </c>
      <c r="D411" s="9"/>
      <c r="E411" s="14" t="str">
        <f t="shared" ref="E411:E413" si="660">+E410</f>
        <v/>
      </c>
      <c r="F411" s="9"/>
      <c r="G411" s="4">
        <f>+'libro compras'!AJ411</f>
        <v>0</v>
      </c>
      <c r="H411" s="9"/>
      <c r="I411" s="9" t="s">
        <v>33</v>
      </c>
      <c r="J411" s="9" t="str">
        <f t="shared" ref="J411:K411" si="661">+J410</f>
        <v xml:space="preserve"> </v>
      </c>
      <c r="K411" s="7">
        <f t="shared" si="661"/>
        <v>0</v>
      </c>
      <c r="L411" s="3">
        <f t="shared" ref="L411:L413" si="662">+L410</f>
        <v>0</v>
      </c>
      <c r="M411" s="3">
        <f t="shared" ref="M411:M413" si="663">+M410</f>
        <v>0</v>
      </c>
      <c r="N411" s="9" t="s">
        <v>34</v>
      </c>
    </row>
    <row r="412" spans="1:14" x14ac:dyDescent="0.25">
      <c r="A412" s="11">
        <f t="shared" si="611"/>
        <v>103</v>
      </c>
      <c r="B412" s="32">
        <f>+'libro compras'!P411</f>
        <v>0</v>
      </c>
      <c r="C412" s="9" t="s">
        <v>0</v>
      </c>
      <c r="D412" s="9"/>
      <c r="E412" s="14" t="str">
        <f t="shared" si="660"/>
        <v/>
      </c>
      <c r="F412" s="9"/>
      <c r="G412" s="4">
        <f>-'libro compras'!AK411</f>
        <v>0</v>
      </c>
      <c r="H412" s="9"/>
      <c r="I412" s="9" t="s">
        <v>2</v>
      </c>
      <c r="J412" s="9" t="str">
        <f t="shared" ref="J412:K412" si="664">+J411</f>
        <v xml:space="preserve"> </v>
      </c>
      <c r="K412" s="7">
        <f t="shared" si="664"/>
        <v>0</v>
      </c>
      <c r="L412" s="3">
        <f t="shared" si="662"/>
        <v>0</v>
      </c>
      <c r="M412" s="3">
        <f t="shared" si="663"/>
        <v>0</v>
      </c>
      <c r="N412" s="9" t="s">
        <v>34</v>
      </c>
    </row>
    <row r="413" spans="1:14" x14ac:dyDescent="0.25">
      <c r="A413" s="11">
        <f t="shared" si="611"/>
        <v>103</v>
      </c>
      <c r="B413" s="34" t="e">
        <f>+VLOOKUP(B412,Hoja1!$A$1:$B$2,2,FALSE)</f>
        <v>#N/A</v>
      </c>
      <c r="C413" s="9" t="s">
        <v>0</v>
      </c>
      <c r="D413" s="9"/>
      <c r="E413" s="14" t="str">
        <f t="shared" si="660"/>
        <v/>
      </c>
      <c r="F413" s="9"/>
      <c r="G413" s="4">
        <f>-'libro compras'!I411</f>
        <v>0</v>
      </c>
      <c r="H413" s="9"/>
      <c r="I413" s="9" t="s">
        <v>2</v>
      </c>
      <c r="J413" s="9" t="str">
        <f t="shared" ref="J413:K413" si="665">+J412</f>
        <v xml:space="preserve"> </v>
      </c>
      <c r="K413" s="7">
        <f t="shared" si="665"/>
        <v>0</v>
      </c>
      <c r="L413" s="3">
        <f t="shared" si="662"/>
        <v>0</v>
      </c>
      <c r="M413" s="3">
        <f t="shared" si="663"/>
        <v>0</v>
      </c>
      <c r="N413" s="9" t="s">
        <v>34</v>
      </c>
    </row>
    <row r="414" spans="1:14" x14ac:dyDescent="0.25">
      <c r="A414" s="11">
        <f t="shared" ref="A414" si="666">+A413+1</f>
        <v>104</v>
      </c>
      <c r="B414" s="42" t="str">
        <f>+'libro compras'!$AK$1</f>
        <v>281130</v>
      </c>
      <c r="C414" s="9" t="s">
        <v>0</v>
      </c>
      <c r="D414" s="9"/>
      <c r="E414" s="14" t="str">
        <f>+'libro compras'!S415</f>
        <v/>
      </c>
      <c r="F414" s="9"/>
      <c r="G414" s="4">
        <f>+'libro compras'!AI415</f>
        <v>0</v>
      </c>
      <c r="H414" s="9"/>
      <c r="I414" s="9" t="s">
        <v>33</v>
      </c>
      <c r="J414" s="9" t="str">
        <f>+CONCATENATE('libro compras'!C415," ",'libro compras'!D415)</f>
        <v xml:space="preserve"> </v>
      </c>
      <c r="K414" s="7">
        <f>+'libro compras'!F415</f>
        <v>0</v>
      </c>
      <c r="L414" s="3">
        <f>+'libro compras'!C415</f>
        <v>0</v>
      </c>
      <c r="M414" s="3">
        <f>+'libro compras'!D415</f>
        <v>0</v>
      </c>
      <c r="N414" s="9" t="s">
        <v>34</v>
      </c>
    </row>
    <row r="415" spans="1:14" x14ac:dyDescent="0.25">
      <c r="A415" s="11">
        <f t="shared" ref="A415:A417" si="667">+A414</f>
        <v>104</v>
      </c>
      <c r="B415" s="43" t="str">
        <f>+'libro compras'!$AL$1</f>
        <v>401110</v>
      </c>
      <c r="C415" s="9" t="s">
        <v>0</v>
      </c>
      <c r="D415" s="9"/>
      <c r="E415" s="14" t="str">
        <f t="shared" ref="E415:E417" si="668">+E414</f>
        <v/>
      </c>
      <c r="F415" s="9"/>
      <c r="G415" s="4">
        <f>+'libro compras'!AJ415</f>
        <v>0</v>
      </c>
      <c r="H415" s="9"/>
      <c r="I415" s="9" t="s">
        <v>33</v>
      </c>
      <c r="J415" s="9" t="str">
        <f t="shared" ref="J415:M415" si="669">+J414</f>
        <v xml:space="preserve"> </v>
      </c>
      <c r="K415" s="7">
        <f t="shared" si="669"/>
        <v>0</v>
      </c>
      <c r="L415" s="3">
        <f t="shared" si="669"/>
        <v>0</v>
      </c>
      <c r="M415" s="3">
        <f t="shared" si="669"/>
        <v>0</v>
      </c>
      <c r="N415" s="9" t="s">
        <v>34</v>
      </c>
    </row>
    <row r="416" spans="1:14" x14ac:dyDescent="0.25">
      <c r="A416" s="11">
        <f t="shared" si="667"/>
        <v>104</v>
      </c>
      <c r="B416" s="32">
        <f>+'libro compras'!P415</f>
        <v>0</v>
      </c>
      <c r="C416" s="9" t="s">
        <v>0</v>
      </c>
      <c r="D416" s="9"/>
      <c r="E416" s="14" t="str">
        <f t="shared" si="668"/>
        <v/>
      </c>
      <c r="F416" s="9"/>
      <c r="G416" s="4">
        <f>-'libro compras'!AK415</f>
        <v>0</v>
      </c>
      <c r="H416" s="9"/>
      <c r="I416" s="9" t="s">
        <v>2</v>
      </c>
      <c r="J416" s="9" t="str">
        <f t="shared" ref="J416:M416" si="670">+J415</f>
        <v xml:space="preserve"> </v>
      </c>
      <c r="K416" s="7">
        <f t="shared" si="670"/>
        <v>0</v>
      </c>
      <c r="L416" s="3">
        <f t="shared" si="670"/>
        <v>0</v>
      </c>
      <c r="M416" s="3">
        <f t="shared" si="670"/>
        <v>0</v>
      </c>
      <c r="N416" s="9" t="s">
        <v>34</v>
      </c>
    </row>
    <row r="417" spans="1:14" x14ac:dyDescent="0.25">
      <c r="A417" s="11">
        <f t="shared" si="667"/>
        <v>104</v>
      </c>
      <c r="B417" s="34" t="e">
        <f>+VLOOKUP(B416,Hoja1!$A$1:$B$2,2,FALSE)</f>
        <v>#N/A</v>
      </c>
      <c r="C417" s="9" t="s">
        <v>0</v>
      </c>
      <c r="D417" s="9"/>
      <c r="E417" s="14" t="str">
        <f t="shared" si="668"/>
        <v/>
      </c>
      <c r="F417" s="9"/>
      <c r="G417" s="4">
        <f>-'libro compras'!I415</f>
        <v>0</v>
      </c>
      <c r="H417" s="9"/>
      <c r="I417" s="9" t="s">
        <v>2</v>
      </c>
      <c r="J417" s="9" t="str">
        <f t="shared" ref="J417:M417" si="671">+J416</f>
        <v xml:space="preserve"> </v>
      </c>
      <c r="K417" s="7">
        <f t="shared" si="671"/>
        <v>0</v>
      </c>
      <c r="L417" s="3">
        <f t="shared" si="671"/>
        <v>0</v>
      </c>
      <c r="M417" s="3">
        <f t="shared" si="671"/>
        <v>0</v>
      </c>
      <c r="N417" s="9" t="s">
        <v>34</v>
      </c>
    </row>
    <row r="418" spans="1:14" x14ac:dyDescent="0.25">
      <c r="A418" s="11">
        <f t="shared" si="611"/>
        <v>105</v>
      </c>
      <c r="B418" s="42" t="str">
        <f>+'libro compras'!$AK$1</f>
        <v>281130</v>
      </c>
      <c r="C418" s="9" t="s">
        <v>0</v>
      </c>
      <c r="D418" s="9"/>
      <c r="E418" s="14" t="str">
        <f>+'libro compras'!S419</f>
        <v/>
      </c>
      <c r="F418" s="9"/>
      <c r="G418" s="4">
        <f>+'libro compras'!AI419</f>
        <v>0</v>
      </c>
      <c r="H418" s="9"/>
      <c r="I418" s="9" t="s">
        <v>33</v>
      </c>
      <c r="J418" s="9" t="str">
        <f>+CONCATENATE('libro compras'!C419," ",'libro compras'!D419)</f>
        <v xml:space="preserve"> </v>
      </c>
      <c r="K418" s="7">
        <f t="shared" ref="K418" si="672">+K417</f>
        <v>0</v>
      </c>
      <c r="L418" s="3">
        <f>+'libro compras'!C419</f>
        <v>0</v>
      </c>
      <c r="M418" s="3">
        <f>+'libro compras'!D419</f>
        <v>0</v>
      </c>
      <c r="N418" s="9" t="s">
        <v>34</v>
      </c>
    </row>
    <row r="419" spans="1:14" x14ac:dyDescent="0.25">
      <c r="A419" s="11">
        <f t="shared" si="611"/>
        <v>105</v>
      </c>
      <c r="B419" s="43" t="str">
        <f>+'libro compras'!$AL$1</f>
        <v>401110</v>
      </c>
      <c r="C419" s="9" t="s">
        <v>0</v>
      </c>
      <c r="D419" s="9"/>
      <c r="E419" s="14" t="str">
        <f t="shared" ref="E419:E421" si="673">+E418</f>
        <v/>
      </c>
      <c r="F419" s="9"/>
      <c r="G419" s="4">
        <f>+'libro compras'!AJ419</f>
        <v>0</v>
      </c>
      <c r="H419" s="9"/>
      <c r="I419" s="9" t="s">
        <v>33</v>
      </c>
      <c r="J419" s="9" t="str">
        <f t="shared" ref="J419:K419" si="674">+J418</f>
        <v xml:space="preserve"> </v>
      </c>
      <c r="K419" s="7">
        <f t="shared" si="674"/>
        <v>0</v>
      </c>
      <c r="L419" s="3">
        <f t="shared" ref="L419:L421" si="675">+L418</f>
        <v>0</v>
      </c>
      <c r="M419" s="3">
        <f t="shared" ref="M419:M421" si="676">+M418</f>
        <v>0</v>
      </c>
      <c r="N419" s="9" t="s">
        <v>34</v>
      </c>
    </row>
    <row r="420" spans="1:14" x14ac:dyDescent="0.25">
      <c r="A420" s="11">
        <f t="shared" si="611"/>
        <v>105</v>
      </c>
      <c r="B420" s="32">
        <f>+'libro compras'!P419</f>
        <v>0</v>
      </c>
      <c r="C420" s="9" t="s">
        <v>0</v>
      </c>
      <c r="D420" s="9"/>
      <c r="E420" s="14" t="str">
        <f t="shared" si="673"/>
        <v/>
      </c>
      <c r="F420" s="9"/>
      <c r="G420" s="4">
        <f>-'libro compras'!AK419</f>
        <v>0</v>
      </c>
      <c r="H420" s="9"/>
      <c r="I420" s="9" t="s">
        <v>2</v>
      </c>
      <c r="J420" s="9" t="str">
        <f t="shared" ref="J420:K420" si="677">+J419</f>
        <v xml:space="preserve"> </v>
      </c>
      <c r="K420" s="7">
        <f t="shared" si="677"/>
        <v>0</v>
      </c>
      <c r="L420" s="3">
        <f t="shared" si="675"/>
        <v>0</v>
      </c>
      <c r="M420" s="3">
        <f t="shared" si="676"/>
        <v>0</v>
      </c>
      <c r="N420" s="9" t="s">
        <v>34</v>
      </c>
    </row>
    <row r="421" spans="1:14" x14ac:dyDescent="0.25">
      <c r="A421" s="11">
        <f t="shared" si="611"/>
        <v>105</v>
      </c>
      <c r="B421" s="34" t="e">
        <f>+VLOOKUP(B420,Hoja1!$A$1:$B$2,2,FALSE)</f>
        <v>#N/A</v>
      </c>
      <c r="C421" s="9" t="s">
        <v>0</v>
      </c>
      <c r="D421" s="9"/>
      <c r="E421" s="14" t="str">
        <f t="shared" si="673"/>
        <v/>
      </c>
      <c r="F421" s="9"/>
      <c r="G421" s="4">
        <f>-'libro compras'!I419</f>
        <v>0</v>
      </c>
      <c r="H421" s="9"/>
      <c r="I421" s="9" t="s">
        <v>2</v>
      </c>
      <c r="J421" s="9" t="str">
        <f t="shared" ref="J421:K421" si="678">+J420</f>
        <v xml:space="preserve"> </v>
      </c>
      <c r="K421" s="7">
        <f t="shared" si="678"/>
        <v>0</v>
      </c>
      <c r="L421" s="3">
        <f t="shared" si="675"/>
        <v>0</v>
      </c>
      <c r="M421" s="3">
        <f t="shared" si="676"/>
        <v>0</v>
      </c>
      <c r="N421" s="9" t="s">
        <v>34</v>
      </c>
    </row>
    <row r="422" spans="1:14" x14ac:dyDescent="0.25">
      <c r="A422" s="11">
        <f t="shared" si="611"/>
        <v>106</v>
      </c>
      <c r="B422" s="42" t="str">
        <f>+'libro compras'!$AK$1</f>
        <v>281130</v>
      </c>
      <c r="C422" s="9" t="s">
        <v>0</v>
      </c>
      <c r="D422" s="9"/>
      <c r="E422" s="14" t="str">
        <f>+'libro compras'!S423</f>
        <v/>
      </c>
      <c r="F422" s="9"/>
      <c r="G422" s="4">
        <f>+'libro compras'!AI423</f>
        <v>0</v>
      </c>
      <c r="H422" s="9"/>
      <c r="I422" s="9" t="s">
        <v>33</v>
      </c>
      <c r="J422" s="9" t="str">
        <f>+CONCATENATE('libro compras'!C423," ",'libro compras'!D423)</f>
        <v xml:space="preserve"> </v>
      </c>
      <c r="K422" s="7">
        <f t="shared" ref="K422" si="679">+K421</f>
        <v>0</v>
      </c>
      <c r="L422" s="3">
        <f>+'libro compras'!C423</f>
        <v>0</v>
      </c>
      <c r="M422" s="3">
        <f>+'libro compras'!D423</f>
        <v>0</v>
      </c>
      <c r="N422" s="9" t="s">
        <v>34</v>
      </c>
    </row>
    <row r="423" spans="1:14" x14ac:dyDescent="0.25">
      <c r="A423" s="11">
        <f t="shared" si="611"/>
        <v>106</v>
      </c>
      <c r="B423" s="43" t="str">
        <f>+'libro compras'!$AL$1</f>
        <v>401110</v>
      </c>
      <c r="C423" s="9" t="s">
        <v>0</v>
      </c>
      <c r="D423" s="9"/>
      <c r="E423" s="14" t="str">
        <f t="shared" ref="E423:E425" si="680">+E422</f>
        <v/>
      </c>
      <c r="F423" s="9"/>
      <c r="G423" s="4">
        <f>+'libro compras'!AJ423</f>
        <v>0</v>
      </c>
      <c r="H423" s="9"/>
      <c r="I423" s="9" t="s">
        <v>33</v>
      </c>
      <c r="J423" s="9" t="str">
        <f t="shared" ref="J423:K423" si="681">+J422</f>
        <v xml:space="preserve"> </v>
      </c>
      <c r="K423" s="7">
        <f t="shared" si="681"/>
        <v>0</v>
      </c>
      <c r="L423" s="3">
        <f t="shared" ref="L423:L425" si="682">+L422</f>
        <v>0</v>
      </c>
      <c r="M423" s="3">
        <f t="shared" ref="M423:M425" si="683">+M422</f>
        <v>0</v>
      </c>
      <c r="N423" s="9" t="s">
        <v>34</v>
      </c>
    </row>
    <row r="424" spans="1:14" x14ac:dyDescent="0.25">
      <c r="A424" s="11">
        <f t="shared" si="611"/>
        <v>106</v>
      </c>
      <c r="B424" s="32">
        <f>+'libro compras'!P423</f>
        <v>0</v>
      </c>
      <c r="C424" s="9" t="s">
        <v>0</v>
      </c>
      <c r="D424" s="9"/>
      <c r="E424" s="14" t="str">
        <f t="shared" si="680"/>
        <v/>
      </c>
      <c r="F424" s="9"/>
      <c r="G424" s="4">
        <f>-'libro compras'!AK423</f>
        <v>0</v>
      </c>
      <c r="H424" s="9"/>
      <c r="I424" s="9" t="s">
        <v>2</v>
      </c>
      <c r="J424" s="9" t="str">
        <f t="shared" ref="J424:K424" si="684">+J423</f>
        <v xml:space="preserve"> </v>
      </c>
      <c r="K424" s="7">
        <f t="shared" si="684"/>
        <v>0</v>
      </c>
      <c r="L424" s="3">
        <f t="shared" si="682"/>
        <v>0</v>
      </c>
      <c r="M424" s="3">
        <f t="shared" si="683"/>
        <v>0</v>
      </c>
      <c r="N424" s="9" t="s">
        <v>34</v>
      </c>
    </row>
    <row r="425" spans="1:14" x14ac:dyDescent="0.25">
      <c r="A425" s="11">
        <f t="shared" si="611"/>
        <v>106</v>
      </c>
      <c r="B425" s="34" t="e">
        <f>+VLOOKUP(B424,Hoja1!$A$1:$B$2,2,FALSE)</f>
        <v>#N/A</v>
      </c>
      <c r="C425" s="9" t="s">
        <v>0</v>
      </c>
      <c r="D425" s="9"/>
      <c r="E425" s="14" t="str">
        <f t="shared" si="680"/>
        <v/>
      </c>
      <c r="F425" s="9"/>
      <c r="G425" s="4">
        <f>-'libro compras'!I423</f>
        <v>0</v>
      </c>
      <c r="H425" s="9"/>
      <c r="I425" s="9" t="s">
        <v>2</v>
      </c>
      <c r="J425" s="9" t="str">
        <f t="shared" ref="J425:K425" si="685">+J424</f>
        <v xml:space="preserve"> </v>
      </c>
      <c r="K425" s="7">
        <f t="shared" si="685"/>
        <v>0</v>
      </c>
      <c r="L425" s="3">
        <f t="shared" si="682"/>
        <v>0</v>
      </c>
      <c r="M425" s="3">
        <f t="shared" si="683"/>
        <v>0</v>
      </c>
      <c r="N425" s="9" t="s">
        <v>34</v>
      </c>
    </row>
    <row r="426" spans="1:14" x14ac:dyDescent="0.25">
      <c r="A426" s="11">
        <f t="shared" ref="A426" si="686">+A425+1</f>
        <v>107</v>
      </c>
      <c r="B426" s="42" t="str">
        <f>+'libro compras'!$AK$1</f>
        <v>281130</v>
      </c>
      <c r="C426" s="9" t="s">
        <v>0</v>
      </c>
      <c r="D426" s="9"/>
      <c r="E426" s="14" t="str">
        <f>+'libro compras'!S427</f>
        <v/>
      </c>
      <c r="F426" s="9"/>
      <c r="G426" s="4">
        <f>+'libro compras'!AI427</f>
        <v>0</v>
      </c>
      <c r="H426" s="9"/>
      <c r="I426" s="9" t="s">
        <v>33</v>
      </c>
      <c r="J426" s="9" t="str">
        <f>+CONCATENATE('libro compras'!C427," ",'libro compras'!D427)</f>
        <v xml:space="preserve"> </v>
      </c>
      <c r="K426" s="7">
        <f>+'libro compras'!F427</f>
        <v>0</v>
      </c>
      <c r="L426" s="3">
        <f>+'libro compras'!C427</f>
        <v>0</v>
      </c>
      <c r="M426" s="3">
        <f>+'libro compras'!D427</f>
        <v>0</v>
      </c>
      <c r="N426" s="9" t="s">
        <v>34</v>
      </c>
    </row>
    <row r="427" spans="1:14" x14ac:dyDescent="0.25">
      <c r="A427" s="11">
        <f t="shared" ref="A427:A429" si="687">+A426</f>
        <v>107</v>
      </c>
      <c r="B427" s="43" t="str">
        <f>+'libro compras'!$AL$1</f>
        <v>401110</v>
      </c>
      <c r="C427" s="9" t="s">
        <v>0</v>
      </c>
      <c r="D427" s="9"/>
      <c r="E427" s="14" t="str">
        <f t="shared" ref="E427:E429" si="688">+E426</f>
        <v/>
      </c>
      <c r="F427" s="9"/>
      <c r="G427" s="4">
        <f>+'libro compras'!AJ427</f>
        <v>0</v>
      </c>
      <c r="H427" s="9"/>
      <c r="I427" s="9" t="s">
        <v>33</v>
      </c>
      <c r="J427" s="9" t="str">
        <f t="shared" ref="J427:M427" si="689">+J426</f>
        <v xml:space="preserve"> </v>
      </c>
      <c r="K427" s="7">
        <f t="shared" si="689"/>
        <v>0</v>
      </c>
      <c r="L427" s="3">
        <f t="shared" si="689"/>
        <v>0</v>
      </c>
      <c r="M427" s="3">
        <f t="shared" si="689"/>
        <v>0</v>
      </c>
      <c r="N427" s="9" t="s">
        <v>34</v>
      </c>
    </row>
    <row r="428" spans="1:14" x14ac:dyDescent="0.25">
      <c r="A428" s="11">
        <f t="shared" si="687"/>
        <v>107</v>
      </c>
      <c r="B428" s="32">
        <f>+'libro compras'!P427</f>
        <v>0</v>
      </c>
      <c r="C428" s="9" t="s">
        <v>0</v>
      </c>
      <c r="D428" s="9"/>
      <c r="E428" s="14" t="str">
        <f t="shared" si="688"/>
        <v/>
      </c>
      <c r="F428" s="9"/>
      <c r="G428" s="4">
        <f>-'libro compras'!AK427</f>
        <v>0</v>
      </c>
      <c r="H428" s="9"/>
      <c r="I428" s="9" t="s">
        <v>2</v>
      </c>
      <c r="J428" s="9" t="str">
        <f t="shared" ref="J428:M428" si="690">+J427</f>
        <v xml:space="preserve"> </v>
      </c>
      <c r="K428" s="7">
        <f t="shared" si="690"/>
        <v>0</v>
      </c>
      <c r="L428" s="3">
        <f t="shared" si="690"/>
        <v>0</v>
      </c>
      <c r="M428" s="3">
        <f t="shared" si="690"/>
        <v>0</v>
      </c>
      <c r="N428" s="9" t="s">
        <v>34</v>
      </c>
    </row>
    <row r="429" spans="1:14" x14ac:dyDescent="0.25">
      <c r="A429" s="11">
        <f t="shared" si="687"/>
        <v>107</v>
      </c>
      <c r="B429" s="34" t="e">
        <f>+VLOOKUP(B428,Hoja1!$A$1:$B$2,2,FALSE)</f>
        <v>#N/A</v>
      </c>
      <c r="C429" s="9" t="s">
        <v>0</v>
      </c>
      <c r="D429" s="9"/>
      <c r="E429" s="14" t="str">
        <f t="shared" si="688"/>
        <v/>
      </c>
      <c r="F429" s="9"/>
      <c r="G429" s="4">
        <f>-'libro compras'!I427</f>
        <v>0</v>
      </c>
      <c r="H429" s="9"/>
      <c r="I429" s="9" t="s">
        <v>2</v>
      </c>
      <c r="J429" s="9" t="str">
        <f t="shared" ref="J429:M429" si="691">+J428</f>
        <v xml:space="preserve"> </v>
      </c>
      <c r="K429" s="7">
        <f t="shared" si="691"/>
        <v>0</v>
      </c>
      <c r="L429" s="3">
        <f t="shared" si="691"/>
        <v>0</v>
      </c>
      <c r="M429" s="3">
        <f t="shared" si="691"/>
        <v>0</v>
      </c>
      <c r="N429" s="9" t="s">
        <v>34</v>
      </c>
    </row>
    <row r="430" spans="1:14" x14ac:dyDescent="0.25">
      <c r="A430" s="11">
        <f t="shared" si="611"/>
        <v>108</v>
      </c>
      <c r="B430" s="42" t="str">
        <f>+'libro compras'!$AK$1</f>
        <v>281130</v>
      </c>
      <c r="C430" s="9" t="s">
        <v>0</v>
      </c>
      <c r="D430" s="9"/>
      <c r="E430" s="14" t="str">
        <f>+'libro compras'!S431</f>
        <v/>
      </c>
      <c r="F430" s="9"/>
      <c r="G430" s="4">
        <f>+'libro compras'!AI431</f>
        <v>0</v>
      </c>
      <c r="H430" s="9"/>
      <c r="I430" s="9" t="s">
        <v>33</v>
      </c>
      <c r="J430" s="9" t="str">
        <f>+CONCATENATE('libro compras'!C431," ",'libro compras'!D431)</f>
        <v xml:space="preserve"> </v>
      </c>
      <c r="K430" s="7">
        <f t="shared" ref="K430" si="692">+K429</f>
        <v>0</v>
      </c>
      <c r="L430" s="3">
        <f>+'libro compras'!C431</f>
        <v>0</v>
      </c>
      <c r="M430" s="3">
        <f>+'libro compras'!D431</f>
        <v>0</v>
      </c>
      <c r="N430" s="9" t="s">
        <v>34</v>
      </c>
    </row>
    <row r="431" spans="1:14" x14ac:dyDescent="0.25">
      <c r="A431" s="11">
        <f t="shared" si="611"/>
        <v>108</v>
      </c>
      <c r="B431" s="43" t="str">
        <f>+'libro compras'!$AL$1</f>
        <v>401110</v>
      </c>
      <c r="C431" s="9" t="s">
        <v>0</v>
      </c>
      <c r="D431" s="9"/>
      <c r="E431" s="14" t="str">
        <f t="shared" ref="E431:E433" si="693">+E430</f>
        <v/>
      </c>
      <c r="F431" s="9"/>
      <c r="G431" s="4">
        <f>+'libro compras'!AJ431</f>
        <v>0</v>
      </c>
      <c r="H431" s="9"/>
      <c r="I431" s="9" t="s">
        <v>33</v>
      </c>
      <c r="J431" s="9" t="str">
        <f t="shared" ref="J431:K431" si="694">+J430</f>
        <v xml:space="preserve"> </v>
      </c>
      <c r="K431" s="7">
        <f t="shared" si="694"/>
        <v>0</v>
      </c>
      <c r="L431" s="3">
        <f t="shared" ref="L431:L433" si="695">+L430</f>
        <v>0</v>
      </c>
      <c r="M431" s="3">
        <f t="shared" ref="M431:M433" si="696">+M430</f>
        <v>0</v>
      </c>
      <c r="N431" s="9" t="s">
        <v>34</v>
      </c>
    </row>
    <row r="432" spans="1:14" x14ac:dyDescent="0.25">
      <c r="A432" s="11">
        <f t="shared" si="611"/>
        <v>108</v>
      </c>
      <c r="B432" s="32">
        <f>+'libro compras'!P431</f>
        <v>0</v>
      </c>
      <c r="C432" s="9" t="s">
        <v>0</v>
      </c>
      <c r="D432" s="9"/>
      <c r="E432" s="14" t="str">
        <f t="shared" si="693"/>
        <v/>
      </c>
      <c r="F432" s="9"/>
      <c r="G432" s="4">
        <f>-'libro compras'!AK431</f>
        <v>0</v>
      </c>
      <c r="H432" s="9"/>
      <c r="I432" s="9" t="s">
        <v>2</v>
      </c>
      <c r="J432" s="9" t="str">
        <f t="shared" ref="J432:K432" si="697">+J431</f>
        <v xml:space="preserve"> </v>
      </c>
      <c r="K432" s="7">
        <f t="shared" si="697"/>
        <v>0</v>
      </c>
      <c r="L432" s="3">
        <f t="shared" si="695"/>
        <v>0</v>
      </c>
      <c r="M432" s="3">
        <f t="shared" si="696"/>
        <v>0</v>
      </c>
      <c r="N432" s="9" t="s">
        <v>34</v>
      </c>
    </row>
    <row r="433" spans="1:14" x14ac:dyDescent="0.25">
      <c r="A433" s="11">
        <f t="shared" si="611"/>
        <v>108</v>
      </c>
      <c r="B433" s="34" t="e">
        <f>+VLOOKUP(B432,Hoja1!$A$1:$B$2,2,FALSE)</f>
        <v>#N/A</v>
      </c>
      <c r="C433" s="9" t="s">
        <v>0</v>
      </c>
      <c r="D433" s="9"/>
      <c r="E433" s="14" t="str">
        <f t="shared" si="693"/>
        <v/>
      </c>
      <c r="F433" s="9"/>
      <c r="G433" s="4">
        <f>-'libro compras'!I431</f>
        <v>0</v>
      </c>
      <c r="H433" s="9"/>
      <c r="I433" s="9" t="s">
        <v>2</v>
      </c>
      <c r="J433" s="9" t="str">
        <f t="shared" ref="J433:K433" si="698">+J432</f>
        <v xml:space="preserve"> </v>
      </c>
      <c r="K433" s="7">
        <f t="shared" si="698"/>
        <v>0</v>
      </c>
      <c r="L433" s="3">
        <f t="shared" si="695"/>
        <v>0</v>
      </c>
      <c r="M433" s="3">
        <f t="shared" si="696"/>
        <v>0</v>
      </c>
      <c r="N433" s="9" t="s">
        <v>34</v>
      </c>
    </row>
    <row r="434" spans="1:14" x14ac:dyDescent="0.25">
      <c r="A434" s="11">
        <f t="shared" si="611"/>
        <v>109</v>
      </c>
      <c r="B434" s="42" t="str">
        <f>+'libro compras'!$AK$1</f>
        <v>281130</v>
      </c>
      <c r="C434" s="9" t="s">
        <v>0</v>
      </c>
      <c r="D434" s="9"/>
      <c r="E434" s="14" t="str">
        <f>+'libro compras'!S435</f>
        <v/>
      </c>
      <c r="F434" s="9"/>
      <c r="G434" s="4">
        <f>+'libro compras'!AI435</f>
        <v>0</v>
      </c>
      <c r="H434" s="9"/>
      <c r="I434" s="9" t="s">
        <v>33</v>
      </c>
      <c r="J434" s="9" t="str">
        <f>+CONCATENATE('libro compras'!C435," ",'libro compras'!D435)</f>
        <v xml:space="preserve"> </v>
      </c>
      <c r="K434" s="7">
        <f t="shared" ref="K434" si="699">+K433</f>
        <v>0</v>
      </c>
      <c r="L434" s="3">
        <f>+'libro compras'!C435</f>
        <v>0</v>
      </c>
      <c r="M434" s="3">
        <f>+'libro compras'!D435</f>
        <v>0</v>
      </c>
      <c r="N434" s="9" t="s">
        <v>34</v>
      </c>
    </row>
    <row r="435" spans="1:14" x14ac:dyDescent="0.25">
      <c r="A435" s="11">
        <f t="shared" si="611"/>
        <v>109</v>
      </c>
      <c r="B435" s="43" t="str">
        <f>+'libro compras'!$AL$1</f>
        <v>401110</v>
      </c>
      <c r="C435" s="9" t="s">
        <v>0</v>
      </c>
      <c r="D435" s="9"/>
      <c r="E435" s="14" t="str">
        <f t="shared" ref="E435:E437" si="700">+E434</f>
        <v/>
      </c>
      <c r="F435" s="9"/>
      <c r="G435" s="4">
        <f>+'libro compras'!AJ435</f>
        <v>0</v>
      </c>
      <c r="H435" s="9"/>
      <c r="I435" s="9" t="s">
        <v>33</v>
      </c>
      <c r="J435" s="9" t="str">
        <f t="shared" ref="J435:K435" si="701">+J434</f>
        <v xml:space="preserve"> </v>
      </c>
      <c r="K435" s="7">
        <f t="shared" si="701"/>
        <v>0</v>
      </c>
      <c r="L435" s="3">
        <f t="shared" ref="L435:L437" si="702">+L434</f>
        <v>0</v>
      </c>
      <c r="M435" s="3">
        <f t="shared" ref="M435:M437" si="703">+M434</f>
        <v>0</v>
      </c>
      <c r="N435" s="9" t="s">
        <v>34</v>
      </c>
    </row>
    <row r="436" spans="1:14" x14ac:dyDescent="0.25">
      <c r="A436" s="11">
        <f t="shared" si="611"/>
        <v>109</v>
      </c>
      <c r="B436" s="32">
        <f>+'libro compras'!P435</f>
        <v>0</v>
      </c>
      <c r="C436" s="9" t="s">
        <v>0</v>
      </c>
      <c r="D436" s="9"/>
      <c r="E436" s="14" t="str">
        <f t="shared" si="700"/>
        <v/>
      </c>
      <c r="F436" s="9"/>
      <c r="G436" s="4">
        <f>-'libro compras'!AK435</f>
        <v>0</v>
      </c>
      <c r="H436" s="9"/>
      <c r="I436" s="9" t="s">
        <v>2</v>
      </c>
      <c r="J436" s="9" t="str">
        <f t="shared" ref="J436:K436" si="704">+J435</f>
        <v xml:space="preserve"> </v>
      </c>
      <c r="K436" s="7">
        <f t="shared" si="704"/>
        <v>0</v>
      </c>
      <c r="L436" s="3">
        <f t="shared" si="702"/>
        <v>0</v>
      </c>
      <c r="M436" s="3">
        <f t="shared" si="703"/>
        <v>0</v>
      </c>
      <c r="N436" s="9" t="s">
        <v>34</v>
      </c>
    </row>
    <row r="437" spans="1:14" x14ac:dyDescent="0.25">
      <c r="A437" s="11">
        <f t="shared" si="611"/>
        <v>109</v>
      </c>
      <c r="B437" s="34" t="e">
        <f>+VLOOKUP(B436,Hoja1!$A$1:$B$2,2,FALSE)</f>
        <v>#N/A</v>
      </c>
      <c r="C437" s="9" t="s">
        <v>0</v>
      </c>
      <c r="D437" s="9"/>
      <c r="E437" s="14" t="str">
        <f t="shared" si="700"/>
        <v/>
      </c>
      <c r="F437" s="9"/>
      <c r="G437" s="4">
        <f>-'libro compras'!I435</f>
        <v>0</v>
      </c>
      <c r="H437" s="9"/>
      <c r="I437" s="9" t="s">
        <v>2</v>
      </c>
      <c r="J437" s="9" t="str">
        <f t="shared" ref="J437:K437" si="705">+J436</f>
        <v xml:space="preserve"> </v>
      </c>
      <c r="K437" s="7">
        <f t="shared" si="705"/>
        <v>0</v>
      </c>
      <c r="L437" s="3">
        <f t="shared" si="702"/>
        <v>0</v>
      </c>
      <c r="M437" s="3">
        <f t="shared" si="703"/>
        <v>0</v>
      </c>
      <c r="N437" s="9" t="s">
        <v>34</v>
      </c>
    </row>
    <row r="438" spans="1:14" x14ac:dyDescent="0.25">
      <c r="A438" s="11">
        <f t="shared" ref="A438" si="706">+A437+1</f>
        <v>110</v>
      </c>
      <c r="B438" s="42" t="str">
        <f>+'libro compras'!$AK$1</f>
        <v>281130</v>
      </c>
      <c r="C438" s="9" t="s">
        <v>0</v>
      </c>
      <c r="D438" s="9"/>
      <c r="E438" s="14" t="str">
        <f>+'libro compras'!S439</f>
        <v/>
      </c>
      <c r="F438" s="9"/>
      <c r="G438" s="4">
        <f>+'libro compras'!AI439</f>
        <v>0</v>
      </c>
      <c r="H438" s="9"/>
      <c r="I438" s="9" t="s">
        <v>33</v>
      </c>
      <c r="J438" s="9" t="str">
        <f>+CONCATENATE('libro compras'!C439," ",'libro compras'!D439)</f>
        <v xml:space="preserve"> </v>
      </c>
      <c r="K438" s="7">
        <f>+'libro compras'!F439</f>
        <v>0</v>
      </c>
      <c r="L438" s="3">
        <f>+'libro compras'!C439</f>
        <v>0</v>
      </c>
      <c r="M438" s="3">
        <f>+'libro compras'!D439</f>
        <v>0</v>
      </c>
      <c r="N438" s="9" t="s">
        <v>34</v>
      </c>
    </row>
    <row r="439" spans="1:14" x14ac:dyDescent="0.25">
      <c r="A439" s="11">
        <f t="shared" ref="A439:A441" si="707">+A438</f>
        <v>110</v>
      </c>
      <c r="B439" s="43" t="str">
        <f>+'libro compras'!$AL$1</f>
        <v>401110</v>
      </c>
      <c r="C439" s="9" t="s">
        <v>0</v>
      </c>
      <c r="D439" s="9"/>
      <c r="E439" s="14" t="str">
        <f t="shared" ref="E439:E441" si="708">+E438</f>
        <v/>
      </c>
      <c r="F439" s="9"/>
      <c r="G439" s="4">
        <f>+'libro compras'!AJ439</f>
        <v>0</v>
      </c>
      <c r="H439" s="9"/>
      <c r="I439" s="9" t="s">
        <v>33</v>
      </c>
      <c r="J439" s="9" t="str">
        <f t="shared" ref="J439:M439" si="709">+J438</f>
        <v xml:space="preserve"> </v>
      </c>
      <c r="K439" s="7">
        <f t="shared" si="709"/>
        <v>0</v>
      </c>
      <c r="L439" s="3">
        <f t="shared" si="709"/>
        <v>0</v>
      </c>
      <c r="M439" s="3">
        <f t="shared" si="709"/>
        <v>0</v>
      </c>
      <c r="N439" s="9" t="s">
        <v>34</v>
      </c>
    </row>
    <row r="440" spans="1:14" x14ac:dyDescent="0.25">
      <c r="A440" s="11">
        <f t="shared" si="707"/>
        <v>110</v>
      </c>
      <c r="B440" s="32">
        <f>+'libro compras'!P439</f>
        <v>0</v>
      </c>
      <c r="C440" s="9" t="s">
        <v>0</v>
      </c>
      <c r="D440" s="9"/>
      <c r="E440" s="14" t="str">
        <f t="shared" si="708"/>
        <v/>
      </c>
      <c r="F440" s="9"/>
      <c r="G440" s="4">
        <f>-'libro compras'!AK439</f>
        <v>0</v>
      </c>
      <c r="H440" s="9"/>
      <c r="I440" s="9" t="s">
        <v>2</v>
      </c>
      <c r="J440" s="9" t="str">
        <f t="shared" ref="J440:M440" si="710">+J439</f>
        <v xml:space="preserve"> </v>
      </c>
      <c r="K440" s="7">
        <f t="shared" si="710"/>
        <v>0</v>
      </c>
      <c r="L440" s="3">
        <f t="shared" si="710"/>
        <v>0</v>
      </c>
      <c r="M440" s="3">
        <f t="shared" si="710"/>
        <v>0</v>
      </c>
      <c r="N440" s="9" t="s">
        <v>34</v>
      </c>
    </row>
    <row r="441" spans="1:14" x14ac:dyDescent="0.25">
      <c r="A441" s="11">
        <f t="shared" si="707"/>
        <v>110</v>
      </c>
      <c r="B441" s="34" t="e">
        <f>+VLOOKUP(B440,Hoja1!$A$1:$B$2,2,FALSE)</f>
        <v>#N/A</v>
      </c>
      <c r="C441" s="9" t="s">
        <v>0</v>
      </c>
      <c r="D441" s="9"/>
      <c r="E441" s="14" t="str">
        <f t="shared" si="708"/>
        <v/>
      </c>
      <c r="F441" s="9"/>
      <c r="G441" s="4">
        <f>-'libro compras'!I439</f>
        <v>0</v>
      </c>
      <c r="H441" s="9"/>
      <c r="I441" s="9" t="s">
        <v>2</v>
      </c>
      <c r="J441" s="9" t="str">
        <f t="shared" ref="J441:M441" si="711">+J440</f>
        <v xml:space="preserve"> </v>
      </c>
      <c r="K441" s="7">
        <f t="shared" si="711"/>
        <v>0</v>
      </c>
      <c r="L441" s="3">
        <f t="shared" si="711"/>
        <v>0</v>
      </c>
      <c r="M441" s="3">
        <f t="shared" si="711"/>
        <v>0</v>
      </c>
      <c r="N441" s="9" t="s">
        <v>34</v>
      </c>
    </row>
    <row r="442" spans="1:14" x14ac:dyDescent="0.25">
      <c r="A442" s="11">
        <f t="shared" si="611"/>
        <v>111</v>
      </c>
      <c r="B442" s="42" t="str">
        <f>+'libro compras'!$AK$1</f>
        <v>281130</v>
      </c>
      <c r="C442" s="9" t="s">
        <v>0</v>
      </c>
      <c r="D442" s="9"/>
      <c r="E442" s="14" t="str">
        <f>+'libro compras'!S443</f>
        <v/>
      </c>
      <c r="F442" s="9"/>
      <c r="G442" s="4">
        <f>+'libro compras'!AI443</f>
        <v>0</v>
      </c>
      <c r="H442" s="9"/>
      <c r="I442" s="9" t="s">
        <v>33</v>
      </c>
      <c r="J442" s="9" t="str">
        <f>+CONCATENATE('libro compras'!C443," ",'libro compras'!D443)</f>
        <v xml:space="preserve"> </v>
      </c>
      <c r="K442" s="7">
        <f t="shared" ref="K442" si="712">+K441</f>
        <v>0</v>
      </c>
      <c r="L442" s="3">
        <f>+'libro compras'!C443</f>
        <v>0</v>
      </c>
      <c r="M442" s="3">
        <f>+'libro compras'!D443</f>
        <v>0</v>
      </c>
      <c r="N442" s="9" t="s">
        <v>34</v>
      </c>
    </row>
    <row r="443" spans="1:14" x14ac:dyDescent="0.25">
      <c r="A443" s="11">
        <f t="shared" si="611"/>
        <v>111</v>
      </c>
      <c r="B443" s="43" t="str">
        <f>+'libro compras'!$AL$1</f>
        <v>401110</v>
      </c>
      <c r="C443" s="9" t="s">
        <v>0</v>
      </c>
      <c r="D443" s="9"/>
      <c r="E443" s="14" t="str">
        <f t="shared" ref="E443:E445" si="713">+E442</f>
        <v/>
      </c>
      <c r="F443" s="9"/>
      <c r="G443" s="4">
        <f>+'libro compras'!AJ443</f>
        <v>0</v>
      </c>
      <c r="H443" s="9"/>
      <c r="I443" s="9" t="s">
        <v>33</v>
      </c>
      <c r="J443" s="9" t="str">
        <f t="shared" ref="J443:K443" si="714">+J442</f>
        <v xml:space="preserve"> </v>
      </c>
      <c r="K443" s="7">
        <f t="shared" si="714"/>
        <v>0</v>
      </c>
      <c r="L443" s="3">
        <f t="shared" ref="L443:L445" si="715">+L442</f>
        <v>0</v>
      </c>
      <c r="M443" s="3">
        <f t="shared" ref="M443:M445" si="716">+M442</f>
        <v>0</v>
      </c>
      <c r="N443" s="9" t="s">
        <v>34</v>
      </c>
    </row>
    <row r="444" spans="1:14" x14ac:dyDescent="0.25">
      <c r="A444" s="11">
        <f t="shared" si="611"/>
        <v>111</v>
      </c>
      <c r="B444" s="32">
        <f>+'libro compras'!P443</f>
        <v>0</v>
      </c>
      <c r="C444" s="9" t="s">
        <v>0</v>
      </c>
      <c r="D444" s="9"/>
      <c r="E444" s="14" t="str">
        <f t="shared" si="713"/>
        <v/>
      </c>
      <c r="F444" s="9"/>
      <c r="G444" s="4">
        <f>-'libro compras'!AK443</f>
        <v>0</v>
      </c>
      <c r="H444" s="9"/>
      <c r="I444" s="9" t="s">
        <v>2</v>
      </c>
      <c r="J444" s="9" t="str">
        <f t="shared" ref="J444:K444" si="717">+J443</f>
        <v xml:space="preserve"> </v>
      </c>
      <c r="K444" s="7">
        <f t="shared" si="717"/>
        <v>0</v>
      </c>
      <c r="L444" s="3">
        <f t="shared" si="715"/>
        <v>0</v>
      </c>
      <c r="M444" s="3">
        <f t="shared" si="716"/>
        <v>0</v>
      </c>
      <c r="N444" s="9" t="s">
        <v>34</v>
      </c>
    </row>
    <row r="445" spans="1:14" x14ac:dyDescent="0.25">
      <c r="A445" s="11">
        <f t="shared" si="611"/>
        <v>111</v>
      </c>
      <c r="B445" s="34" t="e">
        <f>+VLOOKUP(B444,Hoja1!$A$1:$B$2,2,FALSE)</f>
        <v>#N/A</v>
      </c>
      <c r="C445" s="9" t="s">
        <v>0</v>
      </c>
      <c r="D445" s="9"/>
      <c r="E445" s="14" t="str">
        <f t="shared" si="713"/>
        <v/>
      </c>
      <c r="F445" s="9"/>
      <c r="G445" s="4">
        <f>-'libro compras'!I443</f>
        <v>0</v>
      </c>
      <c r="H445" s="9"/>
      <c r="I445" s="9" t="s">
        <v>2</v>
      </c>
      <c r="J445" s="9" t="str">
        <f t="shared" ref="J445:K445" si="718">+J444</f>
        <v xml:space="preserve"> </v>
      </c>
      <c r="K445" s="7">
        <f t="shared" si="718"/>
        <v>0</v>
      </c>
      <c r="L445" s="3">
        <f t="shared" si="715"/>
        <v>0</v>
      </c>
      <c r="M445" s="3">
        <f t="shared" si="716"/>
        <v>0</v>
      </c>
      <c r="N445" s="9" t="s">
        <v>34</v>
      </c>
    </row>
    <row r="446" spans="1:14" x14ac:dyDescent="0.25">
      <c r="A446" s="11">
        <f t="shared" ref="A446:A449" si="719">1+A442</f>
        <v>112</v>
      </c>
      <c r="B446" s="42" t="str">
        <f>+'libro compras'!$AK$1</f>
        <v>281130</v>
      </c>
      <c r="C446" s="9" t="s">
        <v>0</v>
      </c>
      <c r="D446" s="9"/>
      <c r="E446" s="14" t="str">
        <f>+'libro compras'!S447</f>
        <v/>
      </c>
      <c r="F446" s="9"/>
      <c r="G446" s="4">
        <f>+'libro compras'!AI447</f>
        <v>0</v>
      </c>
      <c r="H446" s="9"/>
      <c r="I446" s="9" t="s">
        <v>33</v>
      </c>
      <c r="J446" s="9" t="str">
        <f>+CONCATENATE('libro compras'!C447," ",'libro compras'!D447)</f>
        <v xml:space="preserve"> </v>
      </c>
      <c r="K446" s="7">
        <f t="shared" ref="K446" si="720">+K445</f>
        <v>0</v>
      </c>
      <c r="L446" s="3">
        <f>+'libro compras'!C447</f>
        <v>0</v>
      </c>
      <c r="M446" s="3">
        <f>+'libro compras'!D447</f>
        <v>0</v>
      </c>
      <c r="N446" s="9" t="s">
        <v>34</v>
      </c>
    </row>
    <row r="447" spans="1:14" x14ac:dyDescent="0.25">
      <c r="A447" s="11">
        <f t="shared" si="719"/>
        <v>112</v>
      </c>
      <c r="B447" s="43" t="str">
        <f>+'libro compras'!$AL$1</f>
        <v>401110</v>
      </c>
      <c r="C447" s="9" t="s">
        <v>0</v>
      </c>
      <c r="D447" s="9"/>
      <c r="E447" s="14" t="str">
        <f t="shared" ref="E447:E449" si="721">+E446</f>
        <v/>
      </c>
      <c r="F447" s="9"/>
      <c r="G447" s="4">
        <f>+'libro compras'!AJ447</f>
        <v>0</v>
      </c>
      <c r="H447" s="9"/>
      <c r="I447" s="9" t="s">
        <v>33</v>
      </c>
      <c r="J447" s="9" t="str">
        <f t="shared" ref="J447:K447" si="722">+J446</f>
        <v xml:space="preserve"> </v>
      </c>
      <c r="K447" s="7">
        <f t="shared" si="722"/>
        <v>0</v>
      </c>
      <c r="L447" s="3">
        <f t="shared" ref="L447:L449" si="723">+L446</f>
        <v>0</v>
      </c>
      <c r="M447" s="3">
        <f t="shared" ref="M447:M449" si="724">+M446</f>
        <v>0</v>
      </c>
      <c r="N447" s="9" t="s">
        <v>34</v>
      </c>
    </row>
    <row r="448" spans="1:14" x14ac:dyDescent="0.25">
      <c r="A448" s="11">
        <f t="shared" si="719"/>
        <v>112</v>
      </c>
      <c r="B448" s="32">
        <f>+'libro compras'!P447</f>
        <v>0</v>
      </c>
      <c r="C448" s="9" t="s">
        <v>0</v>
      </c>
      <c r="D448" s="9"/>
      <c r="E448" s="14" t="str">
        <f t="shared" si="721"/>
        <v/>
      </c>
      <c r="F448" s="9"/>
      <c r="G448" s="4">
        <f>-'libro compras'!AK447</f>
        <v>0</v>
      </c>
      <c r="H448" s="9"/>
      <c r="I448" s="9" t="s">
        <v>2</v>
      </c>
      <c r="J448" s="9" t="str">
        <f t="shared" ref="J448:K448" si="725">+J447</f>
        <v xml:space="preserve"> </v>
      </c>
      <c r="K448" s="7">
        <f t="shared" si="725"/>
        <v>0</v>
      </c>
      <c r="L448" s="3">
        <f t="shared" si="723"/>
        <v>0</v>
      </c>
      <c r="M448" s="3">
        <f t="shared" si="724"/>
        <v>0</v>
      </c>
      <c r="N448" s="9" t="s">
        <v>34</v>
      </c>
    </row>
    <row r="449" spans="1:14" x14ac:dyDescent="0.25">
      <c r="A449" s="11">
        <f t="shared" si="719"/>
        <v>112</v>
      </c>
      <c r="B449" s="34" t="e">
        <f>+VLOOKUP(B448,Hoja1!$A$1:$B$2,2,FALSE)</f>
        <v>#N/A</v>
      </c>
      <c r="C449" s="9" t="s">
        <v>0</v>
      </c>
      <c r="D449" s="9"/>
      <c r="E449" s="14" t="str">
        <f t="shared" si="721"/>
        <v/>
      </c>
      <c r="F449" s="9"/>
      <c r="G449" s="4">
        <f>-'libro compras'!I447</f>
        <v>0</v>
      </c>
      <c r="H449" s="9"/>
      <c r="I449" s="9" t="s">
        <v>2</v>
      </c>
      <c r="J449" s="9" t="str">
        <f t="shared" ref="J449:K449" si="726">+J448</f>
        <v xml:space="preserve"> </v>
      </c>
      <c r="K449" s="7">
        <f t="shared" si="726"/>
        <v>0</v>
      </c>
      <c r="L449" s="3">
        <f t="shared" si="723"/>
        <v>0</v>
      </c>
      <c r="M449" s="3">
        <f t="shared" si="724"/>
        <v>0</v>
      </c>
      <c r="N449" s="9" t="s">
        <v>34</v>
      </c>
    </row>
    <row r="450" spans="1:14" x14ac:dyDescent="0.25">
      <c r="A450" s="11">
        <f t="shared" ref="A450" si="727">+A449+1</f>
        <v>113</v>
      </c>
      <c r="B450" s="42" t="str">
        <f>+'libro compras'!$AK$1</f>
        <v>281130</v>
      </c>
      <c r="C450" s="9" t="s">
        <v>0</v>
      </c>
      <c r="D450" s="9"/>
      <c r="E450" s="14" t="str">
        <f>+'libro compras'!S451</f>
        <v/>
      </c>
      <c r="F450" s="9"/>
      <c r="G450" s="4">
        <f>+'libro compras'!AI451</f>
        <v>0</v>
      </c>
      <c r="H450" s="9"/>
      <c r="I450" s="9" t="s">
        <v>33</v>
      </c>
      <c r="J450" s="9" t="str">
        <f>+CONCATENATE('libro compras'!C451," ",'libro compras'!D451)</f>
        <v xml:space="preserve"> </v>
      </c>
      <c r="K450" s="7">
        <f>+'libro compras'!F451</f>
        <v>0</v>
      </c>
      <c r="L450" s="3">
        <f>+'libro compras'!C451</f>
        <v>0</v>
      </c>
      <c r="M450" s="3">
        <f>+'libro compras'!D451</f>
        <v>0</v>
      </c>
      <c r="N450" s="9" t="s">
        <v>34</v>
      </c>
    </row>
    <row r="451" spans="1:14" x14ac:dyDescent="0.25">
      <c r="A451" s="11">
        <f t="shared" ref="A451:A453" si="728">+A450</f>
        <v>113</v>
      </c>
      <c r="B451" s="43" t="str">
        <f>+'libro compras'!$AL$1</f>
        <v>401110</v>
      </c>
      <c r="C451" s="9" t="s">
        <v>0</v>
      </c>
      <c r="D451" s="9"/>
      <c r="E451" s="14" t="str">
        <f t="shared" ref="E451:E453" si="729">+E450</f>
        <v/>
      </c>
      <c r="F451" s="9"/>
      <c r="G451" s="4">
        <f>+'libro compras'!AJ451</f>
        <v>0</v>
      </c>
      <c r="H451" s="9"/>
      <c r="I451" s="9" t="s">
        <v>33</v>
      </c>
      <c r="J451" s="9" t="str">
        <f t="shared" ref="J451:M451" si="730">+J450</f>
        <v xml:space="preserve"> </v>
      </c>
      <c r="K451" s="7">
        <f t="shared" si="730"/>
        <v>0</v>
      </c>
      <c r="L451" s="3">
        <f t="shared" si="730"/>
        <v>0</v>
      </c>
      <c r="M451" s="3">
        <f t="shared" si="730"/>
        <v>0</v>
      </c>
      <c r="N451" s="9" t="s">
        <v>34</v>
      </c>
    </row>
    <row r="452" spans="1:14" x14ac:dyDescent="0.25">
      <c r="A452" s="11">
        <f t="shared" si="728"/>
        <v>113</v>
      </c>
      <c r="B452" s="32">
        <f>+'libro compras'!P451</f>
        <v>0</v>
      </c>
      <c r="C452" s="9" t="s">
        <v>0</v>
      </c>
      <c r="D452" s="9"/>
      <c r="E452" s="14" t="str">
        <f t="shared" si="729"/>
        <v/>
      </c>
      <c r="F452" s="9"/>
      <c r="G452" s="4">
        <f>-'libro compras'!AK451</f>
        <v>0</v>
      </c>
      <c r="H452" s="9"/>
      <c r="I452" s="9" t="s">
        <v>2</v>
      </c>
      <c r="J452" s="9" t="str">
        <f t="shared" ref="J452:M452" si="731">+J451</f>
        <v xml:space="preserve"> </v>
      </c>
      <c r="K452" s="7">
        <f t="shared" si="731"/>
        <v>0</v>
      </c>
      <c r="L452" s="3">
        <f t="shared" si="731"/>
        <v>0</v>
      </c>
      <c r="M452" s="3">
        <f t="shared" si="731"/>
        <v>0</v>
      </c>
      <c r="N452" s="9" t="s">
        <v>34</v>
      </c>
    </row>
    <row r="453" spans="1:14" x14ac:dyDescent="0.25">
      <c r="A453" s="11">
        <f t="shared" si="728"/>
        <v>113</v>
      </c>
      <c r="B453" s="34" t="e">
        <f>+VLOOKUP(B452,Hoja1!$A$1:$B$2,2,FALSE)</f>
        <v>#N/A</v>
      </c>
      <c r="C453" s="9" t="s">
        <v>0</v>
      </c>
      <c r="D453" s="9"/>
      <c r="E453" s="14" t="str">
        <f t="shared" si="729"/>
        <v/>
      </c>
      <c r="F453" s="9"/>
      <c r="G453" s="4">
        <f>-'libro compras'!I451</f>
        <v>0</v>
      </c>
      <c r="H453" s="9"/>
      <c r="I453" s="9" t="s">
        <v>2</v>
      </c>
      <c r="J453" s="9" t="str">
        <f t="shared" ref="J453:M453" si="732">+J452</f>
        <v xml:space="preserve"> </v>
      </c>
      <c r="K453" s="7">
        <f t="shared" si="732"/>
        <v>0</v>
      </c>
      <c r="L453" s="3">
        <f t="shared" si="732"/>
        <v>0</v>
      </c>
      <c r="M453" s="3">
        <f t="shared" si="732"/>
        <v>0</v>
      </c>
      <c r="N453" s="9" t="s">
        <v>34</v>
      </c>
    </row>
    <row r="454" spans="1:14" x14ac:dyDescent="0.25">
      <c r="A454" s="11">
        <f t="shared" ref="A454:A517" si="733">1+A450</f>
        <v>114</v>
      </c>
      <c r="B454" s="42" t="str">
        <f>+'libro compras'!$AK$1</f>
        <v>281130</v>
      </c>
      <c r="C454" s="9" t="s">
        <v>0</v>
      </c>
      <c r="D454" s="9"/>
      <c r="E454" s="14" t="str">
        <f>+'libro compras'!S455</f>
        <v/>
      </c>
      <c r="F454" s="9"/>
      <c r="G454" s="4">
        <f>+'libro compras'!AI455</f>
        <v>0</v>
      </c>
      <c r="H454" s="9"/>
      <c r="I454" s="9" t="s">
        <v>33</v>
      </c>
      <c r="J454" s="9" t="str">
        <f>+CONCATENATE('libro compras'!C455," ",'libro compras'!D455)</f>
        <v xml:space="preserve"> </v>
      </c>
      <c r="K454" s="7">
        <f t="shared" ref="K454" si="734">+K453</f>
        <v>0</v>
      </c>
      <c r="L454" s="3">
        <f>+'libro compras'!C455</f>
        <v>0</v>
      </c>
      <c r="M454" s="3">
        <f>+'libro compras'!D455</f>
        <v>0</v>
      </c>
      <c r="N454" s="9" t="s">
        <v>34</v>
      </c>
    </row>
    <row r="455" spans="1:14" x14ac:dyDescent="0.25">
      <c r="A455" s="11">
        <f t="shared" si="733"/>
        <v>114</v>
      </c>
      <c r="B455" s="43" t="str">
        <f>+'libro compras'!$AL$1</f>
        <v>401110</v>
      </c>
      <c r="C455" s="9" t="s">
        <v>0</v>
      </c>
      <c r="D455" s="9"/>
      <c r="E455" s="14" t="str">
        <f t="shared" ref="E455:E457" si="735">+E454</f>
        <v/>
      </c>
      <c r="F455" s="9"/>
      <c r="G455" s="4">
        <f>+'libro compras'!AJ455</f>
        <v>0</v>
      </c>
      <c r="H455" s="9"/>
      <c r="I455" s="9" t="s">
        <v>33</v>
      </c>
      <c r="J455" s="9" t="str">
        <f t="shared" ref="J455:K455" si="736">+J454</f>
        <v xml:space="preserve"> </v>
      </c>
      <c r="K455" s="7">
        <f t="shared" si="736"/>
        <v>0</v>
      </c>
      <c r="L455" s="3">
        <f t="shared" ref="L455:L457" si="737">+L454</f>
        <v>0</v>
      </c>
      <c r="M455" s="3">
        <f t="shared" ref="M455:M457" si="738">+M454</f>
        <v>0</v>
      </c>
      <c r="N455" s="9" t="s">
        <v>34</v>
      </c>
    </row>
    <row r="456" spans="1:14" x14ac:dyDescent="0.25">
      <c r="A456" s="11">
        <f t="shared" si="733"/>
        <v>114</v>
      </c>
      <c r="B456" s="32">
        <f>+'libro compras'!P455</f>
        <v>0</v>
      </c>
      <c r="C456" s="9" t="s">
        <v>0</v>
      </c>
      <c r="D456" s="9"/>
      <c r="E456" s="14" t="str">
        <f t="shared" si="735"/>
        <v/>
      </c>
      <c r="F456" s="9"/>
      <c r="G456" s="4">
        <f>-'libro compras'!AK455</f>
        <v>0</v>
      </c>
      <c r="H456" s="9"/>
      <c r="I456" s="9" t="s">
        <v>2</v>
      </c>
      <c r="J456" s="9" t="str">
        <f t="shared" ref="J456:K456" si="739">+J455</f>
        <v xml:space="preserve"> </v>
      </c>
      <c r="K456" s="7">
        <f t="shared" si="739"/>
        <v>0</v>
      </c>
      <c r="L456" s="3">
        <f t="shared" si="737"/>
        <v>0</v>
      </c>
      <c r="M456" s="3">
        <f t="shared" si="738"/>
        <v>0</v>
      </c>
      <c r="N456" s="9" t="s">
        <v>34</v>
      </c>
    </row>
    <row r="457" spans="1:14" x14ac:dyDescent="0.25">
      <c r="A457" s="11">
        <f t="shared" si="733"/>
        <v>114</v>
      </c>
      <c r="B457" s="34" t="e">
        <f>+VLOOKUP(B456,Hoja1!$A$1:$B$2,2,FALSE)</f>
        <v>#N/A</v>
      </c>
      <c r="C457" s="9" t="s">
        <v>0</v>
      </c>
      <c r="D457" s="9"/>
      <c r="E457" s="14" t="str">
        <f t="shared" si="735"/>
        <v/>
      </c>
      <c r="F457" s="9"/>
      <c r="G457" s="4">
        <f>-'libro compras'!I455</f>
        <v>0</v>
      </c>
      <c r="H457" s="9"/>
      <c r="I457" s="9" t="s">
        <v>2</v>
      </c>
      <c r="J457" s="9" t="str">
        <f t="shared" ref="J457:K457" si="740">+J456</f>
        <v xml:space="preserve"> </v>
      </c>
      <c r="K457" s="7">
        <f t="shared" si="740"/>
        <v>0</v>
      </c>
      <c r="L457" s="3">
        <f t="shared" si="737"/>
        <v>0</v>
      </c>
      <c r="M457" s="3">
        <f t="shared" si="738"/>
        <v>0</v>
      </c>
      <c r="N457" s="9" t="s">
        <v>34</v>
      </c>
    </row>
    <row r="458" spans="1:14" x14ac:dyDescent="0.25">
      <c r="A458" s="11">
        <f t="shared" si="733"/>
        <v>115</v>
      </c>
      <c r="B458" s="42" t="str">
        <f>+'libro compras'!$AK$1</f>
        <v>281130</v>
      </c>
      <c r="C458" s="9" t="s">
        <v>0</v>
      </c>
      <c r="D458" s="9"/>
      <c r="E458" s="14" t="str">
        <f>+'libro compras'!S459</f>
        <v/>
      </c>
      <c r="F458" s="9"/>
      <c r="G458" s="4">
        <f>+'libro compras'!AI459</f>
        <v>0</v>
      </c>
      <c r="H458" s="9"/>
      <c r="I458" s="9" t="s">
        <v>33</v>
      </c>
      <c r="J458" s="9" t="str">
        <f>+CONCATENATE('libro compras'!C459," ",'libro compras'!D459)</f>
        <v xml:space="preserve"> </v>
      </c>
      <c r="K458" s="7">
        <f t="shared" ref="K458" si="741">+K457</f>
        <v>0</v>
      </c>
      <c r="L458" s="3">
        <f>+'libro compras'!C459</f>
        <v>0</v>
      </c>
      <c r="M458" s="3">
        <f>+'libro compras'!D459</f>
        <v>0</v>
      </c>
      <c r="N458" s="9" t="s">
        <v>34</v>
      </c>
    </row>
    <row r="459" spans="1:14" x14ac:dyDescent="0.25">
      <c r="A459" s="11">
        <f t="shared" si="733"/>
        <v>115</v>
      </c>
      <c r="B459" s="43" t="str">
        <f>+'libro compras'!$AL$1</f>
        <v>401110</v>
      </c>
      <c r="C459" s="9" t="s">
        <v>0</v>
      </c>
      <c r="D459" s="9"/>
      <c r="E459" s="14" t="str">
        <f t="shared" ref="E459:E461" si="742">+E458</f>
        <v/>
      </c>
      <c r="F459" s="9"/>
      <c r="G459" s="4">
        <f>+'libro compras'!AJ459</f>
        <v>0</v>
      </c>
      <c r="H459" s="9"/>
      <c r="I459" s="9" t="s">
        <v>33</v>
      </c>
      <c r="J459" s="9" t="str">
        <f t="shared" ref="J459:K459" si="743">+J458</f>
        <v xml:space="preserve"> </v>
      </c>
      <c r="K459" s="7">
        <f t="shared" si="743"/>
        <v>0</v>
      </c>
      <c r="L459" s="3">
        <f t="shared" ref="L459:L461" si="744">+L458</f>
        <v>0</v>
      </c>
      <c r="M459" s="3">
        <f t="shared" ref="M459:M461" si="745">+M458</f>
        <v>0</v>
      </c>
      <c r="N459" s="9" t="s">
        <v>34</v>
      </c>
    </row>
    <row r="460" spans="1:14" x14ac:dyDescent="0.25">
      <c r="A460" s="11">
        <f t="shared" si="733"/>
        <v>115</v>
      </c>
      <c r="B460" s="32">
        <f>+'libro compras'!P459</f>
        <v>0</v>
      </c>
      <c r="C460" s="9" t="s">
        <v>0</v>
      </c>
      <c r="D460" s="9"/>
      <c r="E460" s="14" t="str">
        <f t="shared" si="742"/>
        <v/>
      </c>
      <c r="F460" s="9"/>
      <c r="G460" s="4">
        <f>-'libro compras'!AK459</f>
        <v>0</v>
      </c>
      <c r="H460" s="9"/>
      <c r="I460" s="9" t="s">
        <v>2</v>
      </c>
      <c r="J460" s="9" t="str">
        <f t="shared" ref="J460:K460" si="746">+J459</f>
        <v xml:space="preserve"> </v>
      </c>
      <c r="K460" s="7">
        <f t="shared" si="746"/>
        <v>0</v>
      </c>
      <c r="L460" s="3">
        <f t="shared" si="744"/>
        <v>0</v>
      </c>
      <c r="M460" s="3">
        <f t="shared" si="745"/>
        <v>0</v>
      </c>
      <c r="N460" s="9" t="s">
        <v>34</v>
      </c>
    </row>
    <row r="461" spans="1:14" x14ac:dyDescent="0.25">
      <c r="A461" s="11">
        <f t="shared" si="733"/>
        <v>115</v>
      </c>
      <c r="B461" s="34" t="e">
        <f>+VLOOKUP(B460,Hoja1!$A$1:$B$2,2,FALSE)</f>
        <v>#N/A</v>
      </c>
      <c r="C461" s="9" t="s">
        <v>0</v>
      </c>
      <c r="D461" s="9"/>
      <c r="E461" s="14" t="str">
        <f t="shared" si="742"/>
        <v/>
      </c>
      <c r="F461" s="9"/>
      <c r="G461" s="4">
        <f>-'libro compras'!I459</f>
        <v>0</v>
      </c>
      <c r="H461" s="9"/>
      <c r="I461" s="9" t="s">
        <v>2</v>
      </c>
      <c r="J461" s="9" t="str">
        <f t="shared" ref="J461:K461" si="747">+J460</f>
        <v xml:space="preserve"> </v>
      </c>
      <c r="K461" s="7">
        <f t="shared" si="747"/>
        <v>0</v>
      </c>
      <c r="L461" s="3">
        <f t="shared" si="744"/>
        <v>0</v>
      </c>
      <c r="M461" s="3">
        <f t="shared" si="745"/>
        <v>0</v>
      </c>
      <c r="N461" s="9" t="s">
        <v>34</v>
      </c>
    </row>
    <row r="462" spans="1:14" x14ac:dyDescent="0.25">
      <c r="A462" s="11">
        <f t="shared" ref="A462" si="748">+A461+1</f>
        <v>116</v>
      </c>
      <c r="B462" s="42" t="str">
        <f>+'libro compras'!$AK$1</f>
        <v>281130</v>
      </c>
      <c r="C462" s="9" t="s">
        <v>0</v>
      </c>
      <c r="D462" s="9"/>
      <c r="E462" s="14" t="str">
        <f>+'libro compras'!S463</f>
        <v/>
      </c>
      <c r="F462" s="9"/>
      <c r="G462" s="4">
        <f>+'libro compras'!AI463</f>
        <v>0</v>
      </c>
      <c r="H462" s="9"/>
      <c r="I462" s="9" t="s">
        <v>33</v>
      </c>
      <c r="J462" s="9" t="str">
        <f>+CONCATENATE('libro compras'!C463," ",'libro compras'!D463)</f>
        <v xml:space="preserve"> </v>
      </c>
      <c r="K462" s="7">
        <f>+'libro compras'!F463</f>
        <v>0</v>
      </c>
      <c r="L462" s="3">
        <f>+'libro compras'!C463</f>
        <v>0</v>
      </c>
      <c r="M462" s="3">
        <f>+'libro compras'!D463</f>
        <v>0</v>
      </c>
      <c r="N462" s="9" t="s">
        <v>34</v>
      </c>
    </row>
    <row r="463" spans="1:14" x14ac:dyDescent="0.25">
      <c r="A463" s="11">
        <f t="shared" ref="A463:A465" si="749">+A462</f>
        <v>116</v>
      </c>
      <c r="B463" s="43" t="str">
        <f>+'libro compras'!$AL$1</f>
        <v>401110</v>
      </c>
      <c r="C463" s="9" t="s">
        <v>0</v>
      </c>
      <c r="D463" s="9"/>
      <c r="E463" s="14" t="str">
        <f t="shared" ref="E463:E465" si="750">+E462</f>
        <v/>
      </c>
      <c r="F463" s="9"/>
      <c r="G463" s="4">
        <f>+'libro compras'!AJ463</f>
        <v>0</v>
      </c>
      <c r="H463" s="9"/>
      <c r="I463" s="9" t="s">
        <v>33</v>
      </c>
      <c r="J463" s="9" t="str">
        <f t="shared" ref="J463:M463" si="751">+J462</f>
        <v xml:space="preserve"> </v>
      </c>
      <c r="K463" s="7">
        <f t="shared" si="751"/>
        <v>0</v>
      </c>
      <c r="L463" s="3">
        <f t="shared" si="751"/>
        <v>0</v>
      </c>
      <c r="M463" s="3">
        <f t="shared" si="751"/>
        <v>0</v>
      </c>
      <c r="N463" s="9" t="s">
        <v>34</v>
      </c>
    </row>
    <row r="464" spans="1:14" x14ac:dyDescent="0.25">
      <c r="A464" s="11">
        <f t="shared" si="749"/>
        <v>116</v>
      </c>
      <c r="B464" s="32">
        <f>+'libro compras'!P463</f>
        <v>0</v>
      </c>
      <c r="C464" s="9" t="s">
        <v>0</v>
      </c>
      <c r="D464" s="9"/>
      <c r="E464" s="14" t="str">
        <f t="shared" si="750"/>
        <v/>
      </c>
      <c r="F464" s="9"/>
      <c r="G464" s="4">
        <f>-'libro compras'!AK463</f>
        <v>0</v>
      </c>
      <c r="H464" s="9"/>
      <c r="I464" s="9" t="s">
        <v>2</v>
      </c>
      <c r="J464" s="9" t="str">
        <f t="shared" ref="J464:M464" si="752">+J463</f>
        <v xml:space="preserve"> </v>
      </c>
      <c r="K464" s="7">
        <f t="shared" si="752"/>
        <v>0</v>
      </c>
      <c r="L464" s="3">
        <f t="shared" si="752"/>
        <v>0</v>
      </c>
      <c r="M464" s="3">
        <f t="shared" si="752"/>
        <v>0</v>
      </c>
      <c r="N464" s="9" t="s">
        <v>34</v>
      </c>
    </row>
    <row r="465" spans="1:14" hidden="1" x14ac:dyDescent="0.25">
      <c r="A465" s="11">
        <f t="shared" si="749"/>
        <v>116</v>
      </c>
      <c r="B465" s="34" t="e">
        <f>+VLOOKUP(B464,Hoja1!$A$1:$B$2,2,FALSE)</f>
        <v>#N/A</v>
      </c>
      <c r="C465" s="9" t="s">
        <v>0</v>
      </c>
      <c r="D465" s="9"/>
      <c r="E465" s="14" t="str">
        <f t="shared" si="750"/>
        <v/>
      </c>
      <c r="F465" s="9"/>
      <c r="G465" s="4">
        <f>-'libro compras'!I463</f>
        <v>0</v>
      </c>
      <c r="H465" s="9"/>
      <c r="I465" s="9" t="s">
        <v>2</v>
      </c>
      <c r="J465" s="9" t="str">
        <f t="shared" ref="J465:M465" si="753">+J464</f>
        <v xml:space="preserve"> </v>
      </c>
      <c r="K465" s="7">
        <f t="shared" si="753"/>
        <v>0</v>
      </c>
      <c r="L465" s="3">
        <f t="shared" si="753"/>
        <v>0</v>
      </c>
      <c r="M465" s="3">
        <f t="shared" si="753"/>
        <v>0</v>
      </c>
      <c r="N465" s="9" t="s">
        <v>34</v>
      </c>
    </row>
    <row r="466" spans="1:14" x14ac:dyDescent="0.25">
      <c r="A466" s="11">
        <f t="shared" si="733"/>
        <v>117</v>
      </c>
      <c r="B466" s="42" t="str">
        <f>+'libro compras'!$AK$1</f>
        <v>281130</v>
      </c>
      <c r="C466" s="9" t="s">
        <v>0</v>
      </c>
      <c r="D466" s="9"/>
      <c r="E466" s="14" t="str">
        <f>+'libro compras'!S467</f>
        <v/>
      </c>
      <c r="F466" s="9"/>
      <c r="G466" s="4">
        <f>+'libro compras'!AI467</f>
        <v>0</v>
      </c>
      <c r="H466" s="9"/>
      <c r="I466" s="9" t="s">
        <v>33</v>
      </c>
      <c r="J466" s="9" t="str">
        <f>+CONCATENATE('libro compras'!C467," ",'libro compras'!D467)</f>
        <v xml:space="preserve"> </v>
      </c>
      <c r="K466" s="7">
        <f t="shared" ref="K466" si="754">+K465</f>
        <v>0</v>
      </c>
      <c r="L466" s="3">
        <f>+'libro compras'!C467</f>
        <v>0</v>
      </c>
      <c r="M466" s="3">
        <f>+'libro compras'!D467</f>
        <v>0</v>
      </c>
      <c r="N466" s="9" t="s">
        <v>34</v>
      </c>
    </row>
    <row r="467" spans="1:14" x14ac:dyDescent="0.25">
      <c r="A467" s="11">
        <f t="shared" si="733"/>
        <v>117</v>
      </c>
      <c r="B467" s="43" t="str">
        <f>+'libro compras'!$AL$1</f>
        <v>401110</v>
      </c>
      <c r="C467" s="9" t="s">
        <v>0</v>
      </c>
      <c r="D467" s="9"/>
      <c r="E467" s="14" t="str">
        <f t="shared" ref="E467:E469" si="755">+E466</f>
        <v/>
      </c>
      <c r="F467" s="9"/>
      <c r="G467" s="4">
        <f>+'libro compras'!AJ467</f>
        <v>0</v>
      </c>
      <c r="H467" s="9"/>
      <c r="I467" s="9" t="s">
        <v>33</v>
      </c>
      <c r="J467" s="9" t="str">
        <f t="shared" ref="J467:K467" si="756">+J466</f>
        <v xml:space="preserve"> </v>
      </c>
      <c r="K467" s="7">
        <f t="shared" si="756"/>
        <v>0</v>
      </c>
      <c r="L467" s="3">
        <f t="shared" ref="L467:L469" si="757">+L466</f>
        <v>0</v>
      </c>
      <c r="M467" s="3">
        <f t="shared" ref="M467:M469" si="758">+M466</f>
        <v>0</v>
      </c>
      <c r="N467" s="9" t="s">
        <v>34</v>
      </c>
    </row>
    <row r="468" spans="1:14" x14ac:dyDescent="0.25">
      <c r="A468" s="11">
        <f t="shared" si="733"/>
        <v>117</v>
      </c>
      <c r="B468" s="32">
        <f>+'libro compras'!P467</f>
        <v>0</v>
      </c>
      <c r="C468" s="9" t="s">
        <v>0</v>
      </c>
      <c r="D468" s="9"/>
      <c r="E468" s="14" t="str">
        <f t="shared" si="755"/>
        <v/>
      </c>
      <c r="F468" s="9"/>
      <c r="G468" s="4">
        <f>-'libro compras'!AK467</f>
        <v>0</v>
      </c>
      <c r="H468" s="9"/>
      <c r="I468" s="9" t="s">
        <v>2</v>
      </c>
      <c r="J468" s="9" t="str">
        <f t="shared" ref="J468:K468" si="759">+J467</f>
        <v xml:space="preserve"> </v>
      </c>
      <c r="K468" s="7">
        <f t="shared" si="759"/>
        <v>0</v>
      </c>
      <c r="L468" s="3">
        <f t="shared" si="757"/>
        <v>0</v>
      </c>
      <c r="M468" s="3">
        <f t="shared" si="758"/>
        <v>0</v>
      </c>
      <c r="N468" s="9" t="s">
        <v>34</v>
      </c>
    </row>
    <row r="469" spans="1:14" hidden="1" x14ac:dyDescent="0.25">
      <c r="A469" s="11">
        <f t="shared" si="733"/>
        <v>117</v>
      </c>
      <c r="B469" s="34" t="e">
        <f>+VLOOKUP(B468,Hoja1!$A$1:$B$2,2,FALSE)</f>
        <v>#N/A</v>
      </c>
      <c r="C469" s="9" t="s">
        <v>0</v>
      </c>
      <c r="D469" s="9"/>
      <c r="E469" s="14" t="str">
        <f t="shared" si="755"/>
        <v/>
      </c>
      <c r="F469" s="9"/>
      <c r="G469" s="4">
        <f>-'libro compras'!I467</f>
        <v>0</v>
      </c>
      <c r="H469" s="9"/>
      <c r="I469" s="9" t="s">
        <v>2</v>
      </c>
      <c r="J469" s="9" t="str">
        <f t="shared" ref="J469:K469" si="760">+J468</f>
        <v xml:space="preserve"> </v>
      </c>
      <c r="K469" s="7">
        <f t="shared" si="760"/>
        <v>0</v>
      </c>
      <c r="L469" s="3">
        <f t="shared" si="757"/>
        <v>0</v>
      </c>
      <c r="M469" s="3">
        <f t="shared" si="758"/>
        <v>0</v>
      </c>
      <c r="N469" s="9" t="s">
        <v>34</v>
      </c>
    </row>
    <row r="470" spans="1:14" x14ac:dyDescent="0.25">
      <c r="A470" s="11">
        <f t="shared" si="733"/>
        <v>118</v>
      </c>
      <c r="B470" s="42" t="str">
        <f>+'libro compras'!$AK$1</f>
        <v>281130</v>
      </c>
      <c r="C470" s="9" t="s">
        <v>0</v>
      </c>
      <c r="D470" s="9"/>
      <c r="E470" s="14" t="str">
        <f>+'libro compras'!S471</f>
        <v/>
      </c>
      <c r="F470" s="9"/>
      <c r="G470" s="4">
        <f>+'libro compras'!AI471</f>
        <v>0</v>
      </c>
      <c r="H470" s="9"/>
      <c r="I470" s="9" t="s">
        <v>33</v>
      </c>
      <c r="J470" s="9" t="str">
        <f>+CONCATENATE('libro compras'!C471," ",'libro compras'!D471)</f>
        <v xml:space="preserve"> </v>
      </c>
      <c r="K470" s="7">
        <f t="shared" ref="K470" si="761">+K469</f>
        <v>0</v>
      </c>
      <c r="L470" s="3">
        <f>+'libro compras'!C471</f>
        <v>0</v>
      </c>
      <c r="M470" s="3">
        <f>+'libro compras'!D471</f>
        <v>0</v>
      </c>
      <c r="N470" s="9" t="s">
        <v>34</v>
      </c>
    </row>
    <row r="471" spans="1:14" x14ac:dyDescent="0.25">
      <c r="A471" s="11">
        <f t="shared" si="733"/>
        <v>118</v>
      </c>
      <c r="B471" s="43" t="str">
        <f>+'libro compras'!$AL$1</f>
        <v>401110</v>
      </c>
      <c r="C471" s="9" t="s">
        <v>0</v>
      </c>
      <c r="D471" s="9"/>
      <c r="E471" s="14" t="str">
        <f t="shared" ref="E471:E473" si="762">+E470</f>
        <v/>
      </c>
      <c r="F471" s="9"/>
      <c r="G471" s="4">
        <f>+'libro compras'!AJ471</f>
        <v>0</v>
      </c>
      <c r="H471" s="9"/>
      <c r="I471" s="9" t="s">
        <v>33</v>
      </c>
      <c r="J471" s="9" t="str">
        <f t="shared" ref="J471:K471" si="763">+J470</f>
        <v xml:space="preserve"> </v>
      </c>
      <c r="K471" s="7">
        <f t="shared" si="763"/>
        <v>0</v>
      </c>
      <c r="L471" s="3">
        <f t="shared" ref="L471:L473" si="764">+L470</f>
        <v>0</v>
      </c>
      <c r="M471" s="3">
        <f t="shared" ref="M471:M473" si="765">+M470</f>
        <v>0</v>
      </c>
      <c r="N471" s="9" t="s">
        <v>34</v>
      </c>
    </row>
    <row r="472" spans="1:14" x14ac:dyDescent="0.25">
      <c r="A472" s="11">
        <f t="shared" si="733"/>
        <v>118</v>
      </c>
      <c r="B472" s="32">
        <f>+'libro compras'!P471</f>
        <v>0</v>
      </c>
      <c r="C472" s="9" t="s">
        <v>0</v>
      </c>
      <c r="D472" s="9"/>
      <c r="E472" s="14" t="str">
        <f t="shared" si="762"/>
        <v/>
      </c>
      <c r="F472" s="9"/>
      <c r="G472" s="4">
        <f>-'libro compras'!AK471</f>
        <v>0</v>
      </c>
      <c r="H472" s="9"/>
      <c r="I472" s="9" t="s">
        <v>2</v>
      </c>
      <c r="J472" s="9" t="str">
        <f t="shared" ref="J472:K472" si="766">+J471</f>
        <v xml:space="preserve"> </v>
      </c>
      <c r="K472" s="7">
        <f t="shared" si="766"/>
        <v>0</v>
      </c>
      <c r="L472" s="3">
        <f t="shared" si="764"/>
        <v>0</v>
      </c>
      <c r="M472" s="3">
        <f t="shared" si="765"/>
        <v>0</v>
      </c>
      <c r="N472" s="9" t="s">
        <v>34</v>
      </c>
    </row>
    <row r="473" spans="1:14" hidden="1" x14ac:dyDescent="0.25">
      <c r="A473" s="11">
        <f t="shared" si="733"/>
        <v>118</v>
      </c>
      <c r="B473" s="34" t="e">
        <f>+VLOOKUP(B472,Hoja1!$A$1:$B$2,2,FALSE)</f>
        <v>#N/A</v>
      </c>
      <c r="C473" s="9" t="s">
        <v>0</v>
      </c>
      <c r="D473" s="9"/>
      <c r="E473" s="14" t="str">
        <f t="shared" si="762"/>
        <v/>
      </c>
      <c r="F473" s="9"/>
      <c r="G473" s="4">
        <f>-'libro compras'!I471</f>
        <v>0</v>
      </c>
      <c r="H473" s="9"/>
      <c r="I473" s="9" t="s">
        <v>2</v>
      </c>
      <c r="J473" s="9" t="str">
        <f t="shared" ref="J473:K473" si="767">+J472</f>
        <v xml:space="preserve"> </v>
      </c>
      <c r="K473" s="7">
        <f t="shared" si="767"/>
        <v>0</v>
      </c>
      <c r="L473" s="3">
        <f t="shared" si="764"/>
        <v>0</v>
      </c>
      <c r="M473" s="3">
        <f t="shared" si="765"/>
        <v>0</v>
      </c>
      <c r="N473" s="9" t="s">
        <v>34</v>
      </c>
    </row>
    <row r="474" spans="1:14" x14ac:dyDescent="0.25">
      <c r="A474" s="11">
        <f t="shared" ref="A474" si="768">+A473+1</f>
        <v>119</v>
      </c>
      <c r="B474" s="42" t="str">
        <f>+'libro compras'!$AK$1</f>
        <v>281130</v>
      </c>
      <c r="C474" s="9" t="s">
        <v>0</v>
      </c>
      <c r="D474" s="9"/>
      <c r="E474" s="14" t="str">
        <f>+'libro compras'!S475</f>
        <v/>
      </c>
      <c r="F474" s="9"/>
      <c r="G474" s="4">
        <f>+'libro compras'!AI475</f>
        <v>0</v>
      </c>
      <c r="H474" s="9"/>
      <c r="I474" s="9" t="s">
        <v>33</v>
      </c>
      <c r="J474" s="9" t="str">
        <f>+CONCATENATE('libro compras'!C475," ",'libro compras'!D475)</f>
        <v xml:space="preserve"> </v>
      </c>
      <c r="K474" s="7">
        <f>+'libro compras'!F475</f>
        <v>0</v>
      </c>
      <c r="L474" s="3">
        <f>+'libro compras'!C475</f>
        <v>0</v>
      </c>
      <c r="M474" s="3">
        <f>+'libro compras'!D475</f>
        <v>0</v>
      </c>
      <c r="N474" s="9" t="s">
        <v>34</v>
      </c>
    </row>
    <row r="475" spans="1:14" x14ac:dyDescent="0.25">
      <c r="A475" s="11">
        <f t="shared" ref="A475:A477" si="769">+A474</f>
        <v>119</v>
      </c>
      <c r="B475" s="43" t="str">
        <f>+'libro compras'!$AL$1</f>
        <v>401110</v>
      </c>
      <c r="C475" s="9" t="s">
        <v>0</v>
      </c>
      <c r="D475" s="9"/>
      <c r="E475" s="14" t="str">
        <f t="shared" ref="E475:E477" si="770">+E474</f>
        <v/>
      </c>
      <c r="F475" s="9"/>
      <c r="G475" s="4">
        <f>+'libro compras'!AJ475</f>
        <v>0</v>
      </c>
      <c r="H475" s="9"/>
      <c r="I475" s="9" t="s">
        <v>33</v>
      </c>
      <c r="J475" s="9" t="str">
        <f t="shared" ref="J475:M475" si="771">+J474</f>
        <v xml:space="preserve"> </v>
      </c>
      <c r="K475" s="7">
        <f t="shared" si="771"/>
        <v>0</v>
      </c>
      <c r="L475" s="3">
        <f t="shared" si="771"/>
        <v>0</v>
      </c>
      <c r="M475" s="3">
        <f t="shared" si="771"/>
        <v>0</v>
      </c>
      <c r="N475" s="9" t="s">
        <v>34</v>
      </c>
    </row>
    <row r="476" spans="1:14" x14ac:dyDescent="0.25">
      <c r="A476" s="11">
        <f t="shared" si="769"/>
        <v>119</v>
      </c>
      <c r="B476" s="32">
        <f>+'libro compras'!P475</f>
        <v>0</v>
      </c>
      <c r="C476" s="9" t="s">
        <v>0</v>
      </c>
      <c r="D476" s="9"/>
      <c r="E476" s="14" t="str">
        <f t="shared" si="770"/>
        <v/>
      </c>
      <c r="F476" s="9"/>
      <c r="G476" s="4">
        <f>-'libro compras'!AK475</f>
        <v>0</v>
      </c>
      <c r="H476" s="9"/>
      <c r="I476" s="9" t="s">
        <v>2</v>
      </c>
      <c r="J476" s="9" t="str">
        <f t="shared" ref="J476:M476" si="772">+J475</f>
        <v xml:space="preserve"> </v>
      </c>
      <c r="K476" s="7">
        <f t="shared" si="772"/>
        <v>0</v>
      </c>
      <c r="L476" s="3">
        <f t="shared" si="772"/>
        <v>0</v>
      </c>
      <c r="M476" s="3">
        <f t="shared" si="772"/>
        <v>0</v>
      </c>
      <c r="N476" s="9" t="s">
        <v>34</v>
      </c>
    </row>
    <row r="477" spans="1:14" hidden="1" x14ac:dyDescent="0.25">
      <c r="A477" s="11">
        <f t="shared" si="769"/>
        <v>119</v>
      </c>
      <c r="B477" s="34" t="e">
        <f>+VLOOKUP(B476,Hoja1!$A$1:$B$2,2,FALSE)</f>
        <v>#N/A</v>
      </c>
      <c r="C477" s="9" t="s">
        <v>0</v>
      </c>
      <c r="D477" s="9"/>
      <c r="E477" s="14" t="str">
        <f t="shared" si="770"/>
        <v/>
      </c>
      <c r="F477" s="9"/>
      <c r="G477" s="4">
        <f>-'libro compras'!I475</f>
        <v>0</v>
      </c>
      <c r="H477" s="9"/>
      <c r="I477" s="9" t="s">
        <v>2</v>
      </c>
      <c r="J477" s="9" t="str">
        <f t="shared" ref="J477:M477" si="773">+J476</f>
        <v xml:space="preserve"> </v>
      </c>
      <c r="K477" s="7">
        <f t="shared" si="773"/>
        <v>0</v>
      </c>
      <c r="L477" s="3">
        <f t="shared" si="773"/>
        <v>0</v>
      </c>
      <c r="M477" s="3">
        <f t="shared" si="773"/>
        <v>0</v>
      </c>
      <c r="N477" s="9" t="s">
        <v>34</v>
      </c>
    </row>
    <row r="478" spans="1:14" x14ac:dyDescent="0.25">
      <c r="A478" s="11">
        <f t="shared" si="733"/>
        <v>120</v>
      </c>
      <c r="B478" s="42" t="str">
        <f>+'libro compras'!$AK$1</f>
        <v>281130</v>
      </c>
      <c r="C478" s="9" t="s">
        <v>0</v>
      </c>
      <c r="D478" s="9"/>
      <c r="E478" s="14" t="str">
        <f>+'libro compras'!S479</f>
        <v/>
      </c>
      <c r="F478" s="9"/>
      <c r="G478" s="4">
        <f>+'libro compras'!AI479</f>
        <v>0</v>
      </c>
      <c r="H478" s="9"/>
      <c r="I478" s="9" t="s">
        <v>33</v>
      </c>
      <c r="J478" s="9" t="str">
        <f>+CONCATENATE('libro compras'!C479," ",'libro compras'!D479)</f>
        <v xml:space="preserve"> </v>
      </c>
      <c r="K478" s="7">
        <f t="shared" ref="K478" si="774">+K477</f>
        <v>0</v>
      </c>
      <c r="L478" s="3">
        <f>+'libro compras'!C479</f>
        <v>0</v>
      </c>
      <c r="M478" s="3">
        <f>+'libro compras'!D479</f>
        <v>0</v>
      </c>
      <c r="N478" s="9" t="s">
        <v>34</v>
      </c>
    </row>
    <row r="479" spans="1:14" x14ac:dyDescent="0.25">
      <c r="A479" s="11">
        <f t="shared" si="733"/>
        <v>120</v>
      </c>
      <c r="B479" s="43" t="str">
        <f>+'libro compras'!$AL$1</f>
        <v>401110</v>
      </c>
      <c r="C479" s="9" t="s">
        <v>0</v>
      </c>
      <c r="D479" s="9"/>
      <c r="E479" s="14" t="str">
        <f t="shared" ref="E479:E481" si="775">+E478</f>
        <v/>
      </c>
      <c r="F479" s="9"/>
      <c r="G479" s="4">
        <f>+'libro compras'!AJ479</f>
        <v>0</v>
      </c>
      <c r="H479" s="9"/>
      <c r="I479" s="9" t="s">
        <v>33</v>
      </c>
      <c r="J479" s="9" t="str">
        <f t="shared" ref="J479:K479" si="776">+J478</f>
        <v xml:space="preserve"> </v>
      </c>
      <c r="K479" s="7">
        <f t="shared" si="776"/>
        <v>0</v>
      </c>
      <c r="L479" s="3">
        <f t="shared" ref="L479:L481" si="777">+L478</f>
        <v>0</v>
      </c>
      <c r="M479" s="3">
        <f t="shared" ref="M479:M481" si="778">+M478</f>
        <v>0</v>
      </c>
      <c r="N479" s="9" t="s">
        <v>34</v>
      </c>
    </row>
    <row r="480" spans="1:14" x14ac:dyDescent="0.25">
      <c r="A480" s="11">
        <f t="shared" si="733"/>
        <v>120</v>
      </c>
      <c r="B480" s="32">
        <f>+'libro compras'!P479</f>
        <v>0</v>
      </c>
      <c r="C480" s="9" t="s">
        <v>0</v>
      </c>
      <c r="D480" s="9"/>
      <c r="E480" s="14" t="str">
        <f t="shared" si="775"/>
        <v/>
      </c>
      <c r="F480" s="9"/>
      <c r="G480" s="4">
        <f>-'libro compras'!AK479</f>
        <v>0</v>
      </c>
      <c r="H480" s="9"/>
      <c r="I480" s="9" t="s">
        <v>2</v>
      </c>
      <c r="J480" s="9" t="str">
        <f t="shared" ref="J480:K480" si="779">+J479</f>
        <v xml:space="preserve"> </v>
      </c>
      <c r="K480" s="7">
        <f t="shared" si="779"/>
        <v>0</v>
      </c>
      <c r="L480" s="3">
        <f t="shared" si="777"/>
        <v>0</v>
      </c>
      <c r="M480" s="3">
        <f t="shared" si="778"/>
        <v>0</v>
      </c>
      <c r="N480" s="9" t="s">
        <v>34</v>
      </c>
    </row>
    <row r="481" spans="1:14" x14ac:dyDescent="0.25">
      <c r="A481" s="11">
        <f t="shared" si="733"/>
        <v>120</v>
      </c>
      <c r="B481" s="34" t="e">
        <f>+VLOOKUP(B480,Hoja1!$A$1:$B$2,2,FALSE)</f>
        <v>#N/A</v>
      </c>
      <c r="C481" s="9" t="s">
        <v>0</v>
      </c>
      <c r="D481" s="9"/>
      <c r="E481" s="14" t="str">
        <f t="shared" si="775"/>
        <v/>
      </c>
      <c r="F481" s="9"/>
      <c r="G481" s="4">
        <f>-'libro compras'!I479</f>
        <v>0</v>
      </c>
      <c r="H481" s="9"/>
      <c r="I481" s="9" t="s">
        <v>2</v>
      </c>
      <c r="J481" s="9" t="str">
        <f t="shared" ref="J481:K481" si="780">+J480</f>
        <v xml:space="preserve"> </v>
      </c>
      <c r="K481" s="7">
        <f t="shared" si="780"/>
        <v>0</v>
      </c>
      <c r="L481" s="3">
        <f t="shared" si="777"/>
        <v>0</v>
      </c>
      <c r="M481" s="3">
        <f t="shared" si="778"/>
        <v>0</v>
      </c>
      <c r="N481" s="9" t="s">
        <v>34</v>
      </c>
    </row>
    <row r="482" spans="1:14" x14ac:dyDescent="0.25">
      <c r="A482" s="11">
        <f t="shared" si="733"/>
        <v>121</v>
      </c>
      <c r="B482" s="42" t="str">
        <f>+'libro compras'!$AK$1</f>
        <v>281130</v>
      </c>
      <c r="C482" s="9" t="s">
        <v>0</v>
      </c>
      <c r="D482" s="9"/>
      <c r="E482" s="14" t="str">
        <f>+'libro compras'!S483</f>
        <v/>
      </c>
      <c r="F482" s="9"/>
      <c r="G482" s="4">
        <f>+'libro compras'!AI483</f>
        <v>0</v>
      </c>
      <c r="H482" s="9"/>
      <c r="I482" s="9" t="s">
        <v>33</v>
      </c>
      <c r="J482" s="9" t="str">
        <f>+CONCATENATE('libro compras'!C483," ",'libro compras'!D483)</f>
        <v xml:space="preserve"> </v>
      </c>
      <c r="K482" s="7">
        <f t="shared" ref="K482" si="781">+K481</f>
        <v>0</v>
      </c>
      <c r="L482" s="3">
        <f>+'libro compras'!C483</f>
        <v>0</v>
      </c>
      <c r="M482" s="3">
        <f>+'libro compras'!D483</f>
        <v>0</v>
      </c>
      <c r="N482" s="9" t="s">
        <v>34</v>
      </c>
    </row>
    <row r="483" spans="1:14" x14ac:dyDescent="0.25">
      <c r="A483" s="11">
        <f t="shared" si="733"/>
        <v>121</v>
      </c>
      <c r="B483" s="43" t="str">
        <f>+'libro compras'!$AL$1</f>
        <v>401110</v>
      </c>
      <c r="C483" s="9" t="s">
        <v>0</v>
      </c>
      <c r="D483" s="9"/>
      <c r="E483" s="14" t="str">
        <f t="shared" ref="E483:E485" si="782">+E482</f>
        <v/>
      </c>
      <c r="F483" s="9"/>
      <c r="G483" s="4">
        <f>+'libro compras'!AJ483</f>
        <v>0</v>
      </c>
      <c r="H483" s="9"/>
      <c r="I483" s="9" t="s">
        <v>33</v>
      </c>
      <c r="J483" s="9" t="str">
        <f t="shared" ref="J483:K483" si="783">+J482</f>
        <v xml:space="preserve"> </v>
      </c>
      <c r="K483" s="7">
        <f t="shared" si="783"/>
        <v>0</v>
      </c>
      <c r="L483" s="3">
        <f t="shared" ref="L483:L485" si="784">+L482</f>
        <v>0</v>
      </c>
      <c r="M483" s="3">
        <f t="shared" ref="M483:M485" si="785">+M482</f>
        <v>0</v>
      </c>
      <c r="N483" s="9" t="s">
        <v>34</v>
      </c>
    </row>
    <row r="484" spans="1:14" x14ac:dyDescent="0.25">
      <c r="A484" s="11">
        <f t="shared" si="733"/>
        <v>121</v>
      </c>
      <c r="B484" s="32">
        <f>+'libro compras'!P483</f>
        <v>0</v>
      </c>
      <c r="C484" s="9" t="s">
        <v>0</v>
      </c>
      <c r="D484" s="9"/>
      <c r="E484" s="14" t="str">
        <f t="shared" si="782"/>
        <v/>
      </c>
      <c r="F484" s="9"/>
      <c r="G484" s="4">
        <f>-'libro compras'!AK483</f>
        <v>0</v>
      </c>
      <c r="H484" s="9"/>
      <c r="I484" s="9" t="s">
        <v>2</v>
      </c>
      <c r="J484" s="9" t="str">
        <f t="shared" ref="J484:K484" si="786">+J483</f>
        <v xml:space="preserve"> </v>
      </c>
      <c r="K484" s="7">
        <f t="shared" si="786"/>
        <v>0</v>
      </c>
      <c r="L484" s="3">
        <f t="shared" si="784"/>
        <v>0</v>
      </c>
      <c r="M484" s="3">
        <f t="shared" si="785"/>
        <v>0</v>
      </c>
      <c r="N484" s="9" t="s">
        <v>34</v>
      </c>
    </row>
    <row r="485" spans="1:14" x14ac:dyDescent="0.25">
      <c r="A485" s="11">
        <f t="shared" si="733"/>
        <v>121</v>
      </c>
      <c r="B485" s="34" t="e">
        <f>+VLOOKUP(B484,Hoja1!$A$1:$B$2,2,FALSE)</f>
        <v>#N/A</v>
      </c>
      <c r="C485" s="9" t="s">
        <v>0</v>
      </c>
      <c r="D485" s="9"/>
      <c r="E485" s="14" t="str">
        <f t="shared" si="782"/>
        <v/>
      </c>
      <c r="F485" s="9"/>
      <c r="G485" s="4">
        <f>-'libro compras'!I483</f>
        <v>0</v>
      </c>
      <c r="H485" s="9"/>
      <c r="I485" s="9" t="s">
        <v>2</v>
      </c>
      <c r="J485" s="9" t="str">
        <f t="shared" ref="J485:K485" si="787">+J484</f>
        <v xml:space="preserve"> </v>
      </c>
      <c r="K485" s="7">
        <f t="shared" si="787"/>
        <v>0</v>
      </c>
      <c r="L485" s="3">
        <f t="shared" si="784"/>
        <v>0</v>
      </c>
      <c r="M485" s="3">
        <f t="shared" si="785"/>
        <v>0</v>
      </c>
      <c r="N485" s="9" t="s">
        <v>34</v>
      </c>
    </row>
    <row r="486" spans="1:14" x14ac:dyDescent="0.25">
      <c r="A486" s="11">
        <f t="shared" ref="A486" si="788">+A485+1</f>
        <v>122</v>
      </c>
      <c r="B486" s="42" t="str">
        <f>+'libro compras'!$AK$1</f>
        <v>281130</v>
      </c>
      <c r="C486" s="9" t="s">
        <v>0</v>
      </c>
      <c r="D486" s="9"/>
      <c r="E486" s="14" t="str">
        <f>+'libro compras'!S487</f>
        <v/>
      </c>
      <c r="F486" s="9"/>
      <c r="G486" s="4">
        <f>+'libro compras'!AI487</f>
        <v>0</v>
      </c>
      <c r="H486" s="9"/>
      <c r="I486" s="9" t="s">
        <v>33</v>
      </c>
      <c r="J486" s="9" t="str">
        <f>+CONCATENATE('libro compras'!C487," ",'libro compras'!D487)</f>
        <v xml:space="preserve"> </v>
      </c>
      <c r="K486" s="7">
        <f>+'libro compras'!F487</f>
        <v>0</v>
      </c>
      <c r="L486" s="3">
        <f>+'libro compras'!C487</f>
        <v>0</v>
      </c>
      <c r="M486" s="3">
        <f>+'libro compras'!D487</f>
        <v>0</v>
      </c>
      <c r="N486" s="9" t="s">
        <v>34</v>
      </c>
    </row>
    <row r="487" spans="1:14" x14ac:dyDescent="0.25">
      <c r="A487" s="11">
        <f t="shared" ref="A487:A489" si="789">+A486</f>
        <v>122</v>
      </c>
      <c r="B487" s="43" t="str">
        <f>+'libro compras'!$AL$1</f>
        <v>401110</v>
      </c>
      <c r="C487" s="9" t="s">
        <v>0</v>
      </c>
      <c r="D487" s="9"/>
      <c r="E487" s="14" t="str">
        <f t="shared" ref="E487:E489" si="790">+E486</f>
        <v/>
      </c>
      <c r="F487" s="9"/>
      <c r="G487" s="4">
        <f>+'libro compras'!AJ487</f>
        <v>0</v>
      </c>
      <c r="H487" s="9"/>
      <c r="I487" s="9" t="s">
        <v>33</v>
      </c>
      <c r="J487" s="9" t="str">
        <f t="shared" ref="J487:M487" si="791">+J486</f>
        <v xml:space="preserve"> </v>
      </c>
      <c r="K487" s="7">
        <f t="shared" si="791"/>
        <v>0</v>
      </c>
      <c r="L487" s="3">
        <f t="shared" si="791"/>
        <v>0</v>
      </c>
      <c r="M487" s="3">
        <f t="shared" si="791"/>
        <v>0</v>
      </c>
      <c r="N487" s="9" t="s">
        <v>34</v>
      </c>
    </row>
    <row r="488" spans="1:14" x14ac:dyDescent="0.25">
      <c r="A488" s="11">
        <f t="shared" si="789"/>
        <v>122</v>
      </c>
      <c r="B488" s="32">
        <f>+'libro compras'!P487</f>
        <v>0</v>
      </c>
      <c r="C488" s="9" t="s">
        <v>0</v>
      </c>
      <c r="D488" s="9"/>
      <c r="E488" s="14" t="str">
        <f t="shared" si="790"/>
        <v/>
      </c>
      <c r="F488" s="9"/>
      <c r="G488" s="4">
        <f>-'libro compras'!AK487</f>
        <v>0</v>
      </c>
      <c r="H488" s="9"/>
      <c r="I488" s="9" t="s">
        <v>2</v>
      </c>
      <c r="J488" s="9" t="str">
        <f t="shared" ref="J488:M488" si="792">+J487</f>
        <v xml:space="preserve"> </v>
      </c>
      <c r="K488" s="7">
        <f t="shared" si="792"/>
        <v>0</v>
      </c>
      <c r="L488" s="3">
        <f t="shared" si="792"/>
        <v>0</v>
      </c>
      <c r="M488" s="3">
        <f t="shared" si="792"/>
        <v>0</v>
      </c>
      <c r="N488" s="9" t="s">
        <v>34</v>
      </c>
    </row>
    <row r="489" spans="1:14" x14ac:dyDescent="0.25">
      <c r="A489" s="11">
        <f t="shared" si="789"/>
        <v>122</v>
      </c>
      <c r="B489" s="34" t="e">
        <f>+VLOOKUP(B488,Hoja1!$A$1:$B$2,2,FALSE)</f>
        <v>#N/A</v>
      </c>
      <c r="C489" s="9" t="s">
        <v>0</v>
      </c>
      <c r="D489" s="9"/>
      <c r="E489" s="14" t="str">
        <f t="shared" si="790"/>
        <v/>
      </c>
      <c r="F489" s="9"/>
      <c r="G489" s="4">
        <f>-'libro compras'!I487</f>
        <v>0</v>
      </c>
      <c r="H489" s="9"/>
      <c r="I489" s="9" t="s">
        <v>2</v>
      </c>
      <c r="J489" s="9" t="str">
        <f t="shared" ref="J489:M489" si="793">+J488</f>
        <v xml:space="preserve"> </v>
      </c>
      <c r="K489" s="7">
        <f t="shared" si="793"/>
        <v>0</v>
      </c>
      <c r="L489" s="3">
        <f t="shared" si="793"/>
        <v>0</v>
      </c>
      <c r="M489" s="3">
        <f t="shared" si="793"/>
        <v>0</v>
      </c>
      <c r="N489" s="9" t="s">
        <v>34</v>
      </c>
    </row>
    <row r="490" spans="1:14" x14ac:dyDescent="0.25">
      <c r="A490" s="11">
        <f t="shared" si="733"/>
        <v>123</v>
      </c>
      <c r="B490" s="42" t="str">
        <f>+'libro compras'!$AK$1</f>
        <v>281130</v>
      </c>
      <c r="C490" s="9" t="s">
        <v>0</v>
      </c>
      <c r="D490" s="9"/>
      <c r="E490" s="14" t="str">
        <f>+'libro compras'!S491</f>
        <v/>
      </c>
      <c r="F490" s="9"/>
      <c r="G490" s="4">
        <f>+'libro compras'!AI491</f>
        <v>0</v>
      </c>
      <c r="H490" s="9"/>
      <c r="I490" s="9" t="s">
        <v>33</v>
      </c>
      <c r="J490" s="9" t="str">
        <f>+CONCATENATE('libro compras'!C491," ",'libro compras'!D491)</f>
        <v xml:space="preserve"> </v>
      </c>
      <c r="K490" s="7">
        <f t="shared" ref="K490" si="794">+K489</f>
        <v>0</v>
      </c>
      <c r="L490" s="3">
        <f>+'libro compras'!C491</f>
        <v>0</v>
      </c>
      <c r="M490" s="3">
        <f>+'libro compras'!D491</f>
        <v>0</v>
      </c>
      <c r="N490" s="9" t="s">
        <v>34</v>
      </c>
    </row>
    <row r="491" spans="1:14" x14ac:dyDescent="0.25">
      <c r="A491" s="11">
        <f t="shared" si="733"/>
        <v>123</v>
      </c>
      <c r="B491" s="43" t="str">
        <f>+'libro compras'!$AL$1</f>
        <v>401110</v>
      </c>
      <c r="C491" s="9" t="s">
        <v>0</v>
      </c>
      <c r="D491" s="9"/>
      <c r="E491" s="14" t="str">
        <f t="shared" ref="E491:E493" si="795">+E490</f>
        <v/>
      </c>
      <c r="F491" s="9"/>
      <c r="G491" s="4">
        <f>+'libro compras'!AJ491</f>
        <v>0</v>
      </c>
      <c r="H491" s="9"/>
      <c r="I491" s="9" t="s">
        <v>33</v>
      </c>
      <c r="J491" s="9" t="str">
        <f t="shared" ref="J491:K491" si="796">+J490</f>
        <v xml:space="preserve"> </v>
      </c>
      <c r="K491" s="7">
        <f t="shared" si="796"/>
        <v>0</v>
      </c>
      <c r="L491" s="3">
        <f t="shared" ref="L491:L493" si="797">+L490</f>
        <v>0</v>
      </c>
      <c r="M491" s="3">
        <f t="shared" ref="M491:M493" si="798">+M490</f>
        <v>0</v>
      </c>
      <c r="N491" s="9" t="s">
        <v>34</v>
      </c>
    </row>
    <row r="492" spans="1:14" x14ac:dyDescent="0.25">
      <c r="A492" s="11">
        <f t="shared" si="733"/>
        <v>123</v>
      </c>
      <c r="B492" s="32">
        <f>+'libro compras'!P491</f>
        <v>0</v>
      </c>
      <c r="C492" s="9" t="s">
        <v>0</v>
      </c>
      <c r="D492" s="9"/>
      <c r="E492" s="14" t="str">
        <f t="shared" si="795"/>
        <v/>
      </c>
      <c r="F492" s="9"/>
      <c r="G492" s="4">
        <f>-'libro compras'!AK491</f>
        <v>0</v>
      </c>
      <c r="H492" s="9"/>
      <c r="I492" s="9" t="s">
        <v>2</v>
      </c>
      <c r="J492" s="9" t="str">
        <f t="shared" ref="J492:K492" si="799">+J491</f>
        <v xml:space="preserve"> </v>
      </c>
      <c r="K492" s="7">
        <f t="shared" si="799"/>
        <v>0</v>
      </c>
      <c r="L492" s="3">
        <f t="shared" si="797"/>
        <v>0</v>
      </c>
      <c r="M492" s="3">
        <f t="shared" si="798"/>
        <v>0</v>
      </c>
      <c r="N492" s="9" t="s">
        <v>34</v>
      </c>
    </row>
    <row r="493" spans="1:14" x14ac:dyDescent="0.25">
      <c r="A493" s="11">
        <f t="shared" si="733"/>
        <v>123</v>
      </c>
      <c r="B493" s="34" t="e">
        <f>+VLOOKUP(B492,Hoja1!$A$1:$B$2,2,FALSE)</f>
        <v>#N/A</v>
      </c>
      <c r="C493" s="9" t="s">
        <v>0</v>
      </c>
      <c r="D493" s="9"/>
      <c r="E493" s="14" t="str">
        <f t="shared" si="795"/>
        <v/>
      </c>
      <c r="F493" s="9"/>
      <c r="G493" s="4">
        <f>-'libro compras'!I491</f>
        <v>0</v>
      </c>
      <c r="H493" s="9"/>
      <c r="I493" s="9" t="s">
        <v>2</v>
      </c>
      <c r="J493" s="9" t="str">
        <f t="shared" ref="J493:K493" si="800">+J492</f>
        <v xml:space="preserve"> </v>
      </c>
      <c r="K493" s="7">
        <f t="shared" si="800"/>
        <v>0</v>
      </c>
      <c r="L493" s="3">
        <f t="shared" si="797"/>
        <v>0</v>
      </c>
      <c r="M493" s="3">
        <f t="shared" si="798"/>
        <v>0</v>
      </c>
      <c r="N493" s="9" t="s">
        <v>34</v>
      </c>
    </row>
    <row r="494" spans="1:14" x14ac:dyDescent="0.25">
      <c r="A494" s="11">
        <f t="shared" si="733"/>
        <v>124</v>
      </c>
      <c r="B494" s="42" t="str">
        <f>+'libro compras'!$AK$1</f>
        <v>281130</v>
      </c>
      <c r="C494" s="9" t="s">
        <v>0</v>
      </c>
      <c r="D494" s="9"/>
      <c r="E494" s="14" t="str">
        <f>+'libro compras'!S495</f>
        <v/>
      </c>
      <c r="F494" s="9"/>
      <c r="G494" s="4">
        <f>+'libro compras'!AI495</f>
        <v>0</v>
      </c>
      <c r="H494" s="9"/>
      <c r="I494" s="9" t="s">
        <v>33</v>
      </c>
      <c r="J494" s="9" t="str">
        <f>+CONCATENATE('libro compras'!C495," ",'libro compras'!D495)</f>
        <v xml:space="preserve"> </v>
      </c>
      <c r="K494" s="7">
        <f t="shared" ref="K494" si="801">+K493</f>
        <v>0</v>
      </c>
      <c r="L494" s="3">
        <f>+'libro compras'!C495</f>
        <v>0</v>
      </c>
      <c r="M494" s="3">
        <f>+'libro compras'!D495</f>
        <v>0</v>
      </c>
      <c r="N494" s="9" t="s">
        <v>34</v>
      </c>
    </row>
    <row r="495" spans="1:14" x14ac:dyDescent="0.25">
      <c r="A495" s="11">
        <f t="shared" si="733"/>
        <v>124</v>
      </c>
      <c r="B495" s="43" t="str">
        <f>+'libro compras'!$AL$1</f>
        <v>401110</v>
      </c>
      <c r="C495" s="9" t="s">
        <v>0</v>
      </c>
      <c r="D495" s="9"/>
      <c r="E495" s="14" t="str">
        <f t="shared" ref="E495:E497" si="802">+E494</f>
        <v/>
      </c>
      <c r="F495" s="9"/>
      <c r="G495" s="4">
        <f>+'libro compras'!AJ495</f>
        <v>0</v>
      </c>
      <c r="H495" s="9"/>
      <c r="I495" s="9" t="s">
        <v>33</v>
      </c>
      <c r="J495" s="9" t="str">
        <f t="shared" ref="J495:K495" si="803">+J494</f>
        <v xml:space="preserve"> </v>
      </c>
      <c r="K495" s="7">
        <f t="shared" si="803"/>
        <v>0</v>
      </c>
      <c r="L495" s="3">
        <f t="shared" ref="L495:L497" si="804">+L494</f>
        <v>0</v>
      </c>
      <c r="M495" s="3">
        <f t="shared" ref="M495:M497" si="805">+M494</f>
        <v>0</v>
      </c>
      <c r="N495" s="9" t="s">
        <v>34</v>
      </c>
    </row>
    <row r="496" spans="1:14" x14ac:dyDescent="0.25">
      <c r="A496" s="11">
        <f t="shared" si="733"/>
        <v>124</v>
      </c>
      <c r="B496" s="32">
        <f>+'libro compras'!P495</f>
        <v>0</v>
      </c>
      <c r="C496" s="9" t="s">
        <v>0</v>
      </c>
      <c r="D496" s="9"/>
      <c r="E496" s="14" t="str">
        <f t="shared" si="802"/>
        <v/>
      </c>
      <c r="F496" s="9"/>
      <c r="G496" s="4">
        <f>-'libro compras'!AK495</f>
        <v>0</v>
      </c>
      <c r="H496" s="9"/>
      <c r="I496" s="9" t="s">
        <v>2</v>
      </c>
      <c r="J496" s="9" t="str">
        <f t="shared" ref="J496:K496" si="806">+J495</f>
        <v xml:space="preserve"> </v>
      </c>
      <c r="K496" s="7">
        <f t="shared" si="806"/>
        <v>0</v>
      </c>
      <c r="L496" s="3">
        <f t="shared" si="804"/>
        <v>0</v>
      </c>
      <c r="M496" s="3">
        <f t="shared" si="805"/>
        <v>0</v>
      </c>
      <c r="N496" s="9" t="s">
        <v>34</v>
      </c>
    </row>
    <row r="497" spans="1:14" x14ac:dyDescent="0.25">
      <c r="A497" s="11">
        <f t="shared" si="733"/>
        <v>124</v>
      </c>
      <c r="B497" s="34" t="e">
        <f>+VLOOKUP(B496,Hoja1!$A$1:$B$2,2,FALSE)</f>
        <v>#N/A</v>
      </c>
      <c r="C497" s="9" t="s">
        <v>0</v>
      </c>
      <c r="D497" s="9"/>
      <c r="E497" s="14" t="str">
        <f t="shared" si="802"/>
        <v/>
      </c>
      <c r="F497" s="9"/>
      <c r="G497" s="4">
        <f>-'libro compras'!I495</f>
        <v>0</v>
      </c>
      <c r="H497" s="9"/>
      <c r="I497" s="9" t="s">
        <v>2</v>
      </c>
      <c r="J497" s="9" t="str">
        <f t="shared" ref="J497:K497" si="807">+J496</f>
        <v xml:space="preserve"> </v>
      </c>
      <c r="K497" s="7">
        <f t="shared" si="807"/>
        <v>0</v>
      </c>
      <c r="L497" s="3">
        <f t="shared" si="804"/>
        <v>0</v>
      </c>
      <c r="M497" s="3">
        <f t="shared" si="805"/>
        <v>0</v>
      </c>
      <c r="N497" s="9" t="s">
        <v>34</v>
      </c>
    </row>
    <row r="498" spans="1:14" x14ac:dyDescent="0.25">
      <c r="A498" s="11">
        <f t="shared" ref="A498" si="808">+A497+1</f>
        <v>125</v>
      </c>
      <c r="B498" s="42" t="str">
        <f>+'libro compras'!$AK$1</f>
        <v>281130</v>
      </c>
      <c r="C498" s="9" t="s">
        <v>0</v>
      </c>
      <c r="D498" s="9"/>
      <c r="E498" s="14" t="str">
        <f>+'libro compras'!S499</f>
        <v/>
      </c>
      <c r="F498" s="9"/>
      <c r="G498" s="4">
        <f>+'libro compras'!AI499</f>
        <v>0</v>
      </c>
      <c r="H498" s="9"/>
      <c r="I498" s="9" t="s">
        <v>33</v>
      </c>
      <c r="J498" s="9" t="str">
        <f>+CONCATENATE('libro compras'!C499," ",'libro compras'!D499)</f>
        <v xml:space="preserve"> </v>
      </c>
      <c r="K498" s="7">
        <f>+'libro compras'!F499</f>
        <v>0</v>
      </c>
      <c r="L498" s="3">
        <f>+'libro compras'!C499</f>
        <v>0</v>
      </c>
      <c r="M498" s="3">
        <f>+'libro compras'!D499</f>
        <v>0</v>
      </c>
      <c r="N498" s="9" t="s">
        <v>34</v>
      </c>
    </row>
    <row r="499" spans="1:14" x14ac:dyDescent="0.25">
      <c r="A499" s="11">
        <f t="shared" ref="A499:A501" si="809">+A498</f>
        <v>125</v>
      </c>
      <c r="B499" s="43" t="str">
        <f>+'libro compras'!$AL$1</f>
        <v>401110</v>
      </c>
      <c r="C499" s="9" t="s">
        <v>0</v>
      </c>
      <c r="D499" s="9"/>
      <c r="E499" s="14" t="str">
        <f t="shared" ref="E499:E501" si="810">+E498</f>
        <v/>
      </c>
      <c r="F499" s="9"/>
      <c r="G499" s="4">
        <f>+'libro compras'!AJ499</f>
        <v>0</v>
      </c>
      <c r="H499" s="9"/>
      <c r="I499" s="9" t="s">
        <v>33</v>
      </c>
      <c r="J499" s="9" t="str">
        <f t="shared" ref="J499:M499" si="811">+J498</f>
        <v xml:space="preserve"> </v>
      </c>
      <c r="K499" s="7">
        <f t="shared" si="811"/>
        <v>0</v>
      </c>
      <c r="L499" s="3">
        <f t="shared" si="811"/>
        <v>0</v>
      </c>
      <c r="M499" s="3">
        <f t="shared" si="811"/>
        <v>0</v>
      </c>
      <c r="N499" s="9" t="s">
        <v>34</v>
      </c>
    </row>
    <row r="500" spans="1:14" x14ac:dyDescent="0.25">
      <c r="A500" s="11">
        <f t="shared" si="809"/>
        <v>125</v>
      </c>
      <c r="B500" s="32">
        <f>+'libro compras'!P499</f>
        <v>0</v>
      </c>
      <c r="C500" s="9" t="s">
        <v>0</v>
      </c>
      <c r="D500" s="9"/>
      <c r="E500" s="14" t="str">
        <f t="shared" si="810"/>
        <v/>
      </c>
      <c r="F500" s="9"/>
      <c r="G500" s="4">
        <f>-'libro compras'!AK499</f>
        <v>0</v>
      </c>
      <c r="H500" s="9"/>
      <c r="I500" s="9" t="s">
        <v>2</v>
      </c>
      <c r="J500" s="9" t="str">
        <f t="shared" ref="J500:M500" si="812">+J499</f>
        <v xml:space="preserve"> </v>
      </c>
      <c r="K500" s="7">
        <f t="shared" si="812"/>
        <v>0</v>
      </c>
      <c r="L500" s="3">
        <f t="shared" si="812"/>
        <v>0</v>
      </c>
      <c r="M500" s="3">
        <f t="shared" si="812"/>
        <v>0</v>
      </c>
      <c r="N500" s="9" t="s">
        <v>34</v>
      </c>
    </row>
    <row r="501" spans="1:14" x14ac:dyDescent="0.25">
      <c r="A501" s="11">
        <f t="shared" si="809"/>
        <v>125</v>
      </c>
      <c r="B501" s="34" t="e">
        <f>+VLOOKUP(B500,Hoja1!$A$1:$B$2,2,FALSE)</f>
        <v>#N/A</v>
      </c>
      <c r="C501" s="9" t="s">
        <v>0</v>
      </c>
      <c r="D501" s="9"/>
      <c r="E501" s="14" t="str">
        <f t="shared" si="810"/>
        <v/>
      </c>
      <c r="F501" s="9"/>
      <c r="G501" s="4">
        <f>-'libro compras'!I499</f>
        <v>0</v>
      </c>
      <c r="H501" s="9"/>
      <c r="I501" s="9" t="s">
        <v>2</v>
      </c>
      <c r="J501" s="9" t="str">
        <f t="shared" ref="J501:M501" si="813">+J500</f>
        <v xml:space="preserve"> </v>
      </c>
      <c r="K501" s="7">
        <f t="shared" si="813"/>
        <v>0</v>
      </c>
      <c r="L501" s="3">
        <f t="shared" si="813"/>
        <v>0</v>
      </c>
      <c r="M501" s="3">
        <f t="shared" si="813"/>
        <v>0</v>
      </c>
      <c r="N501" s="9" t="s">
        <v>34</v>
      </c>
    </row>
    <row r="502" spans="1:14" x14ac:dyDescent="0.25">
      <c r="A502" s="11">
        <f t="shared" si="733"/>
        <v>126</v>
      </c>
      <c r="B502" s="42" t="str">
        <f>+'libro compras'!$AK$1</f>
        <v>281130</v>
      </c>
      <c r="C502" s="9" t="s">
        <v>0</v>
      </c>
      <c r="D502" s="9"/>
      <c r="E502" s="14" t="str">
        <f>+'libro compras'!S503</f>
        <v/>
      </c>
      <c r="F502" s="9"/>
      <c r="G502" s="4">
        <f>+'libro compras'!AI503</f>
        <v>0</v>
      </c>
      <c r="H502" s="9"/>
      <c r="I502" s="9" t="s">
        <v>33</v>
      </c>
      <c r="J502" s="9" t="str">
        <f>+CONCATENATE('libro compras'!C503," ",'libro compras'!D503)</f>
        <v xml:space="preserve"> </v>
      </c>
      <c r="K502" s="7">
        <f t="shared" ref="K502" si="814">+K501</f>
        <v>0</v>
      </c>
      <c r="L502" s="3">
        <f>+'libro compras'!C503</f>
        <v>0</v>
      </c>
      <c r="M502" s="3">
        <f>+'libro compras'!D503</f>
        <v>0</v>
      </c>
      <c r="N502" s="9" t="s">
        <v>34</v>
      </c>
    </row>
    <row r="503" spans="1:14" x14ac:dyDescent="0.25">
      <c r="A503" s="11">
        <f t="shared" si="733"/>
        <v>126</v>
      </c>
      <c r="B503" s="43" t="str">
        <f>+'libro compras'!$AL$1</f>
        <v>401110</v>
      </c>
      <c r="C503" s="9" t="s">
        <v>0</v>
      </c>
      <c r="D503" s="9"/>
      <c r="E503" s="14" t="str">
        <f t="shared" ref="E503:E505" si="815">+E502</f>
        <v/>
      </c>
      <c r="F503" s="9"/>
      <c r="G503" s="4">
        <f>+'libro compras'!AJ503</f>
        <v>0</v>
      </c>
      <c r="H503" s="9"/>
      <c r="I503" s="9" t="s">
        <v>33</v>
      </c>
      <c r="J503" s="9" t="str">
        <f t="shared" ref="J503:K503" si="816">+J502</f>
        <v xml:space="preserve"> </v>
      </c>
      <c r="K503" s="7">
        <f t="shared" si="816"/>
        <v>0</v>
      </c>
      <c r="L503" s="3">
        <f t="shared" ref="L503:L505" si="817">+L502</f>
        <v>0</v>
      </c>
      <c r="M503" s="3">
        <f t="shared" ref="M503:M505" si="818">+M502</f>
        <v>0</v>
      </c>
      <c r="N503" s="9" t="s">
        <v>34</v>
      </c>
    </row>
    <row r="504" spans="1:14" x14ac:dyDescent="0.25">
      <c r="A504" s="11">
        <f t="shared" si="733"/>
        <v>126</v>
      </c>
      <c r="B504" s="32">
        <f>+'libro compras'!P503</f>
        <v>0</v>
      </c>
      <c r="C504" s="9" t="s">
        <v>0</v>
      </c>
      <c r="D504" s="9"/>
      <c r="E504" s="14" t="str">
        <f t="shared" si="815"/>
        <v/>
      </c>
      <c r="F504" s="9"/>
      <c r="G504" s="4">
        <f>-'libro compras'!AK503</f>
        <v>0</v>
      </c>
      <c r="H504" s="9"/>
      <c r="I504" s="9" t="s">
        <v>2</v>
      </c>
      <c r="J504" s="9" t="str">
        <f t="shared" ref="J504:K504" si="819">+J503</f>
        <v xml:space="preserve"> </v>
      </c>
      <c r="K504" s="7">
        <f t="shared" si="819"/>
        <v>0</v>
      </c>
      <c r="L504" s="3">
        <f t="shared" si="817"/>
        <v>0</v>
      </c>
      <c r="M504" s="3">
        <f t="shared" si="818"/>
        <v>0</v>
      </c>
      <c r="N504" s="9" t="s">
        <v>34</v>
      </c>
    </row>
    <row r="505" spans="1:14" x14ac:dyDescent="0.25">
      <c r="A505" s="11">
        <f t="shared" si="733"/>
        <v>126</v>
      </c>
      <c r="B505" s="34" t="e">
        <f>+VLOOKUP(B504,Hoja1!$A$1:$B$2,2,FALSE)</f>
        <v>#N/A</v>
      </c>
      <c r="C505" s="9" t="s">
        <v>0</v>
      </c>
      <c r="D505" s="9"/>
      <c r="E505" s="14" t="str">
        <f t="shared" si="815"/>
        <v/>
      </c>
      <c r="F505" s="9"/>
      <c r="G505" s="4">
        <f>-'libro compras'!I503</f>
        <v>0</v>
      </c>
      <c r="H505" s="9"/>
      <c r="I505" s="9" t="s">
        <v>2</v>
      </c>
      <c r="J505" s="9" t="str">
        <f t="shared" ref="J505:K505" si="820">+J504</f>
        <v xml:space="preserve"> </v>
      </c>
      <c r="K505" s="7">
        <f t="shared" si="820"/>
        <v>0</v>
      </c>
      <c r="L505" s="3">
        <f t="shared" si="817"/>
        <v>0</v>
      </c>
      <c r="M505" s="3">
        <f t="shared" si="818"/>
        <v>0</v>
      </c>
      <c r="N505" s="9" t="s">
        <v>34</v>
      </c>
    </row>
    <row r="506" spans="1:14" x14ac:dyDescent="0.25">
      <c r="A506" s="11">
        <f t="shared" si="733"/>
        <v>127</v>
      </c>
      <c r="B506" s="42" t="str">
        <f>+'libro compras'!$AK$1</f>
        <v>281130</v>
      </c>
      <c r="C506" s="9" t="s">
        <v>0</v>
      </c>
      <c r="D506" s="9"/>
      <c r="E506" s="14" t="str">
        <f>+'libro compras'!S507</f>
        <v/>
      </c>
      <c r="F506" s="9"/>
      <c r="G506" s="4">
        <f>+'libro compras'!AI507</f>
        <v>0</v>
      </c>
      <c r="H506" s="9"/>
      <c r="I506" s="9" t="s">
        <v>33</v>
      </c>
      <c r="J506" s="9" t="str">
        <f>+CONCATENATE('libro compras'!C507," ",'libro compras'!D507)</f>
        <v xml:space="preserve"> </v>
      </c>
      <c r="K506" s="7">
        <f t="shared" ref="K506" si="821">+K505</f>
        <v>0</v>
      </c>
      <c r="L506" s="3">
        <f>+'libro compras'!C507</f>
        <v>0</v>
      </c>
      <c r="M506" s="3">
        <f>+'libro compras'!D507</f>
        <v>0</v>
      </c>
      <c r="N506" s="9" t="s">
        <v>34</v>
      </c>
    </row>
    <row r="507" spans="1:14" x14ac:dyDescent="0.25">
      <c r="A507" s="11">
        <f t="shared" si="733"/>
        <v>127</v>
      </c>
      <c r="B507" s="43" t="str">
        <f>+'libro compras'!$AL$1</f>
        <v>401110</v>
      </c>
      <c r="C507" s="9" t="s">
        <v>0</v>
      </c>
      <c r="D507" s="9"/>
      <c r="E507" s="14" t="str">
        <f t="shared" ref="E507:E509" si="822">+E506</f>
        <v/>
      </c>
      <c r="F507" s="9"/>
      <c r="G507" s="4">
        <f>+'libro compras'!AJ507</f>
        <v>0</v>
      </c>
      <c r="H507" s="9"/>
      <c r="I507" s="9" t="s">
        <v>33</v>
      </c>
      <c r="J507" s="9" t="str">
        <f t="shared" ref="J507:K507" si="823">+J506</f>
        <v xml:space="preserve"> </v>
      </c>
      <c r="K507" s="7">
        <f t="shared" si="823"/>
        <v>0</v>
      </c>
      <c r="L507" s="3">
        <f t="shared" ref="L507:L509" si="824">+L506</f>
        <v>0</v>
      </c>
      <c r="M507" s="3">
        <f t="shared" ref="M507:M509" si="825">+M506</f>
        <v>0</v>
      </c>
      <c r="N507" s="9" t="s">
        <v>34</v>
      </c>
    </row>
    <row r="508" spans="1:14" x14ac:dyDescent="0.25">
      <c r="A508" s="11">
        <f t="shared" si="733"/>
        <v>127</v>
      </c>
      <c r="B508" s="32">
        <f>+'libro compras'!P507</f>
        <v>0</v>
      </c>
      <c r="C508" s="9" t="s">
        <v>0</v>
      </c>
      <c r="D508" s="9"/>
      <c r="E508" s="14" t="str">
        <f t="shared" si="822"/>
        <v/>
      </c>
      <c r="F508" s="9"/>
      <c r="G508" s="4">
        <f>-'libro compras'!AK507</f>
        <v>0</v>
      </c>
      <c r="H508" s="9"/>
      <c r="I508" s="9" t="s">
        <v>2</v>
      </c>
      <c r="J508" s="9" t="str">
        <f t="shared" ref="J508:K508" si="826">+J507</f>
        <v xml:space="preserve"> </v>
      </c>
      <c r="K508" s="7">
        <f t="shared" si="826"/>
        <v>0</v>
      </c>
      <c r="L508" s="3">
        <f t="shared" si="824"/>
        <v>0</v>
      </c>
      <c r="M508" s="3">
        <f t="shared" si="825"/>
        <v>0</v>
      </c>
      <c r="N508" s="9" t="s">
        <v>34</v>
      </c>
    </row>
    <row r="509" spans="1:14" x14ac:dyDescent="0.25">
      <c r="A509" s="11">
        <f t="shared" si="733"/>
        <v>127</v>
      </c>
      <c r="B509" s="34" t="e">
        <f>+VLOOKUP(B508,Hoja1!$A$1:$B$2,2,FALSE)</f>
        <v>#N/A</v>
      </c>
      <c r="C509" s="9" t="s">
        <v>0</v>
      </c>
      <c r="D509" s="9"/>
      <c r="E509" s="14" t="str">
        <f t="shared" si="822"/>
        <v/>
      </c>
      <c r="F509" s="9"/>
      <c r="G509" s="4">
        <f>-'libro compras'!I507</f>
        <v>0</v>
      </c>
      <c r="H509" s="9"/>
      <c r="I509" s="9" t="s">
        <v>2</v>
      </c>
      <c r="J509" s="9" t="str">
        <f t="shared" ref="J509:K509" si="827">+J508</f>
        <v xml:space="preserve"> </v>
      </c>
      <c r="K509" s="7">
        <f t="shared" si="827"/>
        <v>0</v>
      </c>
      <c r="L509" s="3">
        <f t="shared" si="824"/>
        <v>0</v>
      </c>
      <c r="M509" s="3">
        <f t="shared" si="825"/>
        <v>0</v>
      </c>
      <c r="N509" s="9" t="s">
        <v>34</v>
      </c>
    </row>
    <row r="510" spans="1:14" x14ac:dyDescent="0.25">
      <c r="A510" s="11">
        <f t="shared" ref="A510" si="828">+A509+1</f>
        <v>128</v>
      </c>
      <c r="B510" s="42" t="str">
        <f>+'libro compras'!$AK$1</f>
        <v>281130</v>
      </c>
      <c r="C510" s="9" t="s">
        <v>0</v>
      </c>
      <c r="D510" s="9"/>
      <c r="E510" s="14" t="str">
        <f>+'libro compras'!S511</f>
        <v/>
      </c>
      <c r="F510" s="9"/>
      <c r="G510" s="4">
        <f>+'libro compras'!AI511</f>
        <v>0</v>
      </c>
      <c r="H510" s="9"/>
      <c r="I510" s="9" t="s">
        <v>33</v>
      </c>
      <c r="J510" s="9" t="str">
        <f>+CONCATENATE('libro compras'!C511," ",'libro compras'!D511)</f>
        <v xml:space="preserve"> </v>
      </c>
      <c r="K510" s="7">
        <f>+'libro compras'!F511</f>
        <v>0</v>
      </c>
      <c r="L510" s="3">
        <f>+'libro compras'!C511</f>
        <v>0</v>
      </c>
      <c r="M510" s="3">
        <f>+'libro compras'!D511</f>
        <v>0</v>
      </c>
      <c r="N510" s="9" t="s">
        <v>34</v>
      </c>
    </row>
    <row r="511" spans="1:14" x14ac:dyDescent="0.25">
      <c r="A511" s="11">
        <f t="shared" ref="A511:A513" si="829">+A510</f>
        <v>128</v>
      </c>
      <c r="B511" s="43" t="str">
        <f>+'libro compras'!$AL$1</f>
        <v>401110</v>
      </c>
      <c r="C511" s="9" t="s">
        <v>0</v>
      </c>
      <c r="D511" s="9"/>
      <c r="E511" s="14" t="str">
        <f t="shared" ref="E511:E513" si="830">+E510</f>
        <v/>
      </c>
      <c r="F511" s="9"/>
      <c r="G511" s="4">
        <f>+'libro compras'!AJ511</f>
        <v>0</v>
      </c>
      <c r="H511" s="9"/>
      <c r="I511" s="9" t="s">
        <v>33</v>
      </c>
      <c r="J511" s="9" t="str">
        <f t="shared" ref="J511:M511" si="831">+J510</f>
        <v xml:space="preserve"> </v>
      </c>
      <c r="K511" s="7">
        <f t="shared" si="831"/>
        <v>0</v>
      </c>
      <c r="L511" s="3">
        <f t="shared" si="831"/>
        <v>0</v>
      </c>
      <c r="M511" s="3">
        <f t="shared" si="831"/>
        <v>0</v>
      </c>
      <c r="N511" s="9" t="s">
        <v>34</v>
      </c>
    </row>
    <row r="512" spans="1:14" x14ac:dyDescent="0.25">
      <c r="A512" s="11">
        <f t="shared" si="829"/>
        <v>128</v>
      </c>
      <c r="B512" s="32">
        <f>+'libro compras'!P511</f>
        <v>0</v>
      </c>
      <c r="C512" s="9" t="s">
        <v>0</v>
      </c>
      <c r="D512" s="9"/>
      <c r="E512" s="14" t="str">
        <f t="shared" si="830"/>
        <v/>
      </c>
      <c r="F512" s="9"/>
      <c r="G512" s="4">
        <f>-'libro compras'!AK511</f>
        <v>0</v>
      </c>
      <c r="H512" s="9"/>
      <c r="I512" s="9" t="s">
        <v>2</v>
      </c>
      <c r="J512" s="9" t="str">
        <f t="shared" ref="J512:M512" si="832">+J511</f>
        <v xml:space="preserve"> </v>
      </c>
      <c r="K512" s="7">
        <f t="shared" si="832"/>
        <v>0</v>
      </c>
      <c r="L512" s="3">
        <f t="shared" si="832"/>
        <v>0</v>
      </c>
      <c r="M512" s="3">
        <f t="shared" si="832"/>
        <v>0</v>
      </c>
      <c r="N512" s="9" t="s">
        <v>34</v>
      </c>
    </row>
    <row r="513" spans="1:14" x14ac:dyDescent="0.25">
      <c r="A513" s="11">
        <f t="shared" si="829"/>
        <v>128</v>
      </c>
      <c r="B513" s="34" t="e">
        <f>+VLOOKUP(B512,Hoja1!$A$1:$B$2,2,FALSE)</f>
        <v>#N/A</v>
      </c>
      <c r="C513" s="9" t="s">
        <v>0</v>
      </c>
      <c r="D513" s="9"/>
      <c r="E513" s="14" t="str">
        <f t="shared" si="830"/>
        <v/>
      </c>
      <c r="F513" s="9"/>
      <c r="G513" s="4">
        <f>-'libro compras'!I511</f>
        <v>0</v>
      </c>
      <c r="H513" s="9"/>
      <c r="I513" s="9" t="s">
        <v>2</v>
      </c>
      <c r="J513" s="9" t="str">
        <f t="shared" ref="J513:M513" si="833">+J512</f>
        <v xml:space="preserve"> </v>
      </c>
      <c r="K513" s="7">
        <f t="shared" si="833"/>
        <v>0</v>
      </c>
      <c r="L513" s="3">
        <f t="shared" si="833"/>
        <v>0</v>
      </c>
      <c r="M513" s="3">
        <f t="shared" si="833"/>
        <v>0</v>
      </c>
      <c r="N513" s="9" t="s">
        <v>34</v>
      </c>
    </row>
    <row r="514" spans="1:14" x14ac:dyDescent="0.25">
      <c r="A514" s="11">
        <f t="shared" si="733"/>
        <v>129</v>
      </c>
      <c r="B514" s="42" t="str">
        <f>+'libro compras'!$AK$1</f>
        <v>281130</v>
      </c>
      <c r="C514" s="9" t="s">
        <v>0</v>
      </c>
      <c r="D514" s="9"/>
      <c r="E514" s="14" t="str">
        <f>+'libro compras'!S515</f>
        <v/>
      </c>
      <c r="F514" s="9"/>
      <c r="G514" s="4">
        <f>+'libro compras'!AI515</f>
        <v>0</v>
      </c>
      <c r="H514" s="9"/>
      <c r="I514" s="9" t="s">
        <v>33</v>
      </c>
      <c r="J514" s="9" t="str">
        <f>+CONCATENATE('libro compras'!C515," ",'libro compras'!D515)</f>
        <v xml:space="preserve"> </v>
      </c>
      <c r="K514" s="7">
        <f t="shared" ref="K514" si="834">+K513</f>
        <v>0</v>
      </c>
      <c r="L514" s="3">
        <f>+'libro compras'!C515</f>
        <v>0</v>
      </c>
      <c r="M514" s="3">
        <f>+'libro compras'!D515</f>
        <v>0</v>
      </c>
      <c r="N514" s="9" t="s">
        <v>34</v>
      </c>
    </row>
    <row r="515" spans="1:14" x14ac:dyDescent="0.25">
      <c r="A515" s="11">
        <f t="shared" si="733"/>
        <v>129</v>
      </c>
      <c r="B515" s="43" t="str">
        <f>+'libro compras'!$AL$1</f>
        <v>401110</v>
      </c>
      <c r="C515" s="9" t="s">
        <v>0</v>
      </c>
      <c r="D515" s="9"/>
      <c r="E515" s="14" t="str">
        <f t="shared" ref="E515:E517" si="835">+E514</f>
        <v/>
      </c>
      <c r="F515" s="9"/>
      <c r="G515" s="4">
        <f>+'libro compras'!AJ515</f>
        <v>0</v>
      </c>
      <c r="H515" s="9"/>
      <c r="I515" s="9" t="s">
        <v>33</v>
      </c>
      <c r="J515" s="9" t="str">
        <f t="shared" ref="J515:K515" si="836">+J514</f>
        <v xml:space="preserve"> </v>
      </c>
      <c r="K515" s="7">
        <f t="shared" si="836"/>
        <v>0</v>
      </c>
      <c r="L515" s="3">
        <f t="shared" ref="L515:L517" si="837">+L514</f>
        <v>0</v>
      </c>
      <c r="M515" s="3">
        <f t="shared" ref="M515:M517" si="838">+M514</f>
        <v>0</v>
      </c>
      <c r="N515" s="9" t="s">
        <v>34</v>
      </c>
    </row>
    <row r="516" spans="1:14" x14ac:dyDescent="0.25">
      <c r="A516" s="11">
        <f t="shared" si="733"/>
        <v>129</v>
      </c>
      <c r="B516" s="32">
        <f>+'libro compras'!P515</f>
        <v>0</v>
      </c>
      <c r="C516" s="9" t="s">
        <v>0</v>
      </c>
      <c r="D516" s="9"/>
      <c r="E516" s="14" t="str">
        <f t="shared" si="835"/>
        <v/>
      </c>
      <c r="F516" s="9"/>
      <c r="G516" s="4">
        <f>-'libro compras'!AK515</f>
        <v>0</v>
      </c>
      <c r="H516" s="9"/>
      <c r="I516" s="9" t="s">
        <v>2</v>
      </c>
      <c r="J516" s="9" t="str">
        <f t="shared" ref="J516:K516" si="839">+J515</f>
        <v xml:space="preserve"> </v>
      </c>
      <c r="K516" s="7">
        <f t="shared" si="839"/>
        <v>0</v>
      </c>
      <c r="L516" s="3">
        <f t="shared" si="837"/>
        <v>0</v>
      </c>
      <c r="M516" s="3">
        <f t="shared" si="838"/>
        <v>0</v>
      </c>
      <c r="N516" s="9" t="s">
        <v>34</v>
      </c>
    </row>
    <row r="517" spans="1:14" x14ac:dyDescent="0.25">
      <c r="A517" s="11">
        <f t="shared" si="733"/>
        <v>129</v>
      </c>
      <c r="B517" s="34" t="e">
        <f>+VLOOKUP(B516,Hoja1!$A$1:$B$2,2,FALSE)</f>
        <v>#N/A</v>
      </c>
      <c r="C517" s="9" t="s">
        <v>0</v>
      </c>
      <c r="D517" s="9"/>
      <c r="E517" s="14" t="str">
        <f t="shared" si="835"/>
        <v/>
      </c>
      <c r="F517" s="9"/>
      <c r="G517" s="4">
        <f>-'libro compras'!I515</f>
        <v>0</v>
      </c>
      <c r="H517" s="9"/>
      <c r="I517" s="9" t="s">
        <v>2</v>
      </c>
      <c r="J517" s="9" t="str">
        <f t="shared" ref="J517:K517" si="840">+J516</f>
        <v xml:space="preserve"> </v>
      </c>
      <c r="K517" s="7">
        <f t="shared" si="840"/>
        <v>0</v>
      </c>
      <c r="L517" s="3">
        <f t="shared" si="837"/>
        <v>0</v>
      </c>
      <c r="M517" s="3">
        <f t="shared" si="838"/>
        <v>0</v>
      </c>
      <c r="N517" s="9" t="s">
        <v>34</v>
      </c>
    </row>
    <row r="518" spans="1:14" x14ac:dyDescent="0.25">
      <c r="A518" s="11">
        <f t="shared" ref="A518:A521" si="841">1+A514</f>
        <v>130</v>
      </c>
      <c r="B518" s="42" t="str">
        <f>+'libro compras'!$AK$1</f>
        <v>281130</v>
      </c>
      <c r="C518" s="9" t="s">
        <v>0</v>
      </c>
      <c r="D518" s="9"/>
      <c r="E518" s="14" t="str">
        <f>+'libro compras'!S519</f>
        <v/>
      </c>
      <c r="F518" s="9"/>
      <c r="G518" s="4">
        <f>+'libro compras'!AI519</f>
        <v>0</v>
      </c>
      <c r="H518" s="9"/>
      <c r="I518" s="9" t="s">
        <v>33</v>
      </c>
      <c r="J518" s="9" t="str">
        <f>+CONCATENATE('libro compras'!C519," ",'libro compras'!D519)</f>
        <v xml:space="preserve"> </v>
      </c>
      <c r="K518" s="7">
        <f t="shared" ref="K518" si="842">+K517</f>
        <v>0</v>
      </c>
      <c r="L518" s="3">
        <f>+'libro compras'!C519</f>
        <v>0</v>
      </c>
      <c r="M518" s="3">
        <f>+'libro compras'!D519</f>
        <v>0</v>
      </c>
      <c r="N518" s="9" t="s">
        <v>34</v>
      </c>
    </row>
    <row r="519" spans="1:14" x14ac:dyDescent="0.25">
      <c r="A519" s="11">
        <f t="shared" si="841"/>
        <v>130</v>
      </c>
      <c r="B519" s="43" t="str">
        <f>+'libro compras'!$AL$1</f>
        <v>401110</v>
      </c>
      <c r="C519" s="9" t="s">
        <v>0</v>
      </c>
      <c r="D519" s="9"/>
      <c r="E519" s="14" t="str">
        <f t="shared" ref="E519:E521" si="843">+E518</f>
        <v/>
      </c>
      <c r="F519" s="9"/>
      <c r="G519" s="4">
        <f>+'libro compras'!AJ519</f>
        <v>0</v>
      </c>
      <c r="H519" s="9"/>
      <c r="I519" s="9" t="s">
        <v>33</v>
      </c>
      <c r="J519" s="9" t="str">
        <f t="shared" ref="J519:K519" si="844">+J518</f>
        <v xml:space="preserve"> </v>
      </c>
      <c r="K519" s="7">
        <f t="shared" si="844"/>
        <v>0</v>
      </c>
      <c r="L519" s="3">
        <f t="shared" ref="L519:L521" si="845">+L518</f>
        <v>0</v>
      </c>
      <c r="M519" s="3">
        <f t="shared" ref="M519:M521" si="846">+M518</f>
        <v>0</v>
      </c>
      <c r="N519" s="9" t="s">
        <v>34</v>
      </c>
    </row>
    <row r="520" spans="1:14" x14ac:dyDescent="0.25">
      <c r="A520" s="11">
        <f t="shared" si="841"/>
        <v>130</v>
      </c>
      <c r="B520" s="32">
        <f>+'libro compras'!P519</f>
        <v>0</v>
      </c>
      <c r="C520" s="9" t="s">
        <v>0</v>
      </c>
      <c r="D520" s="9"/>
      <c r="E520" s="14" t="str">
        <f t="shared" si="843"/>
        <v/>
      </c>
      <c r="F520" s="9"/>
      <c r="G520" s="4">
        <f>-'libro compras'!AK519</f>
        <v>0</v>
      </c>
      <c r="H520" s="9"/>
      <c r="I520" s="9" t="s">
        <v>2</v>
      </c>
      <c r="J520" s="9" t="str">
        <f t="shared" ref="J520:K520" si="847">+J519</f>
        <v xml:space="preserve"> </v>
      </c>
      <c r="K520" s="7">
        <f t="shared" si="847"/>
        <v>0</v>
      </c>
      <c r="L520" s="3">
        <f t="shared" si="845"/>
        <v>0</v>
      </c>
      <c r="M520" s="3">
        <f t="shared" si="846"/>
        <v>0</v>
      </c>
      <c r="N520" s="9" t="s">
        <v>34</v>
      </c>
    </row>
    <row r="521" spans="1:14" x14ac:dyDescent="0.25">
      <c r="A521" s="11">
        <f t="shared" si="841"/>
        <v>130</v>
      </c>
      <c r="B521" s="34" t="e">
        <f>+VLOOKUP(B520,Hoja1!$A$1:$B$2,2,FALSE)</f>
        <v>#N/A</v>
      </c>
      <c r="C521" s="9" t="s">
        <v>0</v>
      </c>
      <c r="D521" s="9"/>
      <c r="E521" s="14" t="str">
        <f t="shared" si="843"/>
        <v/>
      </c>
      <c r="F521" s="9"/>
      <c r="G521" s="4">
        <f>-'libro compras'!I519</f>
        <v>0</v>
      </c>
      <c r="H521" s="9"/>
      <c r="I521" s="9" t="s">
        <v>2</v>
      </c>
      <c r="J521" s="9" t="str">
        <f t="shared" ref="J521:K521" si="848">+J520</f>
        <v xml:space="preserve"> </v>
      </c>
      <c r="K521" s="7">
        <f t="shared" si="848"/>
        <v>0</v>
      </c>
      <c r="L521" s="3">
        <f t="shared" si="845"/>
        <v>0</v>
      </c>
      <c r="M521" s="3">
        <f t="shared" si="846"/>
        <v>0</v>
      </c>
      <c r="N521" s="9" t="s">
        <v>34</v>
      </c>
    </row>
    <row r="522" spans="1:14" x14ac:dyDescent="0.25">
      <c r="A522" s="11">
        <f t="shared" ref="A522" si="849">+A521+1</f>
        <v>131</v>
      </c>
      <c r="B522" s="42" t="str">
        <f>+'libro compras'!$AK$1</f>
        <v>281130</v>
      </c>
      <c r="C522" s="9" t="s">
        <v>0</v>
      </c>
      <c r="D522" s="9"/>
      <c r="E522" s="14" t="str">
        <f>+'libro compras'!S523</f>
        <v/>
      </c>
      <c r="F522" s="9"/>
      <c r="G522" s="4">
        <f>+'libro compras'!AI523</f>
        <v>0</v>
      </c>
      <c r="H522" s="9"/>
      <c r="I522" s="9" t="s">
        <v>33</v>
      </c>
      <c r="J522" s="9" t="str">
        <f>+CONCATENATE('libro compras'!C523," ",'libro compras'!D523)</f>
        <v xml:space="preserve"> </v>
      </c>
      <c r="K522" s="7">
        <f>+'libro compras'!F523</f>
        <v>0</v>
      </c>
      <c r="L522" s="3">
        <f>+'libro compras'!C523</f>
        <v>0</v>
      </c>
      <c r="M522" s="3">
        <f>+'libro compras'!D523</f>
        <v>0</v>
      </c>
      <c r="N522" s="9" t="s">
        <v>34</v>
      </c>
    </row>
    <row r="523" spans="1:14" x14ac:dyDescent="0.25">
      <c r="A523" s="11">
        <f t="shared" ref="A523:A525" si="850">+A522</f>
        <v>131</v>
      </c>
      <c r="B523" s="43" t="str">
        <f>+'libro compras'!$AL$1</f>
        <v>401110</v>
      </c>
      <c r="C523" s="9" t="s">
        <v>0</v>
      </c>
      <c r="D523" s="9"/>
      <c r="E523" s="14" t="str">
        <f t="shared" ref="E523:E525" si="851">+E522</f>
        <v/>
      </c>
      <c r="F523" s="9"/>
      <c r="G523" s="4">
        <f>+'libro compras'!AJ523</f>
        <v>0</v>
      </c>
      <c r="H523" s="9"/>
      <c r="I523" s="9" t="s">
        <v>33</v>
      </c>
      <c r="J523" s="9" t="str">
        <f t="shared" ref="J523:M523" si="852">+J522</f>
        <v xml:space="preserve"> </v>
      </c>
      <c r="K523" s="7">
        <f t="shared" si="852"/>
        <v>0</v>
      </c>
      <c r="L523" s="3">
        <f t="shared" si="852"/>
        <v>0</v>
      </c>
      <c r="M523" s="3">
        <f t="shared" si="852"/>
        <v>0</v>
      </c>
      <c r="N523" s="9" t="s">
        <v>34</v>
      </c>
    </row>
    <row r="524" spans="1:14" x14ac:dyDescent="0.25">
      <c r="A524" s="11">
        <f t="shared" si="850"/>
        <v>131</v>
      </c>
      <c r="B524" s="32">
        <f>+'libro compras'!P523</f>
        <v>0</v>
      </c>
      <c r="C524" s="9" t="s">
        <v>0</v>
      </c>
      <c r="D524" s="9"/>
      <c r="E524" s="14" t="str">
        <f t="shared" si="851"/>
        <v/>
      </c>
      <c r="F524" s="9"/>
      <c r="G524" s="4">
        <f>-'libro compras'!AK523</f>
        <v>0</v>
      </c>
      <c r="H524" s="9"/>
      <c r="I524" s="9" t="s">
        <v>2</v>
      </c>
      <c r="J524" s="9" t="str">
        <f t="shared" ref="J524:M524" si="853">+J523</f>
        <v xml:space="preserve"> </v>
      </c>
      <c r="K524" s="7">
        <f t="shared" si="853"/>
        <v>0</v>
      </c>
      <c r="L524" s="3">
        <f t="shared" si="853"/>
        <v>0</v>
      </c>
      <c r="M524" s="3">
        <f t="shared" si="853"/>
        <v>0</v>
      </c>
      <c r="N524" s="9" t="s">
        <v>34</v>
      </c>
    </row>
    <row r="525" spans="1:14" x14ac:dyDescent="0.25">
      <c r="A525" s="11">
        <f t="shared" si="850"/>
        <v>131</v>
      </c>
      <c r="B525" s="34" t="e">
        <f>+VLOOKUP(B524,Hoja1!$A$1:$B$2,2,FALSE)</f>
        <v>#N/A</v>
      </c>
      <c r="C525" s="9" t="s">
        <v>0</v>
      </c>
      <c r="D525" s="9"/>
      <c r="E525" s="14" t="str">
        <f t="shared" si="851"/>
        <v/>
      </c>
      <c r="F525" s="9"/>
      <c r="G525" s="4">
        <f>-'libro compras'!I523</f>
        <v>0</v>
      </c>
      <c r="H525" s="9"/>
      <c r="I525" s="9" t="s">
        <v>2</v>
      </c>
      <c r="J525" s="9" t="str">
        <f t="shared" ref="J525:M525" si="854">+J524</f>
        <v xml:space="preserve"> </v>
      </c>
      <c r="K525" s="7">
        <f t="shared" si="854"/>
        <v>0</v>
      </c>
      <c r="L525" s="3">
        <f t="shared" si="854"/>
        <v>0</v>
      </c>
      <c r="M525" s="3">
        <f t="shared" si="854"/>
        <v>0</v>
      </c>
      <c r="N525" s="9" t="s">
        <v>34</v>
      </c>
    </row>
    <row r="526" spans="1:14" x14ac:dyDescent="0.25">
      <c r="A526" s="11">
        <f t="shared" ref="A526:A589" si="855">1+A522</f>
        <v>132</v>
      </c>
      <c r="B526" s="42" t="str">
        <f>+'libro compras'!$AK$1</f>
        <v>281130</v>
      </c>
      <c r="C526" s="9" t="s">
        <v>0</v>
      </c>
      <c r="D526" s="9"/>
      <c r="E526" s="14" t="str">
        <f>+'libro compras'!S527</f>
        <v/>
      </c>
      <c r="F526" s="9"/>
      <c r="G526" s="4">
        <f>+'libro compras'!AI527</f>
        <v>0</v>
      </c>
      <c r="H526" s="9"/>
      <c r="I526" s="9" t="s">
        <v>33</v>
      </c>
      <c r="J526" s="9" t="str">
        <f>+CONCATENATE('libro compras'!C527," ",'libro compras'!D527)</f>
        <v xml:space="preserve"> </v>
      </c>
      <c r="K526" s="7">
        <f t="shared" ref="K526" si="856">+K525</f>
        <v>0</v>
      </c>
      <c r="L526" s="3">
        <f>+'libro compras'!C527</f>
        <v>0</v>
      </c>
      <c r="M526" s="3">
        <f>+'libro compras'!D527</f>
        <v>0</v>
      </c>
      <c r="N526" s="9" t="s">
        <v>34</v>
      </c>
    </row>
    <row r="527" spans="1:14" x14ac:dyDescent="0.25">
      <c r="A527" s="11">
        <f t="shared" si="855"/>
        <v>132</v>
      </c>
      <c r="B527" s="43" t="str">
        <f>+'libro compras'!$AL$1</f>
        <v>401110</v>
      </c>
      <c r="C527" s="9" t="s">
        <v>0</v>
      </c>
      <c r="D527" s="9"/>
      <c r="E527" s="14" t="str">
        <f t="shared" ref="E527:E529" si="857">+E526</f>
        <v/>
      </c>
      <c r="F527" s="9"/>
      <c r="G527" s="4">
        <f>+'libro compras'!AJ527</f>
        <v>0</v>
      </c>
      <c r="H527" s="9"/>
      <c r="I527" s="9" t="s">
        <v>33</v>
      </c>
      <c r="J527" s="9" t="str">
        <f t="shared" ref="J527:K527" si="858">+J526</f>
        <v xml:space="preserve"> </v>
      </c>
      <c r="K527" s="7">
        <f t="shared" si="858"/>
        <v>0</v>
      </c>
      <c r="L527" s="3">
        <f t="shared" ref="L527:L529" si="859">+L526</f>
        <v>0</v>
      </c>
      <c r="M527" s="3">
        <f t="shared" ref="M527:M529" si="860">+M526</f>
        <v>0</v>
      </c>
      <c r="N527" s="9" t="s">
        <v>34</v>
      </c>
    </row>
    <row r="528" spans="1:14" x14ac:dyDescent="0.25">
      <c r="A528" s="11">
        <f t="shared" si="855"/>
        <v>132</v>
      </c>
      <c r="B528" s="32">
        <f>+'libro compras'!P527</f>
        <v>0</v>
      </c>
      <c r="C528" s="9" t="s">
        <v>0</v>
      </c>
      <c r="D528" s="9"/>
      <c r="E528" s="14" t="str">
        <f t="shared" si="857"/>
        <v/>
      </c>
      <c r="F528" s="9"/>
      <c r="G528" s="4">
        <f>-'libro compras'!AK527</f>
        <v>0</v>
      </c>
      <c r="H528" s="9"/>
      <c r="I528" s="9" t="s">
        <v>2</v>
      </c>
      <c r="J528" s="9" t="str">
        <f t="shared" ref="J528:K528" si="861">+J527</f>
        <v xml:space="preserve"> </v>
      </c>
      <c r="K528" s="7">
        <f t="shared" si="861"/>
        <v>0</v>
      </c>
      <c r="L528" s="3">
        <f t="shared" si="859"/>
        <v>0</v>
      </c>
      <c r="M528" s="3">
        <f t="shared" si="860"/>
        <v>0</v>
      </c>
      <c r="N528" s="9" t="s">
        <v>34</v>
      </c>
    </row>
    <row r="529" spans="1:14" x14ac:dyDescent="0.25">
      <c r="A529" s="11">
        <f t="shared" si="855"/>
        <v>132</v>
      </c>
      <c r="B529" s="34" t="e">
        <f>+VLOOKUP(B528,Hoja1!$A$1:$B$2,2,FALSE)</f>
        <v>#N/A</v>
      </c>
      <c r="C529" s="9" t="s">
        <v>0</v>
      </c>
      <c r="D529" s="9"/>
      <c r="E529" s="14" t="str">
        <f t="shared" si="857"/>
        <v/>
      </c>
      <c r="F529" s="9"/>
      <c r="G529" s="4">
        <f>-'libro compras'!I527</f>
        <v>0</v>
      </c>
      <c r="H529" s="9"/>
      <c r="I529" s="9" t="s">
        <v>2</v>
      </c>
      <c r="J529" s="9" t="str">
        <f t="shared" ref="J529:K529" si="862">+J528</f>
        <v xml:space="preserve"> </v>
      </c>
      <c r="K529" s="7">
        <f t="shared" si="862"/>
        <v>0</v>
      </c>
      <c r="L529" s="3">
        <f t="shared" si="859"/>
        <v>0</v>
      </c>
      <c r="M529" s="3">
        <f t="shared" si="860"/>
        <v>0</v>
      </c>
      <c r="N529" s="9" t="s">
        <v>34</v>
      </c>
    </row>
    <row r="530" spans="1:14" x14ac:dyDescent="0.25">
      <c r="A530" s="11">
        <f t="shared" si="855"/>
        <v>133</v>
      </c>
      <c r="B530" s="42" t="str">
        <f>+'libro compras'!$AK$1</f>
        <v>281130</v>
      </c>
      <c r="C530" s="9" t="s">
        <v>0</v>
      </c>
      <c r="D530" s="9"/>
      <c r="E530" s="14" t="str">
        <f>+'libro compras'!S531</f>
        <v/>
      </c>
      <c r="F530" s="9"/>
      <c r="G530" s="4">
        <f>+'libro compras'!AI531</f>
        <v>0</v>
      </c>
      <c r="H530" s="9"/>
      <c r="I530" s="9" t="s">
        <v>33</v>
      </c>
      <c r="J530" s="9" t="str">
        <f>+CONCATENATE('libro compras'!C531," ",'libro compras'!D531)</f>
        <v xml:space="preserve"> </v>
      </c>
      <c r="K530" s="7">
        <f t="shared" ref="K530" si="863">+K529</f>
        <v>0</v>
      </c>
      <c r="L530" s="3">
        <f>+'libro compras'!C531</f>
        <v>0</v>
      </c>
      <c r="M530" s="3">
        <f>+'libro compras'!D531</f>
        <v>0</v>
      </c>
      <c r="N530" s="9" t="s">
        <v>34</v>
      </c>
    </row>
    <row r="531" spans="1:14" x14ac:dyDescent="0.25">
      <c r="A531" s="11">
        <f t="shared" si="855"/>
        <v>133</v>
      </c>
      <c r="B531" s="43" t="str">
        <f>+'libro compras'!$AL$1</f>
        <v>401110</v>
      </c>
      <c r="C531" s="9" t="s">
        <v>0</v>
      </c>
      <c r="D531" s="9"/>
      <c r="E531" s="14" t="str">
        <f t="shared" ref="E531:E533" si="864">+E530</f>
        <v/>
      </c>
      <c r="F531" s="9"/>
      <c r="G531" s="4">
        <f>+'libro compras'!AJ531</f>
        <v>0</v>
      </c>
      <c r="H531" s="9"/>
      <c r="I531" s="9" t="s">
        <v>33</v>
      </c>
      <c r="J531" s="9" t="str">
        <f t="shared" ref="J531:K531" si="865">+J530</f>
        <v xml:space="preserve"> </v>
      </c>
      <c r="K531" s="7">
        <f t="shared" si="865"/>
        <v>0</v>
      </c>
      <c r="L531" s="3">
        <f t="shared" ref="L531:L533" si="866">+L530</f>
        <v>0</v>
      </c>
      <c r="M531" s="3">
        <f t="shared" ref="M531:M533" si="867">+M530</f>
        <v>0</v>
      </c>
      <c r="N531" s="9" t="s">
        <v>34</v>
      </c>
    </row>
    <row r="532" spans="1:14" x14ac:dyDescent="0.25">
      <c r="A532" s="11">
        <f t="shared" si="855"/>
        <v>133</v>
      </c>
      <c r="B532" s="32">
        <f>+'libro compras'!P531</f>
        <v>0</v>
      </c>
      <c r="C532" s="9" t="s">
        <v>0</v>
      </c>
      <c r="D532" s="9"/>
      <c r="E532" s="14" t="str">
        <f t="shared" si="864"/>
        <v/>
      </c>
      <c r="F532" s="9"/>
      <c r="G532" s="4">
        <f>-'libro compras'!AK531</f>
        <v>0</v>
      </c>
      <c r="H532" s="9"/>
      <c r="I532" s="9" t="s">
        <v>2</v>
      </c>
      <c r="J532" s="9" t="str">
        <f t="shared" ref="J532:K532" si="868">+J531</f>
        <v xml:space="preserve"> </v>
      </c>
      <c r="K532" s="7">
        <f t="shared" si="868"/>
        <v>0</v>
      </c>
      <c r="L532" s="3">
        <f t="shared" si="866"/>
        <v>0</v>
      </c>
      <c r="M532" s="3">
        <f t="shared" si="867"/>
        <v>0</v>
      </c>
      <c r="N532" s="9" t="s">
        <v>34</v>
      </c>
    </row>
    <row r="533" spans="1:14" x14ac:dyDescent="0.25">
      <c r="A533" s="11">
        <f t="shared" si="855"/>
        <v>133</v>
      </c>
      <c r="B533" s="34" t="e">
        <f>+VLOOKUP(B532,Hoja1!$A$1:$B$2,2,FALSE)</f>
        <v>#N/A</v>
      </c>
      <c r="C533" s="9" t="s">
        <v>0</v>
      </c>
      <c r="D533" s="9"/>
      <c r="E533" s="14" t="str">
        <f t="shared" si="864"/>
        <v/>
      </c>
      <c r="F533" s="9"/>
      <c r="G533" s="4">
        <f>-'libro compras'!I531</f>
        <v>0</v>
      </c>
      <c r="H533" s="9"/>
      <c r="I533" s="9" t="s">
        <v>2</v>
      </c>
      <c r="J533" s="9" t="str">
        <f t="shared" ref="J533:K533" si="869">+J532</f>
        <v xml:space="preserve"> </v>
      </c>
      <c r="K533" s="7">
        <f t="shared" si="869"/>
        <v>0</v>
      </c>
      <c r="L533" s="3">
        <f t="shared" si="866"/>
        <v>0</v>
      </c>
      <c r="M533" s="3">
        <f t="shared" si="867"/>
        <v>0</v>
      </c>
      <c r="N533" s="9" t="s">
        <v>34</v>
      </c>
    </row>
    <row r="534" spans="1:14" x14ac:dyDescent="0.25">
      <c r="A534" s="11">
        <f t="shared" ref="A534" si="870">+A533+1</f>
        <v>134</v>
      </c>
      <c r="B534" s="42" t="str">
        <f>+'libro compras'!$AK$1</f>
        <v>281130</v>
      </c>
      <c r="C534" s="9" t="s">
        <v>0</v>
      </c>
      <c r="D534" s="9"/>
      <c r="E534" s="14" t="str">
        <f>+'libro compras'!S535</f>
        <v/>
      </c>
      <c r="F534" s="9"/>
      <c r="G534" s="4">
        <f>+'libro compras'!AI535</f>
        <v>0</v>
      </c>
      <c r="H534" s="9"/>
      <c r="I534" s="9" t="s">
        <v>33</v>
      </c>
      <c r="J534" s="9" t="str">
        <f>+CONCATENATE('libro compras'!C535," ",'libro compras'!D535)</f>
        <v xml:space="preserve"> </v>
      </c>
      <c r="K534" s="7">
        <f>+'libro compras'!F535</f>
        <v>0</v>
      </c>
      <c r="L534" s="3">
        <f>+'libro compras'!C535</f>
        <v>0</v>
      </c>
      <c r="M534" s="3">
        <f>+'libro compras'!D535</f>
        <v>0</v>
      </c>
      <c r="N534" s="9" t="s">
        <v>34</v>
      </c>
    </row>
    <row r="535" spans="1:14" x14ac:dyDescent="0.25">
      <c r="A535" s="11">
        <f t="shared" ref="A535:A537" si="871">+A534</f>
        <v>134</v>
      </c>
      <c r="B535" s="43" t="str">
        <f>+'libro compras'!$AL$1</f>
        <v>401110</v>
      </c>
      <c r="C535" s="9" t="s">
        <v>0</v>
      </c>
      <c r="D535" s="9"/>
      <c r="E535" s="14" t="str">
        <f t="shared" ref="E535:E537" si="872">+E534</f>
        <v/>
      </c>
      <c r="F535" s="9"/>
      <c r="G535" s="4">
        <f>+'libro compras'!AJ535</f>
        <v>0</v>
      </c>
      <c r="H535" s="9"/>
      <c r="I535" s="9" t="s">
        <v>33</v>
      </c>
      <c r="J535" s="9" t="str">
        <f t="shared" ref="J535:M535" si="873">+J534</f>
        <v xml:space="preserve"> </v>
      </c>
      <c r="K535" s="7">
        <f t="shared" si="873"/>
        <v>0</v>
      </c>
      <c r="L535" s="3">
        <f t="shared" si="873"/>
        <v>0</v>
      </c>
      <c r="M535" s="3">
        <f t="shared" si="873"/>
        <v>0</v>
      </c>
      <c r="N535" s="9" t="s">
        <v>34</v>
      </c>
    </row>
    <row r="536" spans="1:14" x14ac:dyDescent="0.25">
      <c r="A536" s="11">
        <f t="shared" si="871"/>
        <v>134</v>
      </c>
      <c r="B536" s="32">
        <f>+'libro compras'!P535</f>
        <v>0</v>
      </c>
      <c r="C536" s="9" t="s">
        <v>0</v>
      </c>
      <c r="D536" s="9"/>
      <c r="E536" s="14" t="str">
        <f t="shared" si="872"/>
        <v/>
      </c>
      <c r="F536" s="9"/>
      <c r="G536" s="4">
        <f>-'libro compras'!AK535</f>
        <v>0</v>
      </c>
      <c r="H536" s="9"/>
      <c r="I536" s="9" t="s">
        <v>2</v>
      </c>
      <c r="J536" s="9" t="str">
        <f t="shared" ref="J536:M536" si="874">+J535</f>
        <v xml:space="preserve"> </v>
      </c>
      <c r="K536" s="7">
        <f t="shared" si="874"/>
        <v>0</v>
      </c>
      <c r="L536" s="3">
        <f t="shared" si="874"/>
        <v>0</v>
      </c>
      <c r="M536" s="3">
        <f t="shared" si="874"/>
        <v>0</v>
      </c>
      <c r="N536" s="9" t="s">
        <v>34</v>
      </c>
    </row>
    <row r="537" spans="1:14" x14ac:dyDescent="0.25">
      <c r="A537" s="11">
        <f t="shared" si="871"/>
        <v>134</v>
      </c>
      <c r="B537" s="34" t="e">
        <f>+VLOOKUP(B536,Hoja1!$A$1:$B$2,2,FALSE)</f>
        <v>#N/A</v>
      </c>
      <c r="C537" s="9" t="s">
        <v>0</v>
      </c>
      <c r="D537" s="9"/>
      <c r="E537" s="14" t="str">
        <f t="shared" si="872"/>
        <v/>
      </c>
      <c r="F537" s="9"/>
      <c r="G537" s="4">
        <f>-'libro compras'!I535</f>
        <v>0</v>
      </c>
      <c r="H537" s="9"/>
      <c r="I537" s="9" t="s">
        <v>2</v>
      </c>
      <c r="J537" s="9" t="str">
        <f t="shared" ref="J537:M537" si="875">+J536</f>
        <v xml:space="preserve"> </v>
      </c>
      <c r="K537" s="7">
        <f t="shared" si="875"/>
        <v>0</v>
      </c>
      <c r="L537" s="3">
        <f t="shared" si="875"/>
        <v>0</v>
      </c>
      <c r="M537" s="3">
        <f t="shared" si="875"/>
        <v>0</v>
      </c>
      <c r="N537" s="9" t="s">
        <v>34</v>
      </c>
    </row>
    <row r="538" spans="1:14" x14ac:dyDescent="0.25">
      <c r="A538" s="11">
        <f t="shared" si="855"/>
        <v>135</v>
      </c>
      <c r="B538" s="42" t="str">
        <f>+'libro compras'!$AK$1</f>
        <v>281130</v>
      </c>
      <c r="C538" s="9" t="s">
        <v>0</v>
      </c>
      <c r="D538" s="9"/>
      <c r="E538" s="14" t="str">
        <f>+'libro compras'!S539</f>
        <v/>
      </c>
      <c r="F538" s="9"/>
      <c r="G538" s="4">
        <f>+'libro compras'!AI539</f>
        <v>0</v>
      </c>
      <c r="H538" s="9"/>
      <c r="I538" s="9" t="s">
        <v>33</v>
      </c>
      <c r="J538" s="9" t="str">
        <f>+CONCATENATE('libro compras'!C539," ",'libro compras'!D539)</f>
        <v xml:space="preserve"> </v>
      </c>
      <c r="K538" s="7">
        <f t="shared" ref="K538" si="876">+K537</f>
        <v>0</v>
      </c>
      <c r="L538" s="3">
        <f>+'libro compras'!C539</f>
        <v>0</v>
      </c>
      <c r="M538" s="3">
        <f>+'libro compras'!D539</f>
        <v>0</v>
      </c>
      <c r="N538" s="9" t="s">
        <v>34</v>
      </c>
    </row>
    <row r="539" spans="1:14" x14ac:dyDescent="0.25">
      <c r="A539" s="11">
        <f t="shared" si="855"/>
        <v>135</v>
      </c>
      <c r="B539" s="43" t="str">
        <f>+'libro compras'!$AL$1</f>
        <v>401110</v>
      </c>
      <c r="C539" s="9" t="s">
        <v>0</v>
      </c>
      <c r="D539" s="9"/>
      <c r="E539" s="14" t="str">
        <f t="shared" ref="E539:E541" si="877">+E538</f>
        <v/>
      </c>
      <c r="F539" s="9"/>
      <c r="G539" s="4">
        <f>+'libro compras'!AJ539</f>
        <v>0</v>
      </c>
      <c r="H539" s="9"/>
      <c r="I539" s="9" t="s">
        <v>33</v>
      </c>
      <c r="J539" s="9" t="str">
        <f t="shared" ref="J539:K539" si="878">+J538</f>
        <v xml:space="preserve"> </v>
      </c>
      <c r="K539" s="7">
        <f t="shared" si="878"/>
        <v>0</v>
      </c>
      <c r="L539" s="3">
        <f t="shared" ref="L539:L541" si="879">+L538</f>
        <v>0</v>
      </c>
      <c r="M539" s="3">
        <f t="shared" ref="M539:M541" si="880">+M538</f>
        <v>0</v>
      </c>
      <c r="N539" s="9" t="s">
        <v>34</v>
      </c>
    </row>
    <row r="540" spans="1:14" x14ac:dyDescent="0.25">
      <c r="A540" s="11">
        <f t="shared" si="855"/>
        <v>135</v>
      </c>
      <c r="B540" s="32">
        <f>+'libro compras'!P539</f>
        <v>0</v>
      </c>
      <c r="C540" s="9" t="s">
        <v>0</v>
      </c>
      <c r="D540" s="9"/>
      <c r="E540" s="14" t="str">
        <f t="shared" si="877"/>
        <v/>
      </c>
      <c r="F540" s="9"/>
      <c r="G540" s="4">
        <f>-'libro compras'!AK539</f>
        <v>0</v>
      </c>
      <c r="H540" s="9"/>
      <c r="I540" s="9" t="s">
        <v>2</v>
      </c>
      <c r="J540" s="9" t="str">
        <f t="shared" ref="J540:K540" si="881">+J539</f>
        <v xml:space="preserve"> </v>
      </c>
      <c r="K540" s="7">
        <f t="shared" si="881"/>
        <v>0</v>
      </c>
      <c r="L540" s="3">
        <f t="shared" si="879"/>
        <v>0</v>
      </c>
      <c r="M540" s="3">
        <f t="shared" si="880"/>
        <v>0</v>
      </c>
      <c r="N540" s="9" t="s">
        <v>34</v>
      </c>
    </row>
    <row r="541" spans="1:14" x14ac:dyDescent="0.25">
      <c r="A541" s="11">
        <f t="shared" si="855"/>
        <v>135</v>
      </c>
      <c r="B541" s="34" t="e">
        <f>+VLOOKUP(B540,Hoja1!$A$1:$B$2,2,FALSE)</f>
        <v>#N/A</v>
      </c>
      <c r="C541" s="9" t="s">
        <v>0</v>
      </c>
      <c r="D541" s="9"/>
      <c r="E541" s="14" t="str">
        <f t="shared" si="877"/>
        <v/>
      </c>
      <c r="F541" s="9"/>
      <c r="G541" s="4">
        <f>-'libro compras'!I539</f>
        <v>0</v>
      </c>
      <c r="H541" s="9"/>
      <c r="I541" s="9" t="s">
        <v>2</v>
      </c>
      <c r="J541" s="9" t="str">
        <f t="shared" ref="J541:K541" si="882">+J540</f>
        <v xml:space="preserve"> </v>
      </c>
      <c r="K541" s="7">
        <f t="shared" si="882"/>
        <v>0</v>
      </c>
      <c r="L541" s="3">
        <f t="shared" si="879"/>
        <v>0</v>
      </c>
      <c r="M541" s="3">
        <f t="shared" si="880"/>
        <v>0</v>
      </c>
      <c r="N541" s="9" t="s">
        <v>34</v>
      </c>
    </row>
    <row r="542" spans="1:14" x14ac:dyDescent="0.25">
      <c r="A542" s="11">
        <f t="shared" si="855"/>
        <v>136</v>
      </c>
      <c r="B542" s="42" t="str">
        <f>+'libro compras'!$AK$1</f>
        <v>281130</v>
      </c>
      <c r="C542" s="9" t="s">
        <v>0</v>
      </c>
      <c r="D542" s="9"/>
      <c r="E542" s="14" t="str">
        <f>+'libro compras'!S543</f>
        <v/>
      </c>
      <c r="F542" s="9"/>
      <c r="G542" s="4">
        <f>+'libro compras'!AI543</f>
        <v>0</v>
      </c>
      <c r="H542" s="9"/>
      <c r="I542" s="9" t="s">
        <v>33</v>
      </c>
      <c r="J542" s="9" t="str">
        <f>+CONCATENATE('libro compras'!C543," ",'libro compras'!D543)</f>
        <v xml:space="preserve"> </v>
      </c>
      <c r="K542" s="7">
        <f t="shared" ref="K542" si="883">+K541</f>
        <v>0</v>
      </c>
      <c r="L542" s="3">
        <f>+'libro compras'!C543</f>
        <v>0</v>
      </c>
      <c r="M542" s="3">
        <f>+'libro compras'!D543</f>
        <v>0</v>
      </c>
      <c r="N542" s="9" t="s">
        <v>34</v>
      </c>
    </row>
    <row r="543" spans="1:14" x14ac:dyDescent="0.25">
      <c r="A543" s="11">
        <f t="shared" si="855"/>
        <v>136</v>
      </c>
      <c r="B543" s="43" t="str">
        <f>+'libro compras'!$AL$1</f>
        <v>401110</v>
      </c>
      <c r="C543" s="9" t="s">
        <v>0</v>
      </c>
      <c r="D543" s="9"/>
      <c r="E543" s="14" t="str">
        <f t="shared" ref="E543:E545" si="884">+E542</f>
        <v/>
      </c>
      <c r="F543" s="9"/>
      <c r="G543" s="4">
        <f>+'libro compras'!AJ543</f>
        <v>0</v>
      </c>
      <c r="H543" s="9"/>
      <c r="I543" s="9" t="s">
        <v>33</v>
      </c>
      <c r="J543" s="9" t="str">
        <f t="shared" ref="J543:K543" si="885">+J542</f>
        <v xml:space="preserve"> </v>
      </c>
      <c r="K543" s="7">
        <f t="shared" si="885"/>
        <v>0</v>
      </c>
      <c r="L543" s="3">
        <f t="shared" ref="L543:L545" si="886">+L542</f>
        <v>0</v>
      </c>
      <c r="M543" s="3">
        <f t="shared" ref="M543:M545" si="887">+M542</f>
        <v>0</v>
      </c>
      <c r="N543" s="9" t="s">
        <v>34</v>
      </c>
    </row>
    <row r="544" spans="1:14" x14ac:dyDescent="0.25">
      <c r="A544" s="11">
        <f t="shared" si="855"/>
        <v>136</v>
      </c>
      <c r="B544" s="32">
        <f>+'libro compras'!P543</f>
        <v>0</v>
      </c>
      <c r="C544" s="9" t="s">
        <v>0</v>
      </c>
      <c r="D544" s="9"/>
      <c r="E544" s="14" t="str">
        <f t="shared" si="884"/>
        <v/>
      </c>
      <c r="F544" s="9"/>
      <c r="G544" s="4">
        <f>-'libro compras'!AK543</f>
        <v>0</v>
      </c>
      <c r="H544" s="9"/>
      <c r="I544" s="9" t="s">
        <v>2</v>
      </c>
      <c r="J544" s="9" t="str">
        <f t="shared" ref="J544:K544" si="888">+J543</f>
        <v xml:space="preserve"> </v>
      </c>
      <c r="K544" s="7">
        <f t="shared" si="888"/>
        <v>0</v>
      </c>
      <c r="L544" s="3">
        <f t="shared" si="886"/>
        <v>0</v>
      </c>
      <c r="M544" s="3">
        <f t="shared" si="887"/>
        <v>0</v>
      </c>
      <c r="N544" s="9" t="s">
        <v>34</v>
      </c>
    </row>
    <row r="545" spans="1:14" x14ac:dyDescent="0.25">
      <c r="A545" s="11">
        <f t="shared" si="855"/>
        <v>136</v>
      </c>
      <c r="B545" s="34" t="e">
        <f>+VLOOKUP(B544,Hoja1!$A$1:$B$2,2,FALSE)</f>
        <v>#N/A</v>
      </c>
      <c r="C545" s="9" t="s">
        <v>0</v>
      </c>
      <c r="D545" s="9"/>
      <c r="E545" s="14" t="str">
        <f t="shared" si="884"/>
        <v/>
      </c>
      <c r="F545" s="9"/>
      <c r="G545" s="4">
        <f>-'libro compras'!I543</f>
        <v>0</v>
      </c>
      <c r="H545" s="9"/>
      <c r="I545" s="9" t="s">
        <v>2</v>
      </c>
      <c r="J545" s="9" t="str">
        <f t="shared" ref="J545:K545" si="889">+J544</f>
        <v xml:space="preserve"> </v>
      </c>
      <c r="K545" s="7">
        <f t="shared" si="889"/>
        <v>0</v>
      </c>
      <c r="L545" s="3">
        <f t="shared" si="886"/>
        <v>0</v>
      </c>
      <c r="M545" s="3">
        <f t="shared" si="887"/>
        <v>0</v>
      </c>
      <c r="N545" s="9" t="s">
        <v>34</v>
      </c>
    </row>
    <row r="546" spans="1:14" x14ac:dyDescent="0.25">
      <c r="A546" s="11">
        <f t="shared" ref="A546" si="890">+A545+1</f>
        <v>137</v>
      </c>
      <c r="B546" s="42" t="str">
        <f>+'libro compras'!$AK$1</f>
        <v>281130</v>
      </c>
      <c r="C546" s="9" t="s">
        <v>0</v>
      </c>
      <c r="D546" s="9"/>
      <c r="E546" s="14" t="str">
        <f>+'libro compras'!S547</f>
        <v/>
      </c>
      <c r="F546" s="9"/>
      <c r="G546" s="4">
        <f>+'libro compras'!AI547</f>
        <v>0</v>
      </c>
      <c r="H546" s="9"/>
      <c r="I546" s="9" t="s">
        <v>33</v>
      </c>
      <c r="J546" s="9" t="str">
        <f>+CONCATENATE('libro compras'!C547," ",'libro compras'!D547)</f>
        <v xml:space="preserve"> </v>
      </c>
      <c r="K546" s="7">
        <f>+'libro compras'!F547</f>
        <v>0</v>
      </c>
      <c r="L546" s="3">
        <f>+'libro compras'!C547</f>
        <v>0</v>
      </c>
      <c r="M546" s="3">
        <f>+'libro compras'!D547</f>
        <v>0</v>
      </c>
      <c r="N546" s="9" t="s">
        <v>34</v>
      </c>
    </row>
    <row r="547" spans="1:14" x14ac:dyDescent="0.25">
      <c r="A547" s="11">
        <f t="shared" ref="A547:A549" si="891">+A546</f>
        <v>137</v>
      </c>
      <c r="B547" s="43" t="str">
        <f>+'libro compras'!$AL$1</f>
        <v>401110</v>
      </c>
      <c r="C547" s="9" t="s">
        <v>0</v>
      </c>
      <c r="D547" s="9"/>
      <c r="E547" s="14" t="str">
        <f t="shared" ref="E547:E549" si="892">+E546</f>
        <v/>
      </c>
      <c r="F547" s="9"/>
      <c r="G547" s="4">
        <f>+'libro compras'!AJ547</f>
        <v>0</v>
      </c>
      <c r="H547" s="9"/>
      <c r="I547" s="9" t="s">
        <v>33</v>
      </c>
      <c r="J547" s="9" t="str">
        <f t="shared" ref="J547:M547" si="893">+J546</f>
        <v xml:space="preserve"> </v>
      </c>
      <c r="K547" s="7">
        <f t="shared" si="893"/>
        <v>0</v>
      </c>
      <c r="L547" s="3">
        <f t="shared" si="893"/>
        <v>0</v>
      </c>
      <c r="M547" s="3">
        <f t="shared" si="893"/>
        <v>0</v>
      </c>
      <c r="N547" s="9" t="s">
        <v>34</v>
      </c>
    </row>
    <row r="548" spans="1:14" x14ac:dyDescent="0.25">
      <c r="A548" s="11">
        <f t="shared" si="891"/>
        <v>137</v>
      </c>
      <c r="B548" s="32">
        <f>+'libro compras'!P547</f>
        <v>0</v>
      </c>
      <c r="C548" s="9" t="s">
        <v>0</v>
      </c>
      <c r="D548" s="9"/>
      <c r="E548" s="14" t="str">
        <f t="shared" si="892"/>
        <v/>
      </c>
      <c r="F548" s="9"/>
      <c r="G548" s="4">
        <f>-'libro compras'!AK547</f>
        <v>0</v>
      </c>
      <c r="H548" s="9"/>
      <c r="I548" s="9" t="s">
        <v>2</v>
      </c>
      <c r="J548" s="9" t="str">
        <f t="shared" ref="J548:M548" si="894">+J547</f>
        <v xml:space="preserve"> </v>
      </c>
      <c r="K548" s="7">
        <f t="shared" si="894"/>
        <v>0</v>
      </c>
      <c r="L548" s="3">
        <f t="shared" si="894"/>
        <v>0</v>
      </c>
      <c r="M548" s="3">
        <f t="shared" si="894"/>
        <v>0</v>
      </c>
      <c r="N548" s="9" t="s">
        <v>34</v>
      </c>
    </row>
    <row r="549" spans="1:14" x14ac:dyDescent="0.25">
      <c r="A549" s="11">
        <f t="shared" si="891"/>
        <v>137</v>
      </c>
      <c r="B549" s="34" t="e">
        <f>+VLOOKUP(B548,Hoja1!$A$1:$B$2,2,FALSE)</f>
        <v>#N/A</v>
      </c>
      <c r="C549" s="9" t="s">
        <v>0</v>
      </c>
      <c r="D549" s="9"/>
      <c r="E549" s="14" t="str">
        <f t="shared" si="892"/>
        <v/>
      </c>
      <c r="F549" s="9"/>
      <c r="G549" s="4">
        <f>-'libro compras'!I547</f>
        <v>0</v>
      </c>
      <c r="H549" s="9"/>
      <c r="I549" s="9" t="s">
        <v>2</v>
      </c>
      <c r="J549" s="9" t="str">
        <f t="shared" ref="J549:M549" si="895">+J548</f>
        <v xml:space="preserve"> </v>
      </c>
      <c r="K549" s="7">
        <f t="shared" si="895"/>
        <v>0</v>
      </c>
      <c r="L549" s="3">
        <f t="shared" si="895"/>
        <v>0</v>
      </c>
      <c r="M549" s="3">
        <f t="shared" si="895"/>
        <v>0</v>
      </c>
      <c r="N549" s="9" t="s">
        <v>34</v>
      </c>
    </row>
    <row r="550" spans="1:14" x14ac:dyDescent="0.25">
      <c r="A550" s="11">
        <f t="shared" si="855"/>
        <v>138</v>
      </c>
      <c r="B550" s="42" t="str">
        <f>+'libro compras'!$AK$1</f>
        <v>281130</v>
      </c>
      <c r="C550" s="9" t="s">
        <v>0</v>
      </c>
      <c r="D550" s="9"/>
      <c r="E550" s="14" t="str">
        <f>+'libro compras'!S551</f>
        <v/>
      </c>
      <c r="F550" s="9"/>
      <c r="G550" s="4">
        <f>+'libro compras'!AI551</f>
        <v>0</v>
      </c>
      <c r="H550" s="9"/>
      <c r="I550" s="9" t="s">
        <v>33</v>
      </c>
      <c r="J550" s="9" t="str">
        <f>+CONCATENATE('libro compras'!C551," ",'libro compras'!D551)</f>
        <v xml:space="preserve"> </v>
      </c>
      <c r="K550" s="7">
        <f t="shared" ref="K550" si="896">+K549</f>
        <v>0</v>
      </c>
      <c r="L550" s="3">
        <f>+'libro compras'!C551</f>
        <v>0</v>
      </c>
      <c r="M550" s="3">
        <f>+'libro compras'!D551</f>
        <v>0</v>
      </c>
      <c r="N550" s="9" t="s">
        <v>34</v>
      </c>
    </row>
    <row r="551" spans="1:14" x14ac:dyDescent="0.25">
      <c r="A551" s="11">
        <f t="shared" si="855"/>
        <v>138</v>
      </c>
      <c r="B551" s="43" t="str">
        <f>+'libro compras'!$AL$1</f>
        <v>401110</v>
      </c>
      <c r="C551" s="9" t="s">
        <v>0</v>
      </c>
      <c r="D551" s="9"/>
      <c r="E551" s="14" t="str">
        <f t="shared" ref="E551:E553" si="897">+E550</f>
        <v/>
      </c>
      <c r="F551" s="9"/>
      <c r="G551" s="4">
        <f>+'libro compras'!AJ551</f>
        <v>0</v>
      </c>
      <c r="H551" s="9"/>
      <c r="I551" s="9" t="s">
        <v>33</v>
      </c>
      <c r="J551" s="9" t="str">
        <f t="shared" ref="J551:K551" si="898">+J550</f>
        <v xml:space="preserve"> </v>
      </c>
      <c r="K551" s="7">
        <f t="shared" si="898"/>
        <v>0</v>
      </c>
      <c r="L551" s="3">
        <f t="shared" ref="L551:L553" si="899">+L550</f>
        <v>0</v>
      </c>
      <c r="M551" s="3">
        <f t="shared" ref="M551:M553" si="900">+M550</f>
        <v>0</v>
      </c>
      <c r="N551" s="9" t="s">
        <v>34</v>
      </c>
    </row>
    <row r="552" spans="1:14" x14ac:dyDescent="0.25">
      <c r="A552" s="11">
        <f t="shared" si="855"/>
        <v>138</v>
      </c>
      <c r="B552" s="32">
        <f>+'libro compras'!P551</f>
        <v>0</v>
      </c>
      <c r="C552" s="9" t="s">
        <v>0</v>
      </c>
      <c r="D552" s="9"/>
      <c r="E552" s="14" t="str">
        <f t="shared" si="897"/>
        <v/>
      </c>
      <c r="F552" s="9"/>
      <c r="G552" s="4">
        <f>-'libro compras'!AK551</f>
        <v>0</v>
      </c>
      <c r="H552" s="9"/>
      <c r="I552" s="9" t="s">
        <v>2</v>
      </c>
      <c r="J552" s="9" t="str">
        <f t="shared" ref="J552:K552" si="901">+J551</f>
        <v xml:space="preserve"> </v>
      </c>
      <c r="K552" s="7">
        <f t="shared" si="901"/>
        <v>0</v>
      </c>
      <c r="L552" s="3">
        <f t="shared" si="899"/>
        <v>0</v>
      </c>
      <c r="M552" s="3">
        <f t="shared" si="900"/>
        <v>0</v>
      </c>
      <c r="N552" s="9" t="s">
        <v>34</v>
      </c>
    </row>
    <row r="553" spans="1:14" x14ac:dyDescent="0.25">
      <c r="A553" s="11">
        <f t="shared" si="855"/>
        <v>138</v>
      </c>
      <c r="B553" s="34" t="e">
        <f>+VLOOKUP(B552,Hoja1!$A$1:$B$2,2,FALSE)</f>
        <v>#N/A</v>
      </c>
      <c r="C553" s="9" t="s">
        <v>0</v>
      </c>
      <c r="D553" s="9"/>
      <c r="E553" s="14" t="str">
        <f t="shared" si="897"/>
        <v/>
      </c>
      <c r="F553" s="9"/>
      <c r="G553" s="4">
        <f>-'libro compras'!I551</f>
        <v>0</v>
      </c>
      <c r="H553" s="9"/>
      <c r="I553" s="9" t="s">
        <v>2</v>
      </c>
      <c r="J553" s="9" t="str">
        <f t="shared" ref="J553:K553" si="902">+J552</f>
        <v xml:space="preserve"> </v>
      </c>
      <c r="K553" s="7">
        <f t="shared" si="902"/>
        <v>0</v>
      </c>
      <c r="L553" s="3">
        <f t="shared" si="899"/>
        <v>0</v>
      </c>
      <c r="M553" s="3">
        <f t="shared" si="900"/>
        <v>0</v>
      </c>
      <c r="N553" s="9" t="s">
        <v>34</v>
      </c>
    </row>
    <row r="554" spans="1:14" x14ac:dyDescent="0.25">
      <c r="A554" s="11">
        <f t="shared" si="855"/>
        <v>139</v>
      </c>
      <c r="B554" s="42" t="str">
        <f>+'libro compras'!$AK$1</f>
        <v>281130</v>
      </c>
      <c r="C554" s="9" t="s">
        <v>0</v>
      </c>
      <c r="D554" s="9"/>
      <c r="E554" s="14" t="str">
        <f>+'libro compras'!S555</f>
        <v/>
      </c>
      <c r="F554" s="9"/>
      <c r="G554" s="4">
        <f>+'libro compras'!AI555</f>
        <v>0</v>
      </c>
      <c r="H554" s="9"/>
      <c r="I554" s="9" t="s">
        <v>33</v>
      </c>
      <c r="J554" s="9" t="str">
        <f>+CONCATENATE('libro compras'!C555," ",'libro compras'!D555)</f>
        <v xml:space="preserve"> </v>
      </c>
      <c r="K554" s="7">
        <f t="shared" ref="K554" si="903">+K553</f>
        <v>0</v>
      </c>
      <c r="L554" s="3">
        <f>+'libro compras'!C555</f>
        <v>0</v>
      </c>
      <c r="M554" s="3">
        <f>+'libro compras'!D555</f>
        <v>0</v>
      </c>
      <c r="N554" s="9" t="s">
        <v>34</v>
      </c>
    </row>
    <row r="555" spans="1:14" x14ac:dyDescent="0.25">
      <c r="A555" s="11">
        <f t="shared" si="855"/>
        <v>139</v>
      </c>
      <c r="B555" s="43" t="str">
        <f>+'libro compras'!$AL$1</f>
        <v>401110</v>
      </c>
      <c r="C555" s="9" t="s">
        <v>0</v>
      </c>
      <c r="D555" s="9"/>
      <c r="E555" s="14" t="str">
        <f t="shared" ref="E555:E557" si="904">+E554</f>
        <v/>
      </c>
      <c r="F555" s="9"/>
      <c r="G555" s="4">
        <f>+'libro compras'!AJ555</f>
        <v>0</v>
      </c>
      <c r="H555" s="9"/>
      <c r="I555" s="9" t="s">
        <v>33</v>
      </c>
      <c r="J555" s="9" t="str">
        <f t="shared" ref="J555:K555" si="905">+J554</f>
        <v xml:space="preserve"> </v>
      </c>
      <c r="K555" s="7">
        <f t="shared" si="905"/>
        <v>0</v>
      </c>
      <c r="L555" s="3">
        <f t="shared" ref="L555:L557" si="906">+L554</f>
        <v>0</v>
      </c>
      <c r="M555" s="3">
        <f t="shared" ref="M555:M557" si="907">+M554</f>
        <v>0</v>
      </c>
      <c r="N555" s="9" t="s">
        <v>34</v>
      </c>
    </row>
    <row r="556" spans="1:14" x14ac:dyDescent="0.25">
      <c r="A556" s="11">
        <f t="shared" si="855"/>
        <v>139</v>
      </c>
      <c r="B556" s="32">
        <f>+'libro compras'!P555</f>
        <v>0</v>
      </c>
      <c r="C556" s="9" t="s">
        <v>0</v>
      </c>
      <c r="D556" s="9"/>
      <c r="E556" s="14" t="str">
        <f t="shared" si="904"/>
        <v/>
      </c>
      <c r="F556" s="9"/>
      <c r="G556" s="4">
        <f>-'libro compras'!AK555</f>
        <v>0</v>
      </c>
      <c r="H556" s="9"/>
      <c r="I556" s="9" t="s">
        <v>2</v>
      </c>
      <c r="J556" s="9" t="str">
        <f t="shared" ref="J556:K556" si="908">+J555</f>
        <v xml:space="preserve"> </v>
      </c>
      <c r="K556" s="7">
        <f t="shared" si="908"/>
        <v>0</v>
      </c>
      <c r="L556" s="3">
        <f t="shared" si="906"/>
        <v>0</v>
      </c>
      <c r="M556" s="3">
        <f t="shared" si="907"/>
        <v>0</v>
      </c>
      <c r="N556" s="9" t="s">
        <v>34</v>
      </c>
    </row>
    <row r="557" spans="1:14" x14ac:dyDescent="0.25">
      <c r="A557" s="11">
        <f t="shared" si="855"/>
        <v>139</v>
      </c>
      <c r="B557" s="34" t="e">
        <f>+VLOOKUP(B556,Hoja1!$A$1:$B$2,2,FALSE)</f>
        <v>#N/A</v>
      </c>
      <c r="C557" s="9" t="s">
        <v>0</v>
      </c>
      <c r="D557" s="9"/>
      <c r="E557" s="14" t="str">
        <f t="shared" si="904"/>
        <v/>
      </c>
      <c r="F557" s="9"/>
      <c r="G557" s="4">
        <f>-'libro compras'!I555</f>
        <v>0</v>
      </c>
      <c r="H557" s="9"/>
      <c r="I557" s="9" t="s">
        <v>2</v>
      </c>
      <c r="J557" s="9" t="str">
        <f t="shared" ref="J557:K557" si="909">+J556</f>
        <v xml:space="preserve"> </v>
      </c>
      <c r="K557" s="7">
        <f t="shared" si="909"/>
        <v>0</v>
      </c>
      <c r="L557" s="3">
        <f t="shared" si="906"/>
        <v>0</v>
      </c>
      <c r="M557" s="3">
        <f t="shared" si="907"/>
        <v>0</v>
      </c>
      <c r="N557" s="9" t="s">
        <v>34</v>
      </c>
    </row>
    <row r="558" spans="1:14" x14ac:dyDescent="0.25">
      <c r="A558" s="11">
        <f t="shared" ref="A558" si="910">+A557+1</f>
        <v>140</v>
      </c>
      <c r="B558" s="42" t="str">
        <f>+'libro compras'!$AK$1</f>
        <v>281130</v>
      </c>
      <c r="C558" s="9" t="s">
        <v>0</v>
      </c>
      <c r="D558" s="9"/>
      <c r="E558" s="14" t="str">
        <f>+'libro compras'!S559</f>
        <v/>
      </c>
      <c r="F558" s="9"/>
      <c r="G558" s="4">
        <f>+'libro compras'!AI559</f>
        <v>0</v>
      </c>
      <c r="H558" s="9"/>
      <c r="I558" s="9" t="s">
        <v>33</v>
      </c>
      <c r="J558" s="9" t="str">
        <f>+CONCATENATE('libro compras'!C559," ",'libro compras'!D559)</f>
        <v xml:space="preserve"> </v>
      </c>
      <c r="K558" s="7">
        <f>+'libro compras'!F559</f>
        <v>0</v>
      </c>
      <c r="L558" s="3">
        <f>+'libro compras'!C559</f>
        <v>0</v>
      </c>
      <c r="M558" s="3">
        <f>+'libro compras'!D559</f>
        <v>0</v>
      </c>
      <c r="N558" s="9" t="s">
        <v>34</v>
      </c>
    </row>
    <row r="559" spans="1:14" x14ac:dyDescent="0.25">
      <c r="A559" s="11">
        <f t="shared" ref="A559:A561" si="911">+A558</f>
        <v>140</v>
      </c>
      <c r="B559" s="43" t="str">
        <f>+'libro compras'!$AL$1</f>
        <v>401110</v>
      </c>
      <c r="C559" s="9" t="s">
        <v>0</v>
      </c>
      <c r="D559" s="9"/>
      <c r="E559" s="14" t="str">
        <f t="shared" ref="E559:E561" si="912">+E558</f>
        <v/>
      </c>
      <c r="F559" s="9"/>
      <c r="G559" s="4">
        <f>+'libro compras'!AJ559</f>
        <v>0</v>
      </c>
      <c r="H559" s="9"/>
      <c r="I559" s="9" t="s">
        <v>33</v>
      </c>
      <c r="J559" s="9" t="str">
        <f t="shared" ref="J559:M559" si="913">+J558</f>
        <v xml:space="preserve"> </v>
      </c>
      <c r="K559" s="7">
        <f t="shared" si="913"/>
        <v>0</v>
      </c>
      <c r="L559" s="3">
        <f t="shared" si="913"/>
        <v>0</v>
      </c>
      <c r="M559" s="3">
        <f t="shared" si="913"/>
        <v>0</v>
      </c>
      <c r="N559" s="9" t="s">
        <v>34</v>
      </c>
    </row>
    <row r="560" spans="1:14" x14ac:dyDescent="0.25">
      <c r="A560" s="11">
        <f t="shared" si="911"/>
        <v>140</v>
      </c>
      <c r="B560" s="32">
        <f>+'libro compras'!P559</f>
        <v>0</v>
      </c>
      <c r="C560" s="9" t="s">
        <v>0</v>
      </c>
      <c r="D560" s="9"/>
      <c r="E560" s="14" t="str">
        <f t="shared" si="912"/>
        <v/>
      </c>
      <c r="F560" s="9"/>
      <c r="G560" s="4">
        <f>-'libro compras'!AK559</f>
        <v>0</v>
      </c>
      <c r="H560" s="9"/>
      <c r="I560" s="9" t="s">
        <v>2</v>
      </c>
      <c r="J560" s="9" t="str">
        <f t="shared" ref="J560:M560" si="914">+J559</f>
        <v xml:space="preserve"> </v>
      </c>
      <c r="K560" s="7">
        <f t="shared" si="914"/>
        <v>0</v>
      </c>
      <c r="L560" s="3">
        <f t="shared" si="914"/>
        <v>0</v>
      </c>
      <c r="M560" s="3">
        <f t="shared" si="914"/>
        <v>0</v>
      </c>
      <c r="N560" s="9" t="s">
        <v>34</v>
      </c>
    </row>
    <row r="561" spans="1:14" x14ac:dyDescent="0.25">
      <c r="A561" s="11">
        <f t="shared" si="911"/>
        <v>140</v>
      </c>
      <c r="B561" s="34" t="e">
        <f>+VLOOKUP(B560,Hoja1!$A$1:$B$2,2,FALSE)</f>
        <v>#N/A</v>
      </c>
      <c r="C561" s="9" t="s">
        <v>0</v>
      </c>
      <c r="D561" s="9"/>
      <c r="E561" s="14" t="str">
        <f t="shared" si="912"/>
        <v/>
      </c>
      <c r="F561" s="9"/>
      <c r="G561" s="4">
        <f>-'libro compras'!I559</f>
        <v>0</v>
      </c>
      <c r="H561" s="9"/>
      <c r="I561" s="9" t="s">
        <v>2</v>
      </c>
      <c r="J561" s="9" t="str">
        <f t="shared" ref="J561:M561" si="915">+J560</f>
        <v xml:space="preserve"> </v>
      </c>
      <c r="K561" s="7">
        <f t="shared" si="915"/>
        <v>0</v>
      </c>
      <c r="L561" s="3">
        <f t="shared" si="915"/>
        <v>0</v>
      </c>
      <c r="M561" s="3">
        <f t="shared" si="915"/>
        <v>0</v>
      </c>
      <c r="N561" s="9" t="s">
        <v>34</v>
      </c>
    </row>
    <row r="562" spans="1:14" x14ac:dyDescent="0.25">
      <c r="A562" s="11">
        <f t="shared" si="855"/>
        <v>141</v>
      </c>
      <c r="B562" s="42" t="str">
        <f>+'libro compras'!$AK$1</f>
        <v>281130</v>
      </c>
      <c r="C562" s="9" t="s">
        <v>0</v>
      </c>
      <c r="D562" s="9"/>
      <c r="E562" s="14" t="str">
        <f>+'libro compras'!S563</f>
        <v/>
      </c>
      <c r="F562" s="9"/>
      <c r="G562" s="4">
        <f>+'libro compras'!AI563</f>
        <v>0</v>
      </c>
      <c r="H562" s="9"/>
      <c r="I562" s="9" t="s">
        <v>33</v>
      </c>
      <c r="J562" s="9" t="str">
        <f>+CONCATENATE('libro compras'!C563," ",'libro compras'!D563)</f>
        <v xml:space="preserve"> </v>
      </c>
      <c r="K562" s="7">
        <f t="shared" ref="K562" si="916">+K561</f>
        <v>0</v>
      </c>
      <c r="L562" s="3">
        <f>+'libro compras'!C563</f>
        <v>0</v>
      </c>
      <c r="M562" s="3">
        <f>+'libro compras'!D563</f>
        <v>0</v>
      </c>
      <c r="N562" s="9" t="s">
        <v>34</v>
      </c>
    </row>
    <row r="563" spans="1:14" x14ac:dyDescent="0.25">
      <c r="A563" s="11">
        <f t="shared" si="855"/>
        <v>141</v>
      </c>
      <c r="B563" s="43" t="str">
        <f>+'libro compras'!$AL$1</f>
        <v>401110</v>
      </c>
      <c r="C563" s="9" t="s">
        <v>0</v>
      </c>
      <c r="D563" s="9"/>
      <c r="E563" s="14" t="str">
        <f t="shared" ref="E563:E565" si="917">+E562</f>
        <v/>
      </c>
      <c r="F563" s="9"/>
      <c r="G563" s="4">
        <f>+'libro compras'!AJ563</f>
        <v>0</v>
      </c>
      <c r="H563" s="9"/>
      <c r="I563" s="9" t="s">
        <v>33</v>
      </c>
      <c r="J563" s="9" t="str">
        <f t="shared" ref="J563:K563" si="918">+J562</f>
        <v xml:space="preserve"> </v>
      </c>
      <c r="K563" s="7">
        <f t="shared" si="918"/>
        <v>0</v>
      </c>
      <c r="L563" s="3">
        <f t="shared" ref="L563:L565" si="919">+L562</f>
        <v>0</v>
      </c>
      <c r="M563" s="3">
        <f t="shared" ref="M563:M565" si="920">+M562</f>
        <v>0</v>
      </c>
      <c r="N563" s="9" t="s">
        <v>34</v>
      </c>
    </row>
    <row r="564" spans="1:14" x14ac:dyDescent="0.25">
      <c r="A564" s="11">
        <f t="shared" si="855"/>
        <v>141</v>
      </c>
      <c r="B564" s="32">
        <f>+'libro compras'!P563</f>
        <v>0</v>
      </c>
      <c r="C564" s="9" t="s">
        <v>0</v>
      </c>
      <c r="D564" s="9"/>
      <c r="E564" s="14" t="str">
        <f t="shared" si="917"/>
        <v/>
      </c>
      <c r="F564" s="9"/>
      <c r="G564" s="4">
        <f>-'libro compras'!AK563</f>
        <v>0</v>
      </c>
      <c r="H564" s="9"/>
      <c r="I564" s="9" t="s">
        <v>2</v>
      </c>
      <c r="J564" s="9" t="str">
        <f t="shared" ref="J564:K564" si="921">+J563</f>
        <v xml:space="preserve"> </v>
      </c>
      <c r="K564" s="7">
        <f t="shared" si="921"/>
        <v>0</v>
      </c>
      <c r="L564" s="3">
        <f t="shared" si="919"/>
        <v>0</v>
      </c>
      <c r="M564" s="3">
        <f t="shared" si="920"/>
        <v>0</v>
      </c>
      <c r="N564" s="9" t="s">
        <v>34</v>
      </c>
    </row>
    <row r="565" spans="1:14" x14ac:dyDescent="0.25">
      <c r="A565" s="11">
        <f t="shared" si="855"/>
        <v>141</v>
      </c>
      <c r="B565" s="34" t="e">
        <f>+VLOOKUP(B564,Hoja1!$A$1:$B$2,2,FALSE)</f>
        <v>#N/A</v>
      </c>
      <c r="C565" s="9" t="s">
        <v>0</v>
      </c>
      <c r="D565" s="9"/>
      <c r="E565" s="14" t="str">
        <f t="shared" si="917"/>
        <v/>
      </c>
      <c r="F565" s="9"/>
      <c r="G565" s="4">
        <f>-'libro compras'!I563</f>
        <v>0</v>
      </c>
      <c r="H565" s="9"/>
      <c r="I565" s="9" t="s">
        <v>2</v>
      </c>
      <c r="J565" s="9" t="str">
        <f t="shared" ref="J565:K565" si="922">+J564</f>
        <v xml:space="preserve"> </v>
      </c>
      <c r="K565" s="7">
        <f t="shared" si="922"/>
        <v>0</v>
      </c>
      <c r="L565" s="3">
        <f t="shared" si="919"/>
        <v>0</v>
      </c>
      <c r="M565" s="3">
        <f t="shared" si="920"/>
        <v>0</v>
      </c>
      <c r="N565" s="9" t="s">
        <v>34</v>
      </c>
    </row>
    <row r="566" spans="1:14" x14ac:dyDescent="0.25">
      <c r="A566" s="11">
        <f t="shared" si="855"/>
        <v>142</v>
      </c>
      <c r="B566" s="42" t="str">
        <f>+'libro compras'!$AK$1</f>
        <v>281130</v>
      </c>
      <c r="C566" s="9" t="s">
        <v>0</v>
      </c>
      <c r="D566" s="9"/>
      <c r="E566" s="14" t="str">
        <f>+'libro compras'!S567</f>
        <v/>
      </c>
      <c r="F566" s="9"/>
      <c r="G566" s="4">
        <f>+'libro compras'!AI567</f>
        <v>0</v>
      </c>
      <c r="H566" s="9"/>
      <c r="I566" s="9" t="s">
        <v>33</v>
      </c>
      <c r="J566" s="9" t="str">
        <f>+CONCATENATE('libro compras'!C567," ",'libro compras'!D567)</f>
        <v xml:space="preserve"> </v>
      </c>
      <c r="K566" s="7">
        <f t="shared" ref="K566" si="923">+K565</f>
        <v>0</v>
      </c>
      <c r="L566" s="3">
        <f>+'libro compras'!C567</f>
        <v>0</v>
      </c>
      <c r="M566" s="3">
        <f>+'libro compras'!D567</f>
        <v>0</v>
      </c>
      <c r="N566" s="9" t="s">
        <v>34</v>
      </c>
    </row>
    <row r="567" spans="1:14" x14ac:dyDescent="0.25">
      <c r="A567" s="11">
        <f t="shared" si="855"/>
        <v>142</v>
      </c>
      <c r="B567" s="43" t="str">
        <f>+'libro compras'!$AL$1</f>
        <v>401110</v>
      </c>
      <c r="C567" s="9" t="s">
        <v>0</v>
      </c>
      <c r="D567" s="9"/>
      <c r="E567" s="14" t="str">
        <f t="shared" ref="E567:E569" si="924">+E566</f>
        <v/>
      </c>
      <c r="F567" s="9"/>
      <c r="G567" s="4">
        <f>+'libro compras'!AJ567</f>
        <v>0</v>
      </c>
      <c r="H567" s="9"/>
      <c r="I567" s="9" t="s">
        <v>33</v>
      </c>
      <c r="J567" s="9" t="str">
        <f t="shared" ref="J567:K567" si="925">+J566</f>
        <v xml:space="preserve"> </v>
      </c>
      <c r="K567" s="7">
        <f t="shared" si="925"/>
        <v>0</v>
      </c>
      <c r="L567" s="3">
        <f t="shared" ref="L567:L569" si="926">+L566</f>
        <v>0</v>
      </c>
      <c r="M567" s="3">
        <f t="shared" ref="M567:M569" si="927">+M566</f>
        <v>0</v>
      </c>
      <c r="N567" s="9" t="s">
        <v>34</v>
      </c>
    </row>
    <row r="568" spans="1:14" x14ac:dyDescent="0.25">
      <c r="A568" s="11">
        <f t="shared" si="855"/>
        <v>142</v>
      </c>
      <c r="B568" s="32">
        <f>+'libro compras'!P567</f>
        <v>0</v>
      </c>
      <c r="C568" s="9" t="s">
        <v>0</v>
      </c>
      <c r="D568" s="9"/>
      <c r="E568" s="14" t="str">
        <f t="shared" si="924"/>
        <v/>
      </c>
      <c r="F568" s="9"/>
      <c r="G568" s="4">
        <f>-'libro compras'!AK567</f>
        <v>0</v>
      </c>
      <c r="H568" s="9"/>
      <c r="I568" s="9" t="s">
        <v>2</v>
      </c>
      <c r="J568" s="9" t="str">
        <f t="shared" ref="J568:K568" si="928">+J567</f>
        <v xml:space="preserve"> </v>
      </c>
      <c r="K568" s="7">
        <f t="shared" si="928"/>
        <v>0</v>
      </c>
      <c r="L568" s="3">
        <f t="shared" si="926"/>
        <v>0</v>
      </c>
      <c r="M568" s="3">
        <f t="shared" si="927"/>
        <v>0</v>
      </c>
      <c r="N568" s="9" t="s">
        <v>34</v>
      </c>
    </row>
    <row r="569" spans="1:14" x14ac:dyDescent="0.25">
      <c r="A569" s="11">
        <f t="shared" si="855"/>
        <v>142</v>
      </c>
      <c r="B569" s="34" t="e">
        <f>+VLOOKUP(B568,Hoja1!$A$1:$B$2,2,FALSE)</f>
        <v>#N/A</v>
      </c>
      <c r="C569" s="9" t="s">
        <v>0</v>
      </c>
      <c r="D569" s="9"/>
      <c r="E569" s="14" t="str">
        <f t="shared" si="924"/>
        <v/>
      </c>
      <c r="F569" s="9"/>
      <c r="G569" s="4">
        <f>-'libro compras'!I567</f>
        <v>0</v>
      </c>
      <c r="H569" s="9"/>
      <c r="I569" s="9" t="s">
        <v>2</v>
      </c>
      <c r="J569" s="9" t="str">
        <f t="shared" ref="J569:K569" si="929">+J568</f>
        <v xml:space="preserve"> </v>
      </c>
      <c r="K569" s="7">
        <f t="shared" si="929"/>
        <v>0</v>
      </c>
      <c r="L569" s="3">
        <f t="shared" si="926"/>
        <v>0</v>
      </c>
      <c r="M569" s="3">
        <f t="shared" si="927"/>
        <v>0</v>
      </c>
      <c r="N569" s="9" t="s">
        <v>34</v>
      </c>
    </row>
    <row r="570" spans="1:14" x14ac:dyDescent="0.25">
      <c r="A570" s="11">
        <f t="shared" ref="A570" si="930">+A569+1</f>
        <v>143</v>
      </c>
      <c r="B570" s="42" t="str">
        <f>+'libro compras'!$AK$1</f>
        <v>281130</v>
      </c>
      <c r="C570" s="9" t="s">
        <v>0</v>
      </c>
      <c r="D570" s="9"/>
      <c r="E570" s="14" t="str">
        <f>+'libro compras'!S571</f>
        <v/>
      </c>
      <c r="F570" s="9"/>
      <c r="G570" s="4">
        <f>+'libro compras'!AI571</f>
        <v>0</v>
      </c>
      <c r="H570" s="9"/>
      <c r="I570" s="9" t="s">
        <v>33</v>
      </c>
      <c r="J570" s="9" t="str">
        <f>+CONCATENATE('libro compras'!C571," ",'libro compras'!D571)</f>
        <v xml:space="preserve"> </v>
      </c>
      <c r="K570" s="7">
        <f>+'libro compras'!F571</f>
        <v>0</v>
      </c>
      <c r="L570" s="3">
        <f>+'libro compras'!C571</f>
        <v>0</v>
      </c>
      <c r="M570" s="3">
        <f>+'libro compras'!D571</f>
        <v>0</v>
      </c>
      <c r="N570" s="9" t="s">
        <v>34</v>
      </c>
    </row>
    <row r="571" spans="1:14" x14ac:dyDescent="0.25">
      <c r="A571" s="11">
        <f t="shared" ref="A571:A573" si="931">+A570</f>
        <v>143</v>
      </c>
      <c r="B571" s="43" t="str">
        <f>+'libro compras'!$AL$1</f>
        <v>401110</v>
      </c>
      <c r="C571" s="9" t="s">
        <v>0</v>
      </c>
      <c r="D571" s="9"/>
      <c r="E571" s="14" t="str">
        <f t="shared" ref="E571:E573" si="932">+E570</f>
        <v/>
      </c>
      <c r="F571" s="9"/>
      <c r="G571" s="4">
        <f>+'libro compras'!AJ571</f>
        <v>0</v>
      </c>
      <c r="H571" s="9"/>
      <c r="I571" s="9" t="s">
        <v>33</v>
      </c>
      <c r="J571" s="9" t="str">
        <f t="shared" ref="J571:M571" si="933">+J570</f>
        <v xml:space="preserve"> </v>
      </c>
      <c r="K571" s="7">
        <f t="shared" si="933"/>
        <v>0</v>
      </c>
      <c r="L571" s="3">
        <f t="shared" si="933"/>
        <v>0</v>
      </c>
      <c r="M571" s="3">
        <f t="shared" si="933"/>
        <v>0</v>
      </c>
      <c r="N571" s="9" t="s">
        <v>34</v>
      </c>
    </row>
    <row r="572" spans="1:14" x14ac:dyDescent="0.25">
      <c r="A572" s="11">
        <f t="shared" si="931"/>
        <v>143</v>
      </c>
      <c r="B572" s="32">
        <f>+'libro compras'!P571</f>
        <v>0</v>
      </c>
      <c r="C572" s="9" t="s">
        <v>0</v>
      </c>
      <c r="D572" s="9"/>
      <c r="E572" s="14" t="str">
        <f t="shared" si="932"/>
        <v/>
      </c>
      <c r="F572" s="9"/>
      <c r="G572" s="4">
        <f>-'libro compras'!AK571</f>
        <v>0</v>
      </c>
      <c r="H572" s="9"/>
      <c r="I572" s="9" t="s">
        <v>2</v>
      </c>
      <c r="J572" s="9" t="str">
        <f t="shared" ref="J572:M572" si="934">+J571</f>
        <v xml:space="preserve"> </v>
      </c>
      <c r="K572" s="7">
        <f t="shared" si="934"/>
        <v>0</v>
      </c>
      <c r="L572" s="3">
        <f t="shared" si="934"/>
        <v>0</v>
      </c>
      <c r="M572" s="3">
        <f t="shared" si="934"/>
        <v>0</v>
      </c>
      <c r="N572" s="9" t="s">
        <v>34</v>
      </c>
    </row>
    <row r="573" spans="1:14" x14ac:dyDescent="0.25">
      <c r="A573" s="11">
        <f t="shared" si="931"/>
        <v>143</v>
      </c>
      <c r="B573" s="34" t="e">
        <f>+VLOOKUP(B572,Hoja1!$A$1:$B$2,2,FALSE)</f>
        <v>#N/A</v>
      </c>
      <c r="C573" s="9" t="s">
        <v>0</v>
      </c>
      <c r="D573" s="9"/>
      <c r="E573" s="14" t="str">
        <f t="shared" si="932"/>
        <v/>
      </c>
      <c r="F573" s="9"/>
      <c r="G573" s="4">
        <f>-'libro compras'!I571</f>
        <v>0</v>
      </c>
      <c r="H573" s="9"/>
      <c r="I573" s="9" t="s">
        <v>2</v>
      </c>
      <c r="J573" s="9" t="str">
        <f t="shared" ref="J573:M573" si="935">+J572</f>
        <v xml:space="preserve"> </v>
      </c>
      <c r="K573" s="7">
        <f t="shared" si="935"/>
        <v>0</v>
      </c>
      <c r="L573" s="3">
        <f t="shared" si="935"/>
        <v>0</v>
      </c>
      <c r="M573" s="3">
        <f t="shared" si="935"/>
        <v>0</v>
      </c>
      <c r="N573" s="9" t="s">
        <v>34</v>
      </c>
    </row>
    <row r="574" spans="1:14" x14ac:dyDescent="0.25">
      <c r="A574" s="11">
        <f t="shared" si="855"/>
        <v>144</v>
      </c>
      <c r="B574" s="42" t="str">
        <f>+'libro compras'!$AK$1</f>
        <v>281130</v>
      </c>
      <c r="C574" s="9" t="s">
        <v>0</v>
      </c>
      <c r="D574" s="9"/>
      <c r="E574" s="14" t="str">
        <f>+'libro compras'!S575</f>
        <v/>
      </c>
      <c r="F574" s="9"/>
      <c r="G574" s="4">
        <f>+'libro compras'!AI575</f>
        <v>0</v>
      </c>
      <c r="H574" s="9"/>
      <c r="I574" s="9" t="s">
        <v>33</v>
      </c>
      <c r="J574" s="9" t="str">
        <f>+CONCATENATE('libro compras'!C575," ",'libro compras'!D575)</f>
        <v xml:space="preserve"> </v>
      </c>
      <c r="K574" s="7">
        <f t="shared" ref="K574" si="936">+K573</f>
        <v>0</v>
      </c>
      <c r="L574" s="3">
        <f>+'libro compras'!C575</f>
        <v>0</v>
      </c>
      <c r="M574" s="3">
        <f>+'libro compras'!D575</f>
        <v>0</v>
      </c>
      <c r="N574" s="9" t="s">
        <v>34</v>
      </c>
    </row>
    <row r="575" spans="1:14" x14ac:dyDescent="0.25">
      <c r="A575" s="11">
        <f t="shared" si="855"/>
        <v>144</v>
      </c>
      <c r="B575" s="43" t="str">
        <f>+'libro compras'!$AL$1</f>
        <v>401110</v>
      </c>
      <c r="C575" s="9" t="s">
        <v>0</v>
      </c>
      <c r="D575" s="9"/>
      <c r="E575" s="14" t="str">
        <f t="shared" ref="E575:E577" si="937">+E574</f>
        <v/>
      </c>
      <c r="F575" s="9"/>
      <c r="G575" s="4">
        <f>+'libro compras'!AJ575</f>
        <v>0</v>
      </c>
      <c r="H575" s="9"/>
      <c r="I575" s="9" t="s">
        <v>33</v>
      </c>
      <c r="J575" s="9" t="str">
        <f t="shared" ref="J575:K575" si="938">+J574</f>
        <v xml:space="preserve"> </v>
      </c>
      <c r="K575" s="7">
        <f t="shared" si="938"/>
        <v>0</v>
      </c>
      <c r="L575" s="3">
        <f t="shared" ref="L575:L577" si="939">+L574</f>
        <v>0</v>
      </c>
      <c r="M575" s="3">
        <f t="shared" ref="M575:M577" si="940">+M574</f>
        <v>0</v>
      </c>
      <c r="N575" s="9" t="s">
        <v>34</v>
      </c>
    </row>
    <row r="576" spans="1:14" x14ac:dyDescent="0.25">
      <c r="A576" s="11">
        <f t="shared" si="855"/>
        <v>144</v>
      </c>
      <c r="B576" s="32">
        <f>+'libro compras'!P575</f>
        <v>0</v>
      </c>
      <c r="C576" s="9" t="s">
        <v>0</v>
      </c>
      <c r="D576" s="9"/>
      <c r="E576" s="14" t="str">
        <f t="shared" si="937"/>
        <v/>
      </c>
      <c r="F576" s="9"/>
      <c r="G576" s="4">
        <f>-'libro compras'!AK575</f>
        <v>0</v>
      </c>
      <c r="H576" s="9"/>
      <c r="I576" s="9" t="s">
        <v>2</v>
      </c>
      <c r="J576" s="9" t="str">
        <f t="shared" ref="J576:K576" si="941">+J575</f>
        <v xml:space="preserve"> </v>
      </c>
      <c r="K576" s="7">
        <f t="shared" si="941"/>
        <v>0</v>
      </c>
      <c r="L576" s="3">
        <f t="shared" si="939"/>
        <v>0</v>
      </c>
      <c r="M576" s="3">
        <f t="shared" si="940"/>
        <v>0</v>
      </c>
      <c r="N576" s="9" t="s">
        <v>34</v>
      </c>
    </row>
    <row r="577" spans="1:14" x14ac:dyDescent="0.25">
      <c r="A577" s="11">
        <f t="shared" si="855"/>
        <v>144</v>
      </c>
      <c r="B577" s="34" t="e">
        <f>+VLOOKUP(B576,Hoja1!$A$1:$B$2,2,FALSE)</f>
        <v>#N/A</v>
      </c>
      <c r="C577" s="9" t="s">
        <v>0</v>
      </c>
      <c r="D577" s="9"/>
      <c r="E577" s="14" t="str">
        <f t="shared" si="937"/>
        <v/>
      </c>
      <c r="F577" s="9"/>
      <c r="G577" s="4">
        <f>-'libro compras'!I575</f>
        <v>0</v>
      </c>
      <c r="H577" s="9"/>
      <c r="I577" s="9" t="s">
        <v>2</v>
      </c>
      <c r="J577" s="9" t="str">
        <f t="shared" ref="J577:K577" si="942">+J576</f>
        <v xml:space="preserve"> </v>
      </c>
      <c r="K577" s="7">
        <f t="shared" si="942"/>
        <v>0</v>
      </c>
      <c r="L577" s="3">
        <f t="shared" si="939"/>
        <v>0</v>
      </c>
      <c r="M577" s="3">
        <f t="shared" si="940"/>
        <v>0</v>
      </c>
      <c r="N577" s="9" t="s">
        <v>34</v>
      </c>
    </row>
    <row r="578" spans="1:14" x14ac:dyDescent="0.25">
      <c r="A578" s="11">
        <f t="shared" si="855"/>
        <v>145</v>
      </c>
      <c r="B578" s="42" t="str">
        <f>+'libro compras'!$AK$1</f>
        <v>281130</v>
      </c>
      <c r="C578" s="9" t="s">
        <v>0</v>
      </c>
      <c r="D578" s="9"/>
      <c r="E578" s="14" t="str">
        <f>+'libro compras'!S579</f>
        <v/>
      </c>
      <c r="F578" s="9"/>
      <c r="G578" s="4">
        <f>+'libro compras'!AI579</f>
        <v>0</v>
      </c>
      <c r="H578" s="9"/>
      <c r="I578" s="9" t="s">
        <v>33</v>
      </c>
      <c r="J578" s="9" t="str">
        <f>+CONCATENATE('libro compras'!C579," ",'libro compras'!D579)</f>
        <v xml:space="preserve"> </v>
      </c>
      <c r="K578" s="7">
        <f t="shared" ref="K578" si="943">+K577</f>
        <v>0</v>
      </c>
      <c r="L578" s="3">
        <f>+'libro compras'!C579</f>
        <v>0</v>
      </c>
      <c r="M578" s="3">
        <f>+'libro compras'!D579</f>
        <v>0</v>
      </c>
      <c r="N578" s="9" t="s">
        <v>34</v>
      </c>
    </row>
    <row r="579" spans="1:14" x14ac:dyDescent="0.25">
      <c r="A579" s="11">
        <f t="shared" si="855"/>
        <v>145</v>
      </c>
      <c r="B579" s="43" t="str">
        <f>+'libro compras'!$AL$1</f>
        <v>401110</v>
      </c>
      <c r="C579" s="9" t="s">
        <v>0</v>
      </c>
      <c r="D579" s="9"/>
      <c r="E579" s="14" t="str">
        <f t="shared" ref="E579:E581" si="944">+E578</f>
        <v/>
      </c>
      <c r="F579" s="9"/>
      <c r="G579" s="4">
        <f>+'libro compras'!AJ579</f>
        <v>0</v>
      </c>
      <c r="H579" s="9"/>
      <c r="I579" s="9" t="s">
        <v>33</v>
      </c>
      <c r="J579" s="9" t="str">
        <f t="shared" ref="J579:K579" si="945">+J578</f>
        <v xml:space="preserve"> </v>
      </c>
      <c r="K579" s="7">
        <f t="shared" si="945"/>
        <v>0</v>
      </c>
      <c r="L579" s="3">
        <f t="shared" ref="L579:L581" si="946">+L578</f>
        <v>0</v>
      </c>
      <c r="M579" s="3">
        <f t="shared" ref="M579:M581" si="947">+M578</f>
        <v>0</v>
      </c>
      <c r="N579" s="9" t="s">
        <v>34</v>
      </c>
    </row>
    <row r="580" spans="1:14" x14ac:dyDescent="0.25">
      <c r="A580" s="11">
        <f t="shared" si="855"/>
        <v>145</v>
      </c>
      <c r="B580" s="32">
        <f>+'libro compras'!P579</f>
        <v>0</v>
      </c>
      <c r="C580" s="9" t="s">
        <v>0</v>
      </c>
      <c r="D580" s="9"/>
      <c r="E580" s="14" t="str">
        <f t="shared" si="944"/>
        <v/>
      </c>
      <c r="F580" s="9"/>
      <c r="G580" s="4">
        <f>-'libro compras'!AK579</f>
        <v>0</v>
      </c>
      <c r="H580" s="9"/>
      <c r="I580" s="9" t="s">
        <v>2</v>
      </c>
      <c r="J580" s="9" t="str">
        <f t="shared" ref="J580:K580" si="948">+J579</f>
        <v xml:space="preserve"> </v>
      </c>
      <c r="K580" s="7">
        <f t="shared" si="948"/>
        <v>0</v>
      </c>
      <c r="L580" s="3">
        <f t="shared" si="946"/>
        <v>0</v>
      </c>
      <c r="M580" s="3">
        <f t="shared" si="947"/>
        <v>0</v>
      </c>
      <c r="N580" s="9" t="s">
        <v>34</v>
      </c>
    </row>
    <row r="581" spans="1:14" x14ac:dyDescent="0.25">
      <c r="A581" s="11">
        <f t="shared" si="855"/>
        <v>145</v>
      </c>
      <c r="B581" s="34" t="e">
        <f>+VLOOKUP(B580,Hoja1!$A$1:$B$2,2,FALSE)</f>
        <v>#N/A</v>
      </c>
      <c r="C581" s="9" t="s">
        <v>0</v>
      </c>
      <c r="D581" s="9"/>
      <c r="E581" s="14" t="str">
        <f t="shared" si="944"/>
        <v/>
      </c>
      <c r="F581" s="9"/>
      <c r="G581" s="4">
        <f>-'libro compras'!I579</f>
        <v>0</v>
      </c>
      <c r="H581" s="9"/>
      <c r="I581" s="9" t="s">
        <v>2</v>
      </c>
      <c r="J581" s="9" t="str">
        <f t="shared" ref="J581:K581" si="949">+J580</f>
        <v xml:space="preserve"> </v>
      </c>
      <c r="K581" s="7">
        <f t="shared" si="949"/>
        <v>0</v>
      </c>
      <c r="L581" s="3">
        <f t="shared" si="946"/>
        <v>0</v>
      </c>
      <c r="M581" s="3">
        <f t="shared" si="947"/>
        <v>0</v>
      </c>
      <c r="N581" s="9" t="s">
        <v>34</v>
      </c>
    </row>
    <row r="582" spans="1:14" x14ac:dyDescent="0.25">
      <c r="A582" s="11">
        <f t="shared" ref="A582" si="950">+A581+1</f>
        <v>146</v>
      </c>
      <c r="B582" s="42" t="str">
        <f>+'libro compras'!$AK$1</f>
        <v>281130</v>
      </c>
      <c r="C582" s="9" t="s">
        <v>0</v>
      </c>
      <c r="D582" s="9"/>
      <c r="E582" s="14" t="str">
        <f>+'libro compras'!S583</f>
        <v/>
      </c>
      <c r="F582" s="9"/>
      <c r="G582" s="4">
        <f>+'libro compras'!AI583</f>
        <v>0</v>
      </c>
      <c r="H582" s="9"/>
      <c r="I582" s="9" t="s">
        <v>33</v>
      </c>
      <c r="J582" s="9" t="str">
        <f>+CONCATENATE('libro compras'!C583," ",'libro compras'!D583)</f>
        <v xml:space="preserve"> </v>
      </c>
      <c r="K582" s="7">
        <f>+'libro compras'!F583</f>
        <v>0</v>
      </c>
      <c r="L582" s="3">
        <f>+'libro compras'!C583</f>
        <v>0</v>
      </c>
      <c r="M582" s="3">
        <f>+'libro compras'!D583</f>
        <v>0</v>
      </c>
      <c r="N582" s="9" t="s">
        <v>34</v>
      </c>
    </row>
    <row r="583" spans="1:14" x14ac:dyDescent="0.25">
      <c r="A583" s="11">
        <f t="shared" ref="A583:A585" si="951">+A582</f>
        <v>146</v>
      </c>
      <c r="B583" s="43" t="str">
        <f>+'libro compras'!$AL$1</f>
        <v>401110</v>
      </c>
      <c r="C583" s="9" t="s">
        <v>0</v>
      </c>
      <c r="D583" s="9"/>
      <c r="E583" s="14" t="str">
        <f t="shared" ref="E583:E585" si="952">+E582</f>
        <v/>
      </c>
      <c r="F583" s="9"/>
      <c r="G583" s="4">
        <f>+'libro compras'!AJ583</f>
        <v>0</v>
      </c>
      <c r="H583" s="9"/>
      <c r="I583" s="9" t="s">
        <v>33</v>
      </c>
      <c r="J583" s="9" t="str">
        <f t="shared" ref="J583:M583" si="953">+J582</f>
        <v xml:space="preserve"> </v>
      </c>
      <c r="K583" s="7">
        <f t="shared" si="953"/>
        <v>0</v>
      </c>
      <c r="L583" s="3">
        <f t="shared" si="953"/>
        <v>0</v>
      </c>
      <c r="M583" s="3">
        <f t="shared" si="953"/>
        <v>0</v>
      </c>
      <c r="N583" s="9" t="s">
        <v>34</v>
      </c>
    </row>
    <row r="584" spans="1:14" x14ac:dyDescent="0.25">
      <c r="A584" s="11">
        <f t="shared" si="951"/>
        <v>146</v>
      </c>
      <c r="B584" s="32">
        <f>+'libro compras'!P583</f>
        <v>0</v>
      </c>
      <c r="C584" s="9" t="s">
        <v>0</v>
      </c>
      <c r="D584" s="9"/>
      <c r="E584" s="14" t="str">
        <f t="shared" si="952"/>
        <v/>
      </c>
      <c r="F584" s="9"/>
      <c r="G584" s="4">
        <f>-'libro compras'!AK583</f>
        <v>0</v>
      </c>
      <c r="H584" s="9"/>
      <c r="I584" s="9" t="s">
        <v>2</v>
      </c>
      <c r="J584" s="9" t="str">
        <f t="shared" ref="J584:M584" si="954">+J583</f>
        <v xml:space="preserve"> </v>
      </c>
      <c r="K584" s="7">
        <f t="shared" si="954"/>
        <v>0</v>
      </c>
      <c r="L584" s="3">
        <f t="shared" si="954"/>
        <v>0</v>
      </c>
      <c r="M584" s="3">
        <f t="shared" si="954"/>
        <v>0</v>
      </c>
      <c r="N584" s="9" t="s">
        <v>34</v>
      </c>
    </row>
    <row r="585" spans="1:14" x14ac:dyDescent="0.25">
      <c r="A585" s="11">
        <f t="shared" si="951"/>
        <v>146</v>
      </c>
      <c r="B585" s="34" t="e">
        <f>+VLOOKUP(B584,Hoja1!$A$1:$B$2,2,FALSE)</f>
        <v>#N/A</v>
      </c>
      <c r="C585" s="9" t="s">
        <v>0</v>
      </c>
      <c r="D585" s="9"/>
      <c r="E585" s="14" t="str">
        <f t="shared" si="952"/>
        <v/>
      </c>
      <c r="F585" s="9"/>
      <c r="G585" s="4">
        <f>-'libro compras'!I583</f>
        <v>0</v>
      </c>
      <c r="H585" s="9"/>
      <c r="I585" s="9" t="s">
        <v>2</v>
      </c>
      <c r="J585" s="9" t="str">
        <f t="shared" ref="J585:M585" si="955">+J584</f>
        <v xml:space="preserve"> </v>
      </c>
      <c r="K585" s="7">
        <f t="shared" si="955"/>
        <v>0</v>
      </c>
      <c r="L585" s="3">
        <f t="shared" si="955"/>
        <v>0</v>
      </c>
      <c r="M585" s="3">
        <f t="shared" si="955"/>
        <v>0</v>
      </c>
      <c r="N585" s="9" t="s">
        <v>34</v>
      </c>
    </row>
    <row r="586" spans="1:14" x14ac:dyDescent="0.25">
      <c r="A586" s="11">
        <f t="shared" si="855"/>
        <v>147</v>
      </c>
      <c r="B586" s="42" t="str">
        <f>+'libro compras'!$AK$1</f>
        <v>281130</v>
      </c>
      <c r="C586" s="9" t="s">
        <v>0</v>
      </c>
      <c r="D586" s="9"/>
      <c r="E586" s="14" t="str">
        <f>+'libro compras'!S587</f>
        <v/>
      </c>
      <c r="F586" s="9"/>
      <c r="G586" s="4">
        <f>+'libro compras'!AI587</f>
        <v>0</v>
      </c>
      <c r="H586" s="9"/>
      <c r="I586" s="9" t="s">
        <v>33</v>
      </c>
      <c r="J586" s="9" t="str">
        <f>+CONCATENATE('libro compras'!C587," ",'libro compras'!D587)</f>
        <v xml:space="preserve"> </v>
      </c>
      <c r="K586" s="7">
        <f t="shared" ref="K586" si="956">+K585</f>
        <v>0</v>
      </c>
      <c r="L586" s="3">
        <f>+'libro compras'!C587</f>
        <v>0</v>
      </c>
      <c r="M586" s="3">
        <f>+'libro compras'!D587</f>
        <v>0</v>
      </c>
      <c r="N586" s="9" t="s">
        <v>34</v>
      </c>
    </row>
    <row r="587" spans="1:14" x14ac:dyDescent="0.25">
      <c r="A587" s="11">
        <f t="shared" si="855"/>
        <v>147</v>
      </c>
      <c r="B587" s="43" t="str">
        <f>+'libro compras'!$AL$1</f>
        <v>401110</v>
      </c>
      <c r="C587" s="9" t="s">
        <v>0</v>
      </c>
      <c r="D587" s="9"/>
      <c r="E587" s="14" t="str">
        <f t="shared" ref="E587:E589" si="957">+E586</f>
        <v/>
      </c>
      <c r="F587" s="9"/>
      <c r="G587" s="4">
        <f>+'libro compras'!AJ587</f>
        <v>0</v>
      </c>
      <c r="H587" s="9"/>
      <c r="I587" s="9" t="s">
        <v>33</v>
      </c>
      <c r="J587" s="9" t="str">
        <f t="shared" ref="J587:K587" si="958">+J586</f>
        <v xml:space="preserve"> </v>
      </c>
      <c r="K587" s="7">
        <f t="shared" si="958"/>
        <v>0</v>
      </c>
      <c r="L587" s="3">
        <f t="shared" ref="L587:L589" si="959">+L586</f>
        <v>0</v>
      </c>
      <c r="M587" s="3">
        <f t="shared" ref="M587:M589" si="960">+M586</f>
        <v>0</v>
      </c>
      <c r="N587" s="9" t="s">
        <v>34</v>
      </c>
    </row>
    <row r="588" spans="1:14" x14ac:dyDescent="0.25">
      <c r="A588" s="11">
        <f t="shared" si="855"/>
        <v>147</v>
      </c>
      <c r="B588" s="32">
        <f>+'libro compras'!P587</f>
        <v>0</v>
      </c>
      <c r="C588" s="9" t="s">
        <v>0</v>
      </c>
      <c r="D588" s="9"/>
      <c r="E588" s="14" t="str">
        <f t="shared" si="957"/>
        <v/>
      </c>
      <c r="F588" s="9"/>
      <c r="G588" s="4">
        <f>-'libro compras'!AK587</f>
        <v>0</v>
      </c>
      <c r="H588" s="9"/>
      <c r="I588" s="9" t="s">
        <v>2</v>
      </c>
      <c r="J588" s="9" t="str">
        <f t="shared" ref="J588:K588" si="961">+J587</f>
        <v xml:space="preserve"> </v>
      </c>
      <c r="K588" s="7">
        <f t="shared" si="961"/>
        <v>0</v>
      </c>
      <c r="L588" s="3">
        <f t="shared" si="959"/>
        <v>0</v>
      </c>
      <c r="M588" s="3">
        <f t="shared" si="960"/>
        <v>0</v>
      </c>
      <c r="N588" s="9" t="s">
        <v>34</v>
      </c>
    </row>
    <row r="589" spans="1:14" x14ac:dyDescent="0.25">
      <c r="A589" s="11">
        <f t="shared" si="855"/>
        <v>147</v>
      </c>
      <c r="B589" s="34" t="e">
        <f>+VLOOKUP(B588,Hoja1!$A$1:$B$2,2,FALSE)</f>
        <v>#N/A</v>
      </c>
      <c r="C589" s="9" t="s">
        <v>0</v>
      </c>
      <c r="D589" s="9"/>
      <c r="E589" s="14" t="str">
        <f t="shared" si="957"/>
        <v/>
      </c>
      <c r="F589" s="9"/>
      <c r="G589" s="4">
        <f>-'libro compras'!I587</f>
        <v>0</v>
      </c>
      <c r="H589" s="9"/>
      <c r="I589" s="9" t="s">
        <v>2</v>
      </c>
      <c r="J589" s="9" t="str">
        <f t="shared" ref="J589:K589" si="962">+J588</f>
        <v xml:space="preserve"> </v>
      </c>
      <c r="K589" s="7">
        <f t="shared" si="962"/>
        <v>0</v>
      </c>
      <c r="L589" s="3">
        <f t="shared" si="959"/>
        <v>0</v>
      </c>
      <c r="M589" s="3">
        <f t="shared" si="960"/>
        <v>0</v>
      </c>
      <c r="N589" s="9" t="s">
        <v>34</v>
      </c>
    </row>
    <row r="590" spans="1:14" x14ac:dyDescent="0.25">
      <c r="A590" s="11">
        <f t="shared" ref="A590:A593" si="963">1+A586</f>
        <v>148</v>
      </c>
      <c r="B590" s="42" t="str">
        <f>+'libro compras'!$AK$1</f>
        <v>281130</v>
      </c>
      <c r="C590" s="9" t="s">
        <v>0</v>
      </c>
      <c r="D590" s="9"/>
      <c r="E590" s="14" t="str">
        <f>+'libro compras'!S591</f>
        <v/>
      </c>
      <c r="F590" s="9"/>
      <c r="G590" s="4">
        <f>+'libro compras'!AI591</f>
        <v>0</v>
      </c>
      <c r="H590" s="9"/>
      <c r="I590" s="9" t="s">
        <v>33</v>
      </c>
      <c r="J590" s="9" t="str">
        <f>+CONCATENATE('libro compras'!C591," ",'libro compras'!D591)</f>
        <v xml:space="preserve"> </v>
      </c>
      <c r="K590" s="7">
        <f t="shared" ref="K590" si="964">+K589</f>
        <v>0</v>
      </c>
      <c r="L590" s="3">
        <f>+'libro compras'!C591</f>
        <v>0</v>
      </c>
      <c r="M590" s="3">
        <f>+'libro compras'!D591</f>
        <v>0</v>
      </c>
      <c r="N590" s="9" t="s">
        <v>34</v>
      </c>
    </row>
    <row r="591" spans="1:14" x14ac:dyDescent="0.25">
      <c r="A591" s="11">
        <f t="shared" si="963"/>
        <v>148</v>
      </c>
      <c r="B591" s="43" t="str">
        <f>+'libro compras'!$AL$1</f>
        <v>401110</v>
      </c>
      <c r="C591" s="9" t="s">
        <v>0</v>
      </c>
      <c r="D591" s="9"/>
      <c r="E591" s="14" t="str">
        <f t="shared" ref="E591:E593" si="965">+E590</f>
        <v/>
      </c>
      <c r="F591" s="9"/>
      <c r="G591" s="4">
        <f>+'libro compras'!AJ591</f>
        <v>0</v>
      </c>
      <c r="H591" s="9"/>
      <c r="I591" s="9" t="s">
        <v>33</v>
      </c>
      <c r="J591" s="9" t="str">
        <f t="shared" ref="J591:K591" si="966">+J590</f>
        <v xml:space="preserve"> </v>
      </c>
      <c r="K591" s="7">
        <f t="shared" si="966"/>
        <v>0</v>
      </c>
      <c r="L591" s="3">
        <f t="shared" ref="L591:L593" si="967">+L590</f>
        <v>0</v>
      </c>
      <c r="M591" s="3">
        <f t="shared" ref="M591:M593" si="968">+M590</f>
        <v>0</v>
      </c>
      <c r="N591" s="9" t="s">
        <v>34</v>
      </c>
    </row>
    <row r="592" spans="1:14" x14ac:dyDescent="0.25">
      <c r="A592" s="11">
        <f t="shared" si="963"/>
        <v>148</v>
      </c>
      <c r="B592" s="32">
        <f>+'libro compras'!P591</f>
        <v>0</v>
      </c>
      <c r="C592" s="9" t="s">
        <v>0</v>
      </c>
      <c r="D592" s="9"/>
      <c r="E592" s="14" t="str">
        <f t="shared" si="965"/>
        <v/>
      </c>
      <c r="F592" s="9"/>
      <c r="G592" s="4">
        <f>-'libro compras'!AK591</f>
        <v>0</v>
      </c>
      <c r="H592" s="9"/>
      <c r="I592" s="9" t="s">
        <v>2</v>
      </c>
      <c r="J592" s="9" t="str">
        <f t="shared" ref="J592:K592" si="969">+J591</f>
        <v xml:space="preserve"> </v>
      </c>
      <c r="K592" s="7">
        <f t="shared" si="969"/>
        <v>0</v>
      </c>
      <c r="L592" s="3">
        <f t="shared" si="967"/>
        <v>0</v>
      </c>
      <c r="M592" s="3">
        <f t="shared" si="968"/>
        <v>0</v>
      </c>
      <c r="N592" s="9" t="s">
        <v>34</v>
      </c>
    </row>
    <row r="593" spans="1:14" x14ac:dyDescent="0.25">
      <c r="A593" s="11">
        <f t="shared" si="963"/>
        <v>148</v>
      </c>
      <c r="B593" s="34" t="e">
        <f>+VLOOKUP(B592,Hoja1!$A$1:$B$2,2,FALSE)</f>
        <v>#N/A</v>
      </c>
      <c r="C593" s="9" t="s">
        <v>0</v>
      </c>
      <c r="D593" s="9"/>
      <c r="E593" s="14" t="str">
        <f t="shared" si="965"/>
        <v/>
      </c>
      <c r="F593" s="9"/>
      <c r="G593" s="4">
        <f>-'libro compras'!I591</f>
        <v>0</v>
      </c>
      <c r="H593" s="9"/>
      <c r="I593" s="9" t="s">
        <v>2</v>
      </c>
      <c r="J593" s="9" t="str">
        <f t="shared" ref="J593:K593" si="970">+J592</f>
        <v xml:space="preserve"> </v>
      </c>
      <c r="K593" s="7">
        <f t="shared" si="970"/>
        <v>0</v>
      </c>
      <c r="L593" s="3">
        <f t="shared" si="967"/>
        <v>0</v>
      </c>
      <c r="M593" s="3">
        <f t="shared" si="968"/>
        <v>0</v>
      </c>
      <c r="N593" s="9" t="s">
        <v>34</v>
      </c>
    </row>
    <row r="594" spans="1:14" x14ac:dyDescent="0.25">
      <c r="A594" s="11">
        <f t="shared" ref="A594" si="971">+A593+1</f>
        <v>149</v>
      </c>
      <c r="B594" s="42" t="str">
        <f>+'libro compras'!$AK$1</f>
        <v>281130</v>
      </c>
      <c r="C594" s="9" t="s">
        <v>0</v>
      </c>
      <c r="D594" s="9"/>
      <c r="E594" s="14" t="str">
        <f>+'libro compras'!S595</f>
        <v/>
      </c>
      <c r="F594" s="9"/>
      <c r="G594" s="4">
        <f>+'libro compras'!AI595</f>
        <v>0</v>
      </c>
      <c r="H594" s="9"/>
      <c r="I594" s="9" t="s">
        <v>33</v>
      </c>
      <c r="J594" s="9" t="str">
        <f>+CONCATENATE('libro compras'!C595," ",'libro compras'!D595)</f>
        <v xml:space="preserve"> </v>
      </c>
      <c r="K594" s="7">
        <f>+'libro compras'!F595</f>
        <v>0</v>
      </c>
      <c r="L594" s="3">
        <f>+'libro compras'!C595</f>
        <v>0</v>
      </c>
      <c r="M594" s="3">
        <f>+'libro compras'!D595</f>
        <v>0</v>
      </c>
      <c r="N594" s="9" t="s">
        <v>34</v>
      </c>
    </row>
    <row r="595" spans="1:14" x14ac:dyDescent="0.25">
      <c r="A595" s="11">
        <f t="shared" ref="A595:A597" si="972">+A594</f>
        <v>149</v>
      </c>
      <c r="B595" s="43" t="str">
        <f>+'libro compras'!$AL$1</f>
        <v>401110</v>
      </c>
      <c r="C595" s="9" t="s">
        <v>0</v>
      </c>
      <c r="D595" s="9"/>
      <c r="E595" s="14" t="str">
        <f t="shared" ref="E595:E597" si="973">+E594</f>
        <v/>
      </c>
      <c r="F595" s="9"/>
      <c r="G595" s="4">
        <f>+'libro compras'!AJ595</f>
        <v>0</v>
      </c>
      <c r="H595" s="9"/>
      <c r="I595" s="9" t="s">
        <v>33</v>
      </c>
      <c r="J595" s="9" t="str">
        <f t="shared" ref="J595:M595" si="974">+J594</f>
        <v xml:space="preserve"> </v>
      </c>
      <c r="K595" s="7">
        <f t="shared" si="974"/>
        <v>0</v>
      </c>
      <c r="L595" s="3">
        <f t="shared" si="974"/>
        <v>0</v>
      </c>
      <c r="M595" s="3">
        <f t="shared" si="974"/>
        <v>0</v>
      </c>
      <c r="N595" s="9" t="s">
        <v>34</v>
      </c>
    </row>
    <row r="596" spans="1:14" x14ac:dyDescent="0.25">
      <c r="A596" s="11">
        <f t="shared" si="972"/>
        <v>149</v>
      </c>
      <c r="B596" s="32">
        <f>+'libro compras'!P595</f>
        <v>0</v>
      </c>
      <c r="C596" s="9" t="s">
        <v>0</v>
      </c>
      <c r="D596" s="9"/>
      <c r="E596" s="14" t="str">
        <f t="shared" si="973"/>
        <v/>
      </c>
      <c r="F596" s="9"/>
      <c r="G596" s="4">
        <f>-'libro compras'!AK595</f>
        <v>0</v>
      </c>
      <c r="H596" s="9"/>
      <c r="I596" s="9" t="s">
        <v>2</v>
      </c>
      <c r="J596" s="9" t="str">
        <f t="shared" ref="J596:M596" si="975">+J595</f>
        <v xml:space="preserve"> </v>
      </c>
      <c r="K596" s="7">
        <f t="shared" si="975"/>
        <v>0</v>
      </c>
      <c r="L596" s="3">
        <f t="shared" si="975"/>
        <v>0</v>
      </c>
      <c r="M596" s="3">
        <f t="shared" si="975"/>
        <v>0</v>
      </c>
      <c r="N596" s="9" t="s">
        <v>34</v>
      </c>
    </row>
    <row r="597" spans="1:14" x14ac:dyDescent="0.25">
      <c r="A597" s="11">
        <f t="shared" si="972"/>
        <v>149</v>
      </c>
      <c r="B597" s="34" t="e">
        <f>+VLOOKUP(B596,Hoja1!$A$1:$B$2,2,FALSE)</f>
        <v>#N/A</v>
      </c>
      <c r="C597" s="9" t="s">
        <v>0</v>
      </c>
      <c r="D597" s="9"/>
      <c r="E597" s="14" t="str">
        <f t="shared" si="973"/>
        <v/>
      </c>
      <c r="F597" s="9"/>
      <c r="G597" s="4">
        <f>-'libro compras'!I595</f>
        <v>0</v>
      </c>
      <c r="H597" s="9"/>
      <c r="I597" s="9" t="s">
        <v>2</v>
      </c>
      <c r="J597" s="9" t="str">
        <f t="shared" ref="J597:M597" si="976">+J596</f>
        <v xml:space="preserve"> </v>
      </c>
      <c r="K597" s="7">
        <f t="shared" si="976"/>
        <v>0</v>
      </c>
      <c r="L597" s="3">
        <f t="shared" si="976"/>
        <v>0</v>
      </c>
      <c r="M597" s="3">
        <f t="shared" si="976"/>
        <v>0</v>
      </c>
      <c r="N597" s="9" t="s">
        <v>34</v>
      </c>
    </row>
    <row r="598" spans="1:14" x14ac:dyDescent="0.25">
      <c r="A598" s="11">
        <f t="shared" ref="A598:A625" si="977">1+A594</f>
        <v>150</v>
      </c>
      <c r="B598" s="42" t="str">
        <f>+'libro compras'!$AK$1</f>
        <v>281130</v>
      </c>
      <c r="C598" s="9" t="s">
        <v>0</v>
      </c>
      <c r="D598" s="9"/>
      <c r="E598" s="14" t="str">
        <f>+'libro compras'!S599</f>
        <v/>
      </c>
      <c r="F598" s="9"/>
      <c r="G598" s="4">
        <f>+'libro compras'!AI599</f>
        <v>0</v>
      </c>
      <c r="H598" s="9"/>
      <c r="I598" s="9" t="s">
        <v>33</v>
      </c>
      <c r="J598" s="9" t="str">
        <f>+CONCATENATE('libro compras'!C599," ",'libro compras'!D599)</f>
        <v xml:space="preserve"> </v>
      </c>
      <c r="K598" s="7">
        <f t="shared" ref="K598" si="978">+K597</f>
        <v>0</v>
      </c>
      <c r="L598" s="3">
        <f>+'libro compras'!C599</f>
        <v>0</v>
      </c>
      <c r="M598" s="3">
        <f>+'libro compras'!D599</f>
        <v>0</v>
      </c>
      <c r="N598" s="9" t="s">
        <v>34</v>
      </c>
    </row>
    <row r="599" spans="1:14" x14ac:dyDescent="0.25">
      <c r="A599" s="11">
        <f t="shared" si="977"/>
        <v>150</v>
      </c>
      <c r="B599" s="43" t="str">
        <f>+'libro compras'!$AL$1</f>
        <v>401110</v>
      </c>
      <c r="C599" s="9" t="s">
        <v>0</v>
      </c>
      <c r="D599" s="9"/>
      <c r="E599" s="14" t="str">
        <f t="shared" ref="E599:E601" si="979">+E598</f>
        <v/>
      </c>
      <c r="F599" s="9"/>
      <c r="G599" s="4">
        <f>+'libro compras'!AJ599</f>
        <v>0</v>
      </c>
      <c r="H599" s="9"/>
      <c r="I599" s="9" t="s">
        <v>33</v>
      </c>
      <c r="J599" s="9" t="str">
        <f t="shared" ref="J599:K599" si="980">+J598</f>
        <v xml:space="preserve"> </v>
      </c>
      <c r="K599" s="7">
        <f t="shared" si="980"/>
        <v>0</v>
      </c>
      <c r="L599" s="3">
        <f t="shared" ref="L599:L601" si="981">+L598</f>
        <v>0</v>
      </c>
      <c r="M599" s="3">
        <f t="shared" ref="M599:M601" si="982">+M598</f>
        <v>0</v>
      </c>
      <c r="N599" s="9" t="s">
        <v>34</v>
      </c>
    </row>
    <row r="600" spans="1:14" x14ac:dyDescent="0.25">
      <c r="A600" s="11">
        <f t="shared" si="977"/>
        <v>150</v>
      </c>
      <c r="B600" s="32">
        <f>+'libro compras'!P599</f>
        <v>0</v>
      </c>
      <c r="C600" s="9" t="s">
        <v>0</v>
      </c>
      <c r="D600" s="9"/>
      <c r="E600" s="14" t="str">
        <f t="shared" si="979"/>
        <v/>
      </c>
      <c r="F600" s="9"/>
      <c r="G600" s="4">
        <f>-'libro compras'!AK599</f>
        <v>0</v>
      </c>
      <c r="H600" s="9"/>
      <c r="I600" s="9" t="s">
        <v>2</v>
      </c>
      <c r="J600" s="9" t="str">
        <f t="shared" ref="J600:K600" si="983">+J599</f>
        <v xml:space="preserve"> </v>
      </c>
      <c r="K600" s="7">
        <f t="shared" si="983"/>
        <v>0</v>
      </c>
      <c r="L600" s="3">
        <f t="shared" si="981"/>
        <v>0</v>
      </c>
      <c r="M600" s="3">
        <f t="shared" si="982"/>
        <v>0</v>
      </c>
      <c r="N600" s="9" t="s">
        <v>34</v>
      </c>
    </row>
    <row r="601" spans="1:14" x14ac:dyDescent="0.25">
      <c r="A601" s="11">
        <f t="shared" si="977"/>
        <v>150</v>
      </c>
      <c r="B601" s="34" t="e">
        <f>+VLOOKUP(B600,Hoja1!$A$1:$B$2,2,FALSE)</f>
        <v>#N/A</v>
      </c>
      <c r="C601" s="9" t="s">
        <v>0</v>
      </c>
      <c r="D601" s="9"/>
      <c r="E601" s="14" t="str">
        <f t="shared" si="979"/>
        <v/>
      </c>
      <c r="F601" s="9"/>
      <c r="G601" s="4">
        <f>-'libro compras'!I599</f>
        <v>0</v>
      </c>
      <c r="H601" s="9"/>
      <c r="I601" s="9" t="s">
        <v>2</v>
      </c>
      <c r="J601" s="9" t="str">
        <f t="shared" ref="J601:K601" si="984">+J600</f>
        <v xml:space="preserve"> </v>
      </c>
      <c r="K601" s="7">
        <f t="shared" si="984"/>
        <v>0</v>
      </c>
      <c r="L601" s="3">
        <f t="shared" si="981"/>
        <v>0</v>
      </c>
      <c r="M601" s="3">
        <f t="shared" si="982"/>
        <v>0</v>
      </c>
      <c r="N601" s="9" t="s">
        <v>34</v>
      </c>
    </row>
    <row r="602" spans="1:14" x14ac:dyDescent="0.25">
      <c r="A602" s="11">
        <f t="shared" si="977"/>
        <v>151</v>
      </c>
      <c r="B602" s="42" t="str">
        <f>+'libro compras'!$AK$1</f>
        <v>281130</v>
      </c>
      <c r="C602" s="9" t="s">
        <v>0</v>
      </c>
      <c r="D602" s="9"/>
      <c r="E602" s="14" t="str">
        <f>+'libro compras'!S603</f>
        <v/>
      </c>
      <c r="F602" s="9"/>
      <c r="G602" s="4">
        <f>+'libro compras'!AI603</f>
        <v>0</v>
      </c>
      <c r="H602" s="9"/>
      <c r="I602" s="9" t="s">
        <v>33</v>
      </c>
      <c r="J602" s="9" t="str">
        <f>+CONCATENATE('libro compras'!C603," ",'libro compras'!D603)</f>
        <v xml:space="preserve"> </v>
      </c>
      <c r="K602" s="7">
        <f t="shared" ref="K602" si="985">+K601</f>
        <v>0</v>
      </c>
      <c r="L602" s="3">
        <f>+'libro compras'!C603</f>
        <v>0</v>
      </c>
      <c r="M602" s="3">
        <f>+'libro compras'!D603</f>
        <v>0</v>
      </c>
      <c r="N602" s="9" t="s">
        <v>34</v>
      </c>
    </row>
    <row r="603" spans="1:14" x14ac:dyDescent="0.25">
      <c r="A603" s="11">
        <f t="shared" si="977"/>
        <v>151</v>
      </c>
      <c r="B603" s="43" t="str">
        <f>+'libro compras'!$AL$1</f>
        <v>401110</v>
      </c>
      <c r="C603" s="9" t="s">
        <v>0</v>
      </c>
      <c r="D603" s="9"/>
      <c r="E603" s="14" t="str">
        <f t="shared" ref="E603:E605" si="986">+E602</f>
        <v/>
      </c>
      <c r="F603" s="9"/>
      <c r="G603" s="4">
        <f>+'libro compras'!AJ603</f>
        <v>0</v>
      </c>
      <c r="H603" s="9"/>
      <c r="I603" s="9" t="s">
        <v>33</v>
      </c>
      <c r="J603" s="9" t="str">
        <f t="shared" ref="J603:K603" si="987">+J602</f>
        <v xml:space="preserve"> </v>
      </c>
      <c r="K603" s="7">
        <f t="shared" si="987"/>
        <v>0</v>
      </c>
      <c r="L603" s="3">
        <f t="shared" ref="L603:L605" si="988">+L602</f>
        <v>0</v>
      </c>
      <c r="M603" s="3">
        <f t="shared" ref="M603:M605" si="989">+M602</f>
        <v>0</v>
      </c>
      <c r="N603" s="9" t="s">
        <v>34</v>
      </c>
    </row>
    <row r="604" spans="1:14" x14ac:dyDescent="0.25">
      <c r="A604" s="11">
        <f t="shared" si="977"/>
        <v>151</v>
      </c>
      <c r="B604" s="32">
        <f>+'libro compras'!P603</f>
        <v>0</v>
      </c>
      <c r="C604" s="9" t="s">
        <v>0</v>
      </c>
      <c r="D604" s="9"/>
      <c r="E604" s="14" t="str">
        <f t="shared" si="986"/>
        <v/>
      </c>
      <c r="F604" s="9"/>
      <c r="G604" s="4">
        <f>-'libro compras'!AK603</f>
        <v>0</v>
      </c>
      <c r="H604" s="9"/>
      <c r="I604" s="9" t="s">
        <v>2</v>
      </c>
      <c r="J604" s="9" t="str">
        <f t="shared" ref="J604:K604" si="990">+J603</f>
        <v xml:space="preserve"> </v>
      </c>
      <c r="K604" s="7">
        <f t="shared" si="990"/>
        <v>0</v>
      </c>
      <c r="L604" s="3">
        <f t="shared" si="988"/>
        <v>0</v>
      </c>
      <c r="M604" s="3">
        <f t="shared" si="989"/>
        <v>0</v>
      </c>
      <c r="N604" s="9" t="s">
        <v>34</v>
      </c>
    </row>
    <row r="605" spans="1:14" x14ac:dyDescent="0.25">
      <c r="A605" s="11">
        <f t="shared" si="977"/>
        <v>151</v>
      </c>
      <c r="B605" s="34" t="e">
        <f>+VLOOKUP(B604,Hoja1!$A$1:$B$2,2,FALSE)</f>
        <v>#N/A</v>
      </c>
      <c r="C605" s="9" t="s">
        <v>0</v>
      </c>
      <c r="D605" s="9"/>
      <c r="E605" s="14" t="str">
        <f t="shared" si="986"/>
        <v/>
      </c>
      <c r="F605" s="9"/>
      <c r="G605" s="4">
        <f>-'libro compras'!I603</f>
        <v>0</v>
      </c>
      <c r="H605" s="9"/>
      <c r="I605" s="9" t="s">
        <v>2</v>
      </c>
      <c r="J605" s="9" t="str">
        <f t="shared" ref="J605:K605" si="991">+J604</f>
        <v xml:space="preserve"> </v>
      </c>
      <c r="K605" s="7">
        <f t="shared" si="991"/>
        <v>0</v>
      </c>
      <c r="L605" s="3">
        <f t="shared" si="988"/>
        <v>0</v>
      </c>
      <c r="M605" s="3">
        <f t="shared" si="989"/>
        <v>0</v>
      </c>
      <c r="N605" s="9" t="s">
        <v>34</v>
      </c>
    </row>
    <row r="606" spans="1:14" x14ac:dyDescent="0.25">
      <c r="A606" s="11">
        <f t="shared" ref="A606" si="992">+A605+1</f>
        <v>152</v>
      </c>
      <c r="B606" s="42" t="str">
        <f>+'libro compras'!$AK$1</f>
        <v>281130</v>
      </c>
      <c r="C606" s="9" t="s">
        <v>0</v>
      </c>
      <c r="D606" s="9"/>
      <c r="E606" s="14" t="str">
        <f>+'libro compras'!S607</f>
        <v/>
      </c>
      <c r="F606" s="9"/>
      <c r="G606" s="4">
        <f>+'libro compras'!AI607</f>
        <v>0</v>
      </c>
      <c r="H606" s="9"/>
      <c r="I606" s="9" t="s">
        <v>33</v>
      </c>
      <c r="J606" s="9" t="str">
        <f>+CONCATENATE('libro compras'!C607," ",'libro compras'!D607)</f>
        <v xml:space="preserve"> </v>
      </c>
      <c r="K606" s="7">
        <f>+'libro compras'!F607</f>
        <v>0</v>
      </c>
      <c r="L606" s="3">
        <f>+'libro compras'!C607</f>
        <v>0</v>
      </c>
      <c r="M606" s="3">
        <f>+'libro compras'!D607</f>
        <v>0</v>
      </c>
      <c r="N606" s="9" t="s">
        <v>34</v>
      </c>
    </row>
    <row r="607" spans="1:14" x14ac:dyDescent="0.25">
      <c r="A607" s="11">
        <f t="shared" ref="A607:A609" si="993">+A606</f>
        <v>152</v>
      </c>
      <c r="B607" s="43" t="str">
        <f>+'libro compras'!$AL$1</f>
        <v>401110</v>
      </c>
      <c r="C607" s="9" t="s">
        <v>0</v>
      </c>
      <c r="D607" s="9"/>
      <c r="E607" s="14" t="str">
        <f t="shared" ref="E607:E609" si="994">+E606</f>
        <v/>
      </c>
      <c r="F607" s="9"/>
      <c r="G607" s="4">
        <f>+'libro compras'!AJ607</f>
        <v>0</v>
      </c>
      <c r="H607" s="9"/>
      <c r="I607" s="9" t="s">
        <v>33</v>
      </c>
      <c r="J607" s="9" t="str">
        <f t="shared" ref="J607:M607" si="995">+J606</f>
        <v xml:space="preserve"> </v>
      </c>
      <c r="K607" s="7">
        <f t="shared" si="995"/>
        <v>0</v>
      </c>
      <c r="L607" s="3">
        <f t="shared" si="995"/>
        <v>0</v>
      </c>
      <c r="M607" s="3">
        <f t="shared" si="995"/>
        <v>0</v>
      </c>
      <c r="N607" s="9" t="s">
        <v>34</v>
      </c>
    </row>
    <row r="608" spans="1:14" x14ac:dyDescent="0.25">
      <c r="A608" s="11">
        <f t="shared" si="993"/>
        <v>152</v>
      </c>
      <c r="B608" s="32">
        <f>+'libro compras'!P607</f>
        <v>0</v>
      </c>
      <c r="C608" s="9" t="s">
        <v>0</v>
      </c>
      <c r="D608" s="9"/>
      <c r="E608" s="14" t="str">
        <f t="shared" si="994"/>
        <v/>
      </c>
      <c r="F608" s="9"/>
      <c r="G608" s="4">
        <f>-'libro compras'!AK607</f>
        <v>0</v>
      </c>
      <c r="H608" s="9"/>
      <c r="I608" s="9" t="s">
        <v>2</v>
      </c>
      <c r="J608" s="9" t="str">
        <f t="shared" ref="J608:M608" si="996">+J607</f>
        <v xml:space="preserve"> </v>
      </c>
      <c r="K608" s="7">
        <f t="shared" si="996"/>
        <v>0</v>
      </c>
      <c r="L608" s="3">
        <f t="shared" si="996"/>
        <v>0</v>
      </c>
      <c r="M608" s="3">
        <f t="shared" si="996"/>
        <v>0</v>
      </c>
      <c r="N608" s="9" t="s">
        <v>34</v>
      </c>
    </row>
    <row r="609" spans="1:14" x14ac:dyDescent="0.25">
      <c r="A609" s="11">
        <f t="shared" si="993"/>
        <v>152</v>
      </c>
      <c r="B609" s="34" t="e">
        <f>+VLOOKUP(B608,Hoja1!$A$1:$B$2,2,FALSE)</f>
        <v>#N/A</v>
      </c>
      <c r="C609" s="9" t="s">
        <v>0</v>
      </c>
      <c r="D609" s="9"/>
      <c r="E609" s="14" t="str">
        <f t="shared" si="994"/>
        <v/>
      </c>
      <c r="F609" s="9"/>
      <c r="G609" s="4">
        <f>-'libro compras'!I607</f>
        <v>0</v>
      </c>
      <c r="H609" s="9"/>
      <c r="I609" s="9" t="s">
        <v>2</v>
      </c>
      <c r="J609" s="9" t="str">
        <f t="shared" ref="J609:M609" si="997">+J608</f>
        <v xml:space="preserve"> </v>
      </c>
      <c r="K609" s="7">
        <f t="shared" si="997"/>
        <v>0</v>
      </c>
      <c r="L609" s="3">
        <f t="shared" si="997"/>
        <v>0</v>
      </c>
      <c r="M609" s="3">
        <f t="shared" si="997"/>
        <v>0</v>
      </c>
      <c r="N609" s="9" t="s">
        <v>34</v>
      </c>
    </row>
    <row r="610" spans="1:14" x14ac:dyDescent="0.25">
      <c r="A610" s="11">
        <f t="shared" si="977"/>
        <v>153</v>
      </c>
      <c r="B610" s="42" t="str">
        <f>+'libro compras'!$AK$1</f>
        <v>281130</v>
      </c>
      <c r="C610" s="9" t="s">
        <v>0</v>
      </c>
      <c r="D610" s="9"/>
      <c r="E610" s="14" t="str">
        <f>+'libro compras'!S611</f>
        <v/>
      </c>
      <c r="F610" s="9"/>
      <c r="G610" s="4">
        <f>+'libro compras'!AI611</f>
        <v>0</v>
      </c>
      <c r="H610" s="9"/>
      <c r="I610" s="9" t="s">
        <v>33</v>
      </c>
      <c r="J610" s="9" t="str">
        <f>+CONCATENATE('libro compras'!C611," ",'libro compras'!D611)</f>
        <v xml:space="preserve"> </v>
      </c>
      <c r="K610" s="7">
        <f t="shared" ref="K610" si="998">+K609</f>
        <v>0</v>
      </c>
      <c r="L610" s="3">
        <f>+'libro compras'!C611</f>
        <v>0</v>
      </c>
      <c r="M610" s="3">
        <f>+'libro compras'!D611</f>
        <v>0</v>
      </c>
      <c r="N610" s="9" t="s">
        <v>34</v>
      </c>
    </row>
    <row r="611" spans="1:14" x14ac:dyDescent="0.25">
      <c r="A611" s="11">
        <f t="shared" si="977"/>
        <v>153</v>
      </c>
      <c r="B611" s="43" t="str">
        <f>+'libro compras'!$AL$1</f>
        <v>401110</v>
      </c>
      <c r="C611" s="9" t="s">
        <v>0</v>
      </c>
      <c r="D611" s="9"/>
      <c r="E611" s="14" t="str">
        <f t="shared" ref="E611:E613" si="999">+E610</f>
        <v/>
      </c>
      <c r="F611" s="9"/>
      <c r="G611" s="4">
        <f>+'libro compras'!AJ611</f>
        <v>0</v>
      </c>
      <c r="H611" s="9"/>
      <c r="I611" s="9" t="s">
        <v>33</v>
      </c>
      <c r="J611" s="9" t="str">
        <f t="shared" ref="J611:K611" si="1000">+J610</f>
        <v xml:space="preserve"> </v>
      </c>
      <c r="K611" s="7">
        <f t="shared" si="1000"/>
        <v>0</v>
      </c>
      <c r="L611" s="3">
        <f t="shared" ref="L611:L613" si="1001">+L610</f>
        <v>0</v>
      </c>
      <c r="M611" s="3">
        <f t="shared" ref="M611:M613" si="1002">+M610</f>
        <v>0</v>
      </c>
      <c r="N611" s="9" t="s">
        <v>34</v>
      </c>
    </row>
    <row r="612" spans="1:14" x14ac:dyDescent="0.25">
      <c r="A612" s="11">
        <f t="shared" si="977"/>
        <v>153</v>
      </c>
      <c r="B612" s="32">
        <f>+'libro compras'!P611</f>
        <v>0</v>
      </c>
      <c r="C612" s="9" t="s">
        <v>0</v>
      </c>
      <c r="D612" s="9"/>
      <c r="E612" s="14" t="str">
        <f t="shared" si="999"/>
        <v/>
      </c>
      <c r="F612" s="9"/>
      <c r="G612" s="4">
        <f>-'libro compras'!AK611</f>
        <v>0</v>
      </c>
      <c r="H612" s="9"/>
      <c r="I612" s="9" t="s">
        <v>2</v>
      </c>
      <c r="J612" s="9" t="str">
        <f t="shared" ref="J612:K612" si="1003">+J611</f>
        <v xml:space="preserve"> </v>
      </c>
      <c r="K612" s="7">
        <f t="shared" si="1003"/>
        <v>0</v>
      </c>
      <c r="L612" s="3">
        <f t="shared" si="1001"/>
        <v>0</v>
      </c>
      <c r="M612" s="3">
        <f t="shared" si="1002"/>
        <v>0</v>
      </c>
      <c r="N612" s="9" t="s">
        <v>34</v>
      </c>
    </row>
    <row r="613" spans="1:14" x14ac:dyDescent="0.25">
      <c r="A613" s="11">
        <f t="shared" si="977"/>
        <v>153</v>
      </c>
      <c r="B613" s="34" t="e">
        <f>+VLOOKUP(B612,Hoja1!$A$1:$B$2,2,FALSE)</f>
        <v>#N/A</v>
      </c>
      <c r="C613" s="9" t="s">
        <v>0</v>
      </c>
      <c r="D613" s="9"/>
      <c r="E613" s="14" t="str">
        <f t="shared" si="999"/>
        <v/>
      </c>
      <c r="F613" s="9"/>
      <c r="G613" s="4">
        <f>-'libro compras'!I611</f>
        <v>0</v>
      </c>
      <c r="H613" s="9"/>
      <c r="I613" s="9" t="s">
        <v>2</v>
      </c>
      <c r="J613" s="9" t="str">
        <f t="shared" ref="J613:K613" si="1004">+J612</f>
        <v xml:space="preserve"> </v>
      </c>
      <c r="K613" s="7">
        <f t="shared" si="1004"/>
        <v>0</v>
      </c>
      <c r="L613" s="3">
        <f t="shared" si="1001"/>
        <v>0</v>
      </c>
      <c r="M613" s="3">
        <f t="shared" si="1002"/>
        <v>0</v>
      </c>
      <c r="N613" s="9" t="s">
        <v>34</v>
      </c>
    </row>
    <row r="614" spans="1:14" x14ac:dyDescent="0.25">
      <c r="A614" s="11">
        <f t="shared" si="977"/>
        <v>154</v>
      </c>
      <c r="B614" s="42" t="str">
        <f>+'libro compras'!$AK$1</f>
        <v>281130</v>
      </c>
      <c r="C614" s="9" t="s">
        <v>0</v>
      </c>
      <c r="D614" s="9"/>
      <c r="E614" s="14" t="str">
        <f>+'libro compras'!S615</f>
        <v/>
      </c>
      <c r="F614" s="9"/>
      <c r="G614" s="4">
        <f>+'libro compras'!AI615</f>
        <v>0</v>
      </c>
      <c r="H614" s="9"/>
      <c r="I614" s="9" t="s">
        <v>33</v>
      </c>
      <c r="J614" s="9" t="str">
        <f>+CONCATENATE('libro compras'!C615," ",'libro compras'!D615)</f>
        <v xml:space="preserve"> </v>
      </c>
      <c r="K614" s="7">
        <f t="shared" ref="K614" si="1005">+K613</f>
        <v>0</v>
      </c>
      <c r="L614" s="3">
        <f>+'libro compras'!C615</f>
        <v>0</v>
      </c>
      <c r="M614" s="3">
        <f>+'libro compras'!D615</f>
        <v>0</v>
      </c>
      <c r="N614" s="9" t="s">
        <v>34</v>
      </c>
    </row>
    <row r="615" spans="1:14" x14ac:dyDescent="0.25">
      <c r="A615" s="11">
        <f t="shared" si="977"/>
        <v>154</v>
      </c>
      <c r="B615" s="43" t="str">
        <f>+'libro compras'!$AL$1</f>
        <v>401110</v>
      </c>
      <c r="C615" s="9" t="s">
        <v>0</v>
      </c>
      <c r="D615" s="9"/>
      <c r="E615" s="14" t="str">
        <f t="shared" ref="E615:E617" si="1006">+E614</f>
        <v/>
      </c>
      <c r="F615" s="9"/>
      <c r="G615" s="4">
        <f>+'libro compras'!AJ615</f>
        <v>0</v>
      </c>
      <c r="H615" s="9"/>
      <c r="I615" s="9" t="s">
        <v>33</v>
      </c>
      <c r="J615" s="9" t="str">
        <f t="shared" ref="J615:K615" si="1007">+J614</f>
        <v xml:space="preserve"> </v>
      </c>
      <c r="K615" s="7">
        <f t="shared" si="1007"/>
        <v>0</v>
      </c>
      <c r="L615" s="3">
        <f t="shared" ref="L615:L617" si="1008">+L614</f>
        <v>0</v>
      </c>
      <c r="M615" s="3">
        <f t="shared" ref="M615:M617" si="1009">+M614</f>
        <v>0</v>
      </c>
      <c r="N615" s="9" t="s">
        <v>34</v>
      </c>
    </row>
    <row r="616" spans="1:14" x14ac:dyDescent="0.25">
      <c r="A616" s="11">
        <f t="shared" si="977"/>
        <v>154</v>
      </c>
      <c r="B616" s="32">
        <f>+'libro compras'!P615</f>
        <v>0</v>
      </c>
      <c r="C616" s="9" t="s">
        <v>0</v>
      </c>
      <c r="D616" s="9"/>
      <c r="E616" s="14" t="str">
        <f t="shared" si="1006"/>
        <v/>
      </c>
      <c r="F616" s="9"/>
      <c r="G616" s="4">
        <f>-'libro compras'!AK615</f>
        <v>0</v>
      </c>
      <c r="H616" s="9"/>
      <c r="I616" s="9" t="s">
        <v>2</v>
      </c>
      <c r="J616" s="9" t="str">
        <f t="shared" ref="J616:K616" si="1010">+J615</f>
        <v xml:space="preserve"> </v>
      </c>
      <c r="K616" s="7">
        <f t="shared" si="1010"/>
        <v>0</v>
      </c>
      <c r="L616" s="3">
        <f t="shared" si="1008"/>
        <v>0</v>
      </c>
      <c r="M616" s="3">
        <f t="shared" si="1009"/>
        <v>0</v>
      </c>
      <c r="N616" s="9" t="s">
        <v>34</v>
      </c>
    </row>
    <row r="617" spans="1:14" x14ac:dyDescent="0.25">
      <c r="A617" s="11">
        <f t="shared" si="977"/>
        <v>154</v>
      </c>
      <c r="B617" s="34" t="e">
        <f>+VLOOKUP(B616,Hoja1!$A$1:$B$2,2,FALSE)</f>
        <v>#N/A</v>
      </c>
      <c r="C617" s="9" t="s">
        <v>0</v>
      </c>
      <c r="D617" s="9"/>
      <c r="E617" s="14" t="str">
        <f t="shared" si="1006"/>
        <v/>
      </c>
      <c r="F617" s="9"/>
      <c r="G617" s="4">
        <f>-'libro compras'!I615</f>
        <v>0</v>
      </c>
      <c r="H617" s="9"/>
      <c r="I617" s="9" t="s">
        <v>2</v>
      </c>
      <c r="J617" s="9" t="str">
        <f t="shared" ref="J617:K617" si="1011">+J616</f>
        <v xml:space="preserve"> </v>
      </c>
      <c r="K617" s="7">
        <f t="shared" si="1011"/>
        <v>0</v>
      </c>
      <c r="L617" s="3">
        <f t="shared" si="1008"/>
        <v>0</v>
      </c>
      <c r="M617" s="3">
        <f t="shared" si="1009"/>
        <v>0</v>
      </c>
      <c r="N617" s="9" t="s">
        <v>34</v>
      </c>
    </row>
    <row r="618" spans="1:14" x14ac:dyDescent="0.25">
      <c r="A618" s="11">
        <f t="shared" ref="A618" si="1012">+A617+1</f>
        <v>155</v>
      </c>
      <c r="B618" s="42" t="str">
        <f>+'libro compras'!$AK$1</f>
        <v>281130</v>
      </c>
      <c r="C618" s="9" t="s">
        <v>0</v>
      </c>
      <c r="D618" s="9"/>
      <c r="E618" s="14" t="str">
        <f>+'libro compras'!S619</f>
        <v/>
      </c>
      <c r="F618" s="9"/>
      <c r="G618" s="4">
        <f>+'libro compras'!AI619</f>
        <v>0</v>
      </c>
      <c r="H618" s="9"/>
      <c r="I618" s="9" t="s">
        <v>33</v>
      </c>
      <c r="J618" s="9" t="str">
        <f>+CONCATENATE('libro compras'!C619," ",'libro compras'!D619)</f>
        <v xml:space="preserve"> </v>
      </c>
      <c r="K618" s="7">
        <f>+'libro compras'!F619</f>
        <v>0</v>
      </c>
      <c r="L618" s="3">
        <f>+'libro compras'!C619</f>
        <v>0</v>
      </c>
      <c r="M618" s="3">
        <f>+'libro compras'!D619</f>
        <v>0</v>
      </c>
      <c r="N618" s="9" t="s">
        <v>34</v>
      </c>
    </row>
    <row r="619" spans="1:14" x14ac:dyDescent="0.25">
      <c r="A619" s="11">
        <f t="shared" ref="A619:A621" si="1013">+A618</f>
        <v>155</v>
      </c>
      <c r="B619" s="43" t="str">
        <f>+'libro compras'!$AL$1</f>
        <v>401110</v>
      </c>
      <c r="C619" s="9" t="s">
        <v>0</v>
      </c>
      <c r="D619" s="9"/>
      <c r="E619" s="14" t="str">
        <f t="shared" ref="E619:E621" si="1014">+E618</f>
        <v/>
      </c>
      <c r="F619" s="9"/>
      <c r="G619" s="4">
        <f>+'libro compras'!AJ619</f>
        <v>0</v>
      </c>
      <c r="H619" s="9"/>
      <c r="I619" s="9" t="s">
        <v>33</v>
      </c>
      <c r="J619" s="9" t="str">
        <f t="shared" ref="J619:M619" si="1015">+J618</f>
        <v xml:space="preserve"> </v>
      </c>
      <c r="K619" s="7">
        <f t="shared" si="1015"/>
        <v>0</v>
      </c>
      <c r="L619" s="3">
        <f t="shared" si="1015"/>
        <v>0</v>
      </c>
      <c r="M619" s="3">
        <f t="shared" si="1015"/>
        <v>0</v>
      </c>
      <c r="N619" s="9" t="s">
        <v>34</v>
      </c>
    </row>
    <row r="620" spans="1:14" x14ac:dyDescent="0.25">
      <c r="A620" s="11">
        <f t="shared" si="1013"/>
        <v>155</v>
      </c>
      <c r="B620" s="32">
        <f>+'libro compras'!P619</f>
        <v>0</v>
      </c>
      <c r="C620" s="9" t="s">
        <v>0</v>
      </c>
      <c r="D620" s="9"/>
      <c r="E620" s="14" t="str">
        <f t="shared" si="1014"/>
        <v/>
      </c>
      <c r="F620" s="9"/>
      <c r="G620" s="4">
        <f>-'libro compras'!AK619</f>
        <v>0</v>
      </c>
      <c r="H620" s="9"/>
      <c r="I620" s="9" t="s">
        <v>2</v>
      </c>
      <c r="J620" s="9" t="str">
        <f t="shared" ref="J620:M620" si="1016">+J619</f>
        <v xml:space="preserve"> </v>
      </c>
      <c r="K620" s="7">
        <f t="shared" si="1016"/>
        <v>0</v>
      </c>
      <c r="L620" s="3">
        <f t="shared" si="1016"/>
        <v>0</v>
      </c>
      <c r="M620" s="3">
        <f t="shared" si="1016"/>
        <v>0</v>
      </c>
      <c r="N620" s="9" t="s">
        <v>34</v>
      </c>
    </row>
    <row r="621" spans="1:14" x14ac:dyDescent="0.25">
      <c r="A621" s="11">
        <f t="shared" si="1013"/>
        <v>155</v>
      </c>
      <c r="B621" s="34" t="e">
        <f>+VLOOKUP(B620,Hoja1!$A$1:$B$2,2,FALSE)</f>
        <v>#N/A</v>
      </c>
      <c r="C621" s="9" t="s">
        <v>0</v>
      </c>
      <c r="D621" s="9"/>
      <c r="E621" s="14" t="str">
        <f t="shared" si="1014"/>
        <v/>
      </c>
      <c r="F621" s="9"/>
      <c r="G621" s="4">
        <f>-'libro compras'!I619</f>
        <v>0</v>
      </c>
      <c r="H621" s="9"/>
      <c r="I621" s="9" t="s">
        <v>2</v>
      </c>
      <c r="J621" s="9" t="str">
        <f t="shared" ref="J621:M621" si="1017">+J620</f>
        <v xml:space="preserve"> </v>
      </c>
      <c r="K621" s="7">
        <f t="shared" si="1017"/>
        <v>0</v>
      </c>
      <c r="L621" s="3">
        <f t="shared" si="1017"/>
        <v>0</v>
      </c>
      <c r="M621" s="3">
        <f t="shared" si="1017"/>
        <v>0</v>
      </c>
      <c r="N621" s="9" t="s">
        <v>34</v>
      </c>
    </row>
    <row r="622" spans="1:14" x14ac:dyDescent="0.25">
      <c r="A622" s="11">
        <f t="shared" si="977"/>
        <v>156</v>
      </c>
      <c r="B622" s="42" t="str">
        <f>+'libro compras'!$AK$1</f>
        <v>281130</v>
      </c>
      <c r="C622" s="9" t="s">
        <v>0</v>
      </c>
      <c r="D622" s="9"/>
      <c r="E622" s="14" t="str">
        <f>+'libro compras'!S623</f>
        <v/>
      </c>
      <c r="F622" s="9"/>
      <c r="G622" s="4">
        <f>+'libro compras'!AI623</f>
        <v>0</v>
      </c>
      <c r="H622" s="9"/>
      <c r="I622" s="9" t="s">
        <v>33</v>
      </c>
      <c r="J622" s="9" t="str">
        <f>+CONCATENATE('libro compras'!C623," ",'libro compras'!D623)</f>
        <v xml:space="preserve"> </v>
      </c>
      <c r="K622" s="7">
        <f t="shared" ref="K622" si="1018">+K621</f>
        <v>0</v>
      </c>
      <c r="L622" s="3">
        <f>+'libro compras'!C623</f>
        <v>0</v>
      </c>
      <c r="M622" s="3">
        <f>+'libro compras'!D623</f>
        <v>0</v>
      </c>
      <c r="N622" s="9" t="s">
        <v>34</v>
      </c>
    </row>
    <row r="623" spans="1:14" x14ac:dyDescent="0.25">
      <c r="A623" s="11">
        <f t="shared" si="977"/>
        <v>156</v>
      </c>
      <c r="B623" s="43" t="str">
        <f>+'libro compras'!$AL$1</f>
        <v>401110</v>
      </c>
      <c r="C623" s="9" t="s">
        <v>0</v>
      </c>
      <c r="D623" s="9"/>
      <c r="E623" s="14" t="str">
        <f t="shared" ref="E623:E625" si="1019">+E622</f>
        <v/>
      </c>
      <c r="F623" s="9"/>
      <c r="G623" s="4">
        <f>+'libro compras'!AJ623</f>
        <v>0</v>
      </c>
      <c r="H623" s="9"/>
      <c r="I623" s="9" t="s">
        <v>33</v>
      </c>
      <c r="J623" s="9" t="str">
        <f t="shared" ref="J623:K623" si="1020">+J622</f>
        <v xml:space="preserve"> </v>
      </c>
      <c r="K623" s="7">
        <f t="shared" si="1020"/>
        <v>0</v>
      </c>
      <c r="L623" s="3">
        <f t="shared" ref="L623:L625" si="1021">+L622</f>
        <v>0</v>
      </c>
      <c r="M623" s="3">
        <f t="shared" ref="M623:M625" si="1022">+M622</f>
        <v>0</v>
      </c>
      <c r="N623" s="9" t="s">
        <v>34</v>
      </c>
    </row>
    <row r="624" spans="1:14" x14ac:dyDescent="0.25">
      <c r="A624" s="11">
        <f t="shared" si="977"/>
        <v>156</v>
      </c>
      <c r="B624" s="32">
        <f>+'libro compras'!P623</f>
        <v>0</v>
      </c>
      <c r="C624" s="9" t="s">
        <v>0</v>
      </c>
      <c r="D624" s="9"/>
      <c r="E624" s="14" t="str">
        <f t="shared" si="1019"/>
        <v/>
      </c>
      <c r="F624" s="9"/>
      <c r="G624" s="4">
        <f>-'libro compras'!AK623</f>
        <v>0</v>
      </c>
      <c r="H624" s="9"/>
      <c r="I624" s="9" t="s">
        <v>2</v>
      </c>
      <c r="J624" s="9" t="str">
        <f t="shared" ref="J624:K624" si="1023">+J623</f>
        <v xml:space="preserve"> </v>
      </c>
      <c r="K624" s="7">
        <f t="shared" si="1023"/>
        <v>0</v>
      </c>
      <c r="L624" s="3">
        <f t="shared" si="1021"/>
        <v>0</v>
      </c>
      <c r="M624" s="3">
        <f t="shared" si="1022"/>
        <v>0</v>
      </c>
      <c r="N624" s="9" t="s">
        <v>34</v>
      </c>
    </row>
    <row r="625" spans="1:14" x14ac:dyDescent="0.25">
      <c r="A625" s="11">
        <f t="shared" si="977"/>
        <v>156</v>
      </c>
      <c r="B625" s="34" t="e">
        <f>+VLOOKUP(B624,Hoja1!$A$1:$B$2,2,FALSE)</f>
        <v>#N/A</v>
      </c>
      <c r="C625" s="9" t="s">
        <v>0</v>
      </c>
      <c r="D625" s="9"/>
      <c r="E625" s="14" t="str">
        <f t="shared" si="1019"/>
        <v/>
      </c>
      <c r="F625" s="9"/>
      <c r="G625" s="4">
        <f>-'libro compras'!I623</f>
        <v>0</v>
      </c>
      <c r="H625" s="9"/>
      <c r="I625" s="9" t="s">
        <v>2</v>
      </c>
      <c r="J625" s="9" t="str">
        <f t="shared" ref="J625:K625" si="1024">+J624</f>
        <v xml:space="preserve"> </v>
      </c>
      <c r="K625" s="7">
        <f t="shared" si="1024"/>
        <v>0</v>
      </c>
      <c r="L625" s="3">
        <f t="shared" si="1021"/>
        <v>0</v>
      </c>
      <c r="M625" s="3">
        <f t="shared" si="1022"/>
        <v>0</v>
      </c>
      <c r="N625" s="9" t="s">
        <v>34</v>
      </c>
    </row>
  </sheetData>
  <autoFilter ref="A1:N625" xr:uid="{28BE7508-02E0-4146-9E1F-8E351D118524}">
    <filterColumn colId="1">
      <filters>
        <filter val="0131"/>
        <filter val="281110"/>
        <filter val="401110"/>
        <filter val="421201"/>
        <filter val="421202"/>
      </filters>
    </filterColumn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4D0B-302B-48FC-AE46-6360FBA8D03C}">
  <dimension ref="A1:A38"/>
  <sheetViews>
    <sheetView workbookViewId="0">
      <pane ySplit="1" topLeftCell="A14" activePane="bottomLeft" state="frozen"/>
      <selection pane="bottomLeft" activeCell="D40" sqref="D40"/>
    </sheetView>
  </sheetViews>
  <sheetFormatPr defaultColWidth="11.5703125" defaultRowHeight="15" x14ac:dyDescent="0.25"/>
  <sheetData>
    <row r="1" spans="1:1" ht="22.5" x14ac:dyDescent="0.25">
      <c r="A1" s="27" t="s">
        <v>20</v>
      </c>
    </row>
    <row r="2" spans="1:1" x14ac:dyDescent="0.25">
      <c r="A2" s="39">
        <v>82025</v>
      </c>
    </row>
    <row r="3" spans="1:1" x14ac:dyDescent="0.25">
      <c r="A3" s="39">
        <v>102025</v>
      </c>
    </row>
    <row r="4" spans="1:1" x14ac:dyDescent="0.25">
      <c r="A4" s="39">
        <v>2025006</v>
      </c>
    </row>
    <row r="5" spans="1:1" x14ac:dyDescent="0.25">
      <c r="A5" s="39">
        <v>2025007</v>
      </c>
    </row>
    <row r="6" spans="1:1" x14ac:dyDescent="0.25">
      <c r="A6" s="39">
        <v>2025021</v>
      </c>
    </row>
    <row r="7" spans="1:1" x14ac:dyDescent="0.25">
      <c r="A7" s="39">
        <v>2025025</v>
      </c>
    </row>
    <row r="8" spans="1:1" x14ac:dyDescent="0.25">
      <c r="A8" s="39">
        <v>2025028</v>
      </c>
    </row>
    <row r="9" spans="1:1" x14ac:dyDescent="0.25">
      <c r="A9" s="39">
        <v>2025031</v>
      </c>
    </row>
    <row r="10" spans="1:1" x14ac:dyDescent="0.25">
      <c r="A10" s="39">
        <v>2025032</v>
      </c>
    </row>
    <row r="11" spans="1:1" x14ac:dyDescent="0.25">
      <c r="A11" s="39">
        <v>2025038</v>
      </c>
    </row>
    <row r="12" spans="1:1" x14ac:dyDescent="0.25">
      <c r="A12" s="39">
        <v>2025041</v>
      </c>
    </row>
    <row r="13" spans="1:1" x14ac:dyDescent="0.25">
      <c r="A13" s="39">
        <v>2025049</v>
      </c>
    </row>
    <row r="14" spans="1:1" x14ac:dyDescent="0.25">
      <c r="A14" s="39">
        <v>2025051</v>
      </c>
    </row>
    <row r="15" spans="1:1" x14ac:dyDescent="0.25">
      <c r="A15" s="39">
        <v>2025052</v>
      </c>
    </row>
    <row r="16" spans="1:1" x14ac:dyDescent="0.25">
      <c r="A16" s="39">
        <v>2025063</v>
      </c>
    </row>
    <row r="17" spans="1:1" x14ac:dyDescent="0.25">
      <c r="A17" s="39">
        <v>2025067</v>
      </c>
    </row>
    <row r="18" spans="1:1" x14ac:dyDescent="0.25">
      <c r="A18" s="39">
        <v>2025070</v>
      </c>
    </row>
    <row r="19" spans="1:1" x14ac:dyDescent="0.25">
      <c r="A19" s="39">
        <v>2025074</v>
      </c>
    </row>
    <row r="20" spans="1:1" x14ac:dyDescent="0.25">
      <c r="A20" s="39">
        <v>2025077</v>
      </c>
    </row>
    <row r="21" spans="1:1" x14ac:dyDescent="0.25">
      <c r="A21" s="39">
        <v>2025078</v>
      </c>
    </row>
    <row r="22" spans="1:1" x14ac:dyDescent="0.25">
      <c r="A22" s="39">
        <v>2025080</v>
      </c>
    </row>
    <row r="23" spans="1:1" x14ac:dyDescent="0.25">
      <c r="A23" s="39">
        <v>2025081</v>
      </c>
    </row>
    <row r="24" spans="1:1" x14ac:dyDescent="0.25">
      <c r="A24" s="39">
        <v>2025088</v>
      </c>
    </row>
    <row r="25" spans="1:1" x14ac:dyDescent="0.25">
      <c r="A25" s="39">
        <v>2025090</v>
      </c>
    </row>
    <row r="26" spans="1:1" x14ac:dyDescent="0.25">
      <c r="A26" s="39">
        <v>2025106</v>
      </c>
    </row>
    <row r="27" spans="1:1" x14ac:dyDescent="0.25">
      <c r="A27" s="39">
        <v>2025118</v>
      </c>
    </row>
    <row r="28" spans="1:1" x14ac:dyDescent="0.25">
      <c r="A28" s="39">
        <v>2025127</v>
      </c>
    </row>
    <row r="29" spans="1:1" x14ac:dyDescent="0.25">
      <c r="A29" s="39">
        <v>2025143</v>
      </c>
    </row>
    <row r="30" spans="1:1" x14ac:dyDescent="0.25">
      <c r="A30" s="39">
        <v>2025176</v>
      </c>
    </row>
    <row r="31" spans="1:1" x14ac:dyDescent="0.25">
      <c r="A31" s="39">
        <v>2025196</v>
      </c>
    </row>
    <row r="32" spans="1:1" x14ac:dyDescent="0.25">
      <c r="A32" s="39">
        <v>2025203</v>
      </c>
    </row>
    <row r="33" spans="1:1" x14ac:dyDescent="0.25">
      <c r="A33" s="39">
        <v>2025303</v>
      </c>
    </row>
    <row r="34" spans="1:1" x14ac:dyDescent="0.25">
      <c r="A34" s="39">
        <v>2025304</v>
      </c>
    </row>
    <row r="35" spans="1:1" x14ac:dyDescent="0.25">
      <c r="A35" s="39">
        <v>2025305</v>
      </c>
    </row>
    <row r="36" spans="1:1" x14ac:dyDescent="0.25">
      <c r="A36" s="39">
        <v>2025330</v>
      </c>
    </row>
    <row r="37" spans="1:1" x14ac:dyDescent="0.25">
      <c r="A37" s="39">
        <v>2025532</v>
      </c>
    </row>
    <row r="38" spans="1:1" x14ac:dyDescent="0.25">
      <c r="A38" s="9"/>
    </row>
  </sheetData>
  <autoFilter ref="A1:A58" xr:uid="{14744D0B-302B-48FC-AE46-6360FBA8D03C}">
    <sortState xmlns:xlrd2="http://schemas.microsoft.com/office/spreadsheetml/2017/richdata2" ref="A2:A58">
      <sortCondition ref="A1:A5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E2F3-8477-44FA-A884-31DFE28D0EAC}">
  <dimension ref="A1:B2"/>
  <sheetViews>
    <sheetView workbookViewId="0">
      <selection activeCell="C28" sqref="C28"/>
    </sheetView>
  </sheetViews>
  <sheetFormatPr defaultColWidth="11.5703125" defaultRowHeight="15" x14ac:dyDescent="0.25"/>
  <sheetData>
    <row r="1" spans="1:2" x14ac:dyDescent="0.25">
      <c r="A1" s="36" t="s">
        <v>6</v>
      </c>
      <c r="B1" s="37" t="s">
        <v>36</v>
      </c>
    </row>
    <row r="2" spans="1:2" x14ac:dyDescent="0.25">
      <c r="A2" s="38" t="s">
        <v>54</v>
      </c>
      <c r="B2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libro compras</vt:lpstr>
      <vt:lpstr>asiento conta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Torrealva</dc:creator>
  <cp:lastModifiedBy>Thiago Farias</cp:lastModifiedBy>
  <dcterms:created xsi:type="dcterms:W3CDTF">2024-08-13T19:39:03Z</dcterms:created>
  <dcterms:modified xsi:type="dcterms:W3CDTF">2026-03-03T17:00:08Z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2024-08-13T19:41:55Z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6b22abc8-38ba-4736-b42d-889b3643dc11</vt:lpwstr>
  </property>
  <property fmtid="{D5CDD505-2E9C-101B-9397-08002B2CF9AE}" pid="8" name="MSIP_Label_477eab6e-04c6-4822-9252-98ab9f25736b_ContentBits">
    <vt:lpwstr>2</vt:lpwstr>
  </property>
</Properties>
</file>