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aThi\Downloads\DUAS 7\"/>
    </mc:Choice>
  </mc:AlternateContent>
  <xr:revisionPtr revIDLastSave="0" documentId="13_ncr:1_{5F5807E6-2EE2-4170-BC95-8D7562241AC2}" xr6:coauthVersionLast="47" xr6:coauthVersionMax="47" xr10:uidLastSave="{00000000-0000-0000-0000-000000000000}"/>
  <bookViews>
    <workbookView xWindow="28680" yWindow="-120" windowWidth="29040" windowHeight="15720" xr2:uid="{4638A901-3F76-4301-A32C-B664CAEC7D5B}"/>
  </bookViews>
  <sheets>
    <sheet name="libro compras" sheetId="1" r:id="rId1"/>
    <sheet name="asiento conta" sheetId="2" r:id="rId2"/>
  </sheets>
  <definedNames>
    <definedName name="_xlnm._FilterDatabase" localSheetId="1" hidden="1">'asiento conta'!$A$1:$N$181</definedName>
    <definedName name="_xlnm._FilterDatabase" localSheetId="0" hidden="1">'libro compras'!$A$1:$A$182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7" i="2" s="1"/>
  <c r="J8" i="2" s="1"/>
  <c r="J9" i="2" s="1"/>
  <c r="J10" i="2"/>
  <c r="J11" i="2" s="1"/>
  <c r="J12" i="2" s="1"/>
  <c r="J13" i="2" s="1"/>
  <c r="J14" i="2"/>
  <c r="J15" i="2" s="1"/>
  <c r="J16" i="2" s="1"/>
  <c r="J17" i="2" s="1"/>
  <c r="J18" i="2"/>
  <c r="J19" i="2" s="1"/>
  <c r="J20" i="2" s="1"/>
  <c r="J21" i="2" s="1"/>
  <c r="J22" i="2"/>
  <c r="J23" i="2" s="1"/>
  <c r="J24" i="2" s="1"/>
  <c r="J25" i="2" s="1"/>
  <c r="J26" i="2"/>
  <c r="J27" i="2" s="1"/>
  <c r="J28" i="2" s="1"/>
  <c r="J29" i="2" s="1"/>
  <c r="J30" i="2"/>
  <c r="J31" i="2" s="1"/>
  <c r="J32" i="2" s="1"/>
  <c r="J33" i="2" s="1"/>
  <c r="J34" i="2"/>
  <c r="J35" i="2" s="1"/>
  <c r="J36" i="2" s="1"/>
  <c r="J37" i="2" s="1"/>
  <c r="J38" i="2"/>
  <c r="J39" i="2" s="1"/>
  <c r="J40" i="2" s="1"/>
  <c r="J41" i="2" s="1"/>
  <c r="J42" i="2"/>
  <c r="J43" i="2" s="1"/>
  <c r="J44" i="2" s="1"/>
  <c r="J45" i="2" s="1"/>
  <c r="J46" i="2"/>
  <c r="J47" i="2" s="1"/>
  <c r="J48" i="2" s="1"/>
  <c r="J49" i="2" s="1"/>
  <c r="J50" i="2"/>
  <c r="J51" i="2" s="1"/>
  <c r="J52" i="2" s="1"/>
  <c r="J53" i="2" s="1"/>
  <c r="J54" i="2"/>
  <c r="J55" i="2" s="1"/>
  <c r="J56" i="2" s="1"/>
  <c r="J57" i="2" s="1"/>
  <c r="J58" i="2"/>
  <c r="J59" i="2" s="1"/>
  <c r="J60" i="2" s="1"/>
  <c r="J61" i="2" s="1"/>
  <c r="J62" i="2"/>
  <c r="J63" i="2" s="1"/>
  <c r="J64" i="2" s="1"/>
  <c r="J65" i="2" s="1"/>
  <c r="J66" i="2"/>
  <c r="J67" i="2" s="1"/>
  <c r="J68" i="2" s="1"/>
  <c r="J69" i="2" s="1"/>
  <c r="J70" i="2"/>
  <c r="J71" i="2" s="1"/>
  <c r="J72" i="2" s="1"/>
  <c r="J73" i="2" s="1"/>
  <c r="J74" i="2"/>
  <c r="J75" i="2" s="1"/>
  <c r="J76" i="2" s="1"/>
  <c r="J77" i="2" s="1"/>
  <c r="J78" i="2"/>
  <c r="J79" i="2" s="1"/>
  <c r="J80" i="2" s="1"/>
  <c r="J81" i="2" s="1"/>
  <c r="J82" i="2"/>
  <c r="J83" i="2" s="1"/>
  <c r="J84" i="2" s="1"/>
  <c r="J85" i="2" s="1"/>
  <c r="J86" i="2"/>
  <c r="J87" i="2"/>
  <c r="J88" i="2"/>
  <c r="J89" i="2" s="1"/>
  <c r="J90" i="2"/>
  <c r="J91" i="2"/>
  <c r="J92" i="2" s="1"/>
  <c r="J93" i="2" s="1"/>
  <c r="J94" i="2"/>
  <c r="J95" i="2" s="1"/>
  <c r="J96" i="2" s="1"/>
  <c r="J97" i="2" s="1"/>
  <c r="J98" i="2"/>
  <c r="J99" i="2" s="1"/>
  <c r="J100" i="2" s="1"/>
  <c r="J101" i="2" s="1"/>
  <c r="J102" i="2"/>
  <c r="J103" i="2" s="1"/>
  <c r="J104" i="2" s="1"/>
  <c r="J105" i="2" s="1"/>
  <c r="J106" i="2"/>
  <c r="J107" i="2" s="1"/>
  <c r="J108" i="2" s="1"/>
  <c r="J109" i="2" s="1"/>
  <c r="J110" i="2"/>
  <c r="J111" i="2" s="1"/>
  <c r="J112" i="2" s="1"/>
  <c r="J113" i="2" s="1"/>
  <c r="J114" i="2"/>
  <c r="J115" i="2" s="1"/>
  <c r="J116" i="2" s="1"/>
  <c r="J117" i="2" s="1"/>
  <c r="J118" i="2"/>
  <c r="J119" i="2" s="1"/>
  <c r="J120" i="2" s="1"/>
  <c r="J121" i="2" s="1"/>
  <c r="J122" i="2"/>
  <c r="J123" i="2" s="1"/>
  <c r="J124" i="2" s="1"/>
  <c r="J125" i="2" s="1"/>
  <c r="J126" i="2"/>
  <c r="J127" i="2" s="1"/>
  <c r="J128" i="2" s="1"/>
  <c r="J129" i="2" s="1"/>
  <c r="J130" i="2"/>
  <c r="J131" i="2" s="1"/>
  <c r="J132" i="2" s="1"/>
  <c r="J133" i="2" s="1"/>
  <c r="J134" i="2"/>
  <c r="J135" i="2" s="1"/>
  <c r="J136" i="2" s="1"/>
  <c r="J137" i="2" s="1"/>
  <c r="J138" i="2"/>
  <c r="J139" i="2" s="1"/>
  <c r="J140" i="2" s="1"/>
  <c r="J141" i="2" s="1"/>
  <c r="J142" i="2"/>
  <c r="J143" i="2" s="1"/>
  <c r="J144" i="2" s="1"/>
  <c r="J145" i="2" s="1"/>
  <c r="J146" i="2"/>
  <c r="J147" i="2" s="1"/>
  <c r="J148" i="2" s="1"/>
  <c r="J149" i="2" s="1"/>
  <c r="J150" i="2"/>
  <c r="J151" i="2" s="1"/>
  <c r="J152" i="2" s="1"/>
  <c r="J153" i="2" s="1"/>
  <c r="J154" i="2"/>
  <c r="J155" i="2"/>
  <c r="J156" i="2" s="1"/>
  <c r="J157" i="2" s="1"/>
  <c r="J158" i="2"/>
  <c r="J159" i="2" s="1"/>
  <c r="J160" i="2" s="1"/>
  <c r="J161" i="2" s="1"/>
  <c r="J162" i="2"/>
  <c r="J163" i="2" s="1"/>
  <c r="J164" i="2" s="1"/>
  <c r="J165" i="2" s="1"/>
  <c r="J166" i="2"/>
  <c r="J167" i="2" s="1"/>
  <c r="J168" i="2" s="1"/>
  <c r="J169" i="2" s="1"/>
  <c r="J170" i="2"/>
  <c r="J171" i="2" s="1"/>
  <c r="J172" i="2" s="1"/>
  <c r="J173" i="2" s="1"/>
  <c r="J174" i="2"/>
  <c r="J175" i="2"/>
  <c r="J176" i="2" s="1"/>
  <c r="J177" i="2" s="1"/>
  <c r="J178" i="2"/>
  <c r="J179" i="2" s="1"/>
  <c r="J180" i="2" s="1"/>
  <c r="J181" i="2" s="1"/>
  <c r="J2" i="2"/>
  <c r="A7" i="2"/>
  <c r="A8" i="2" s="1"/>
  <c r="A9" i="2" s="1"/>
  <c r="A6" i="2"/>
  <c r="A10" i="2" s="1"/>
  <c r="B6" i="2"/>
  <c r="C6" i="2"/>
  <c r="C7" i="2" s="1"/>
  <c r="C8" i="2" s="1"/>
  <c r="C9" i="2" s="1"/>
  <c r="L6" i="2"/>
  <c r="L7" i="2" s="1"/>
  <c r="L8" i="2" s="1"/>
  <c r="L9" i="2" s="1"/>
  <c r="M6" i="2"/>
  <c r="M7" i="2" s="1"/>
  <c r="M8" i="2" s="1"/>
  <c r="M9" i="2" s="1"/>
  <c r="B7" i="2"/>
  <c r="B8" i="2"/>
  <c r="B9" i="2"/>
  <c r="B10" i="2"/>
  <c r="C10" i="2"/>
  <c r="C11" i="2" s="1"/>
  <c r="C12" i="2" s="1"/>
  <c r="C13" i="2" s="1"/>
  <c r="L10" i="2"/>
  <c r="L11" i="2" s="1"/>
  <c r="L12" i="2" s="1"/>
  <c r="L13" i="2" s="1"/>
  <c r="M10" i="2"/>
  <c r="M11" i="2" s="1"/>
  <c r="M12" i="2" s="1"/>
  <c r="M13" i="2" s="1"/>
  <c r="B11" i="2"/>
  <c r="B12" i="2"/>
  <c r="B13" i="2"/>
  <c r="B14" i="2"/>
  <c r="C14" i="2"/>
  <c r="C15" i="2" s="1"/>
  <c r="C16" i="2" s="1"/>
  <c r="C17" i="2" s="1"/>
  <c r="L14" i="2"/>
  <c r="L15" i="2" s="1"/>
  <c r="L16" i="2" s="1"/>
  <c r="L17" i="2" s="1"/>
  <c r="M14" i="2"/>
  <c r="M15" i="2" s="1"/>
  <c r="M16" i="2" s="1"/>
  <c r="M17" i="2" s="1"/>
  <c r="B15" i="2"/>
  <c r="B16" i="2"/>
  <c r="B17" i="2"/>
  <c r="B18" i="2"/>
  <c r="C18" i="2"/>
  <c r="C19" i="2" s="1"/>
  <c r="C20" i="2" s="1"/>
  <c r="C21" i="2" s="1"/>
  <c r="L18" i="2"/>
  <c r="L19" i="2" s="1"/>
  <c r="L20" i="2" s="1"/>
  <c r="L21" i="2" s="1"/>
  <c r="M18" i="2"/>
  <c r="M19" i="2" s="1"/>
  <c r="M20" i="2" s="1"/>
  <c r="M21" i="2" s="1"/>
  <c r="B19" i="2"/>
  <c r="B20" i="2"/>
  <c r="B21" i="2"/>
  <c r="B22" i="2"/>
  <c r="C22" i="2"/>
  <c r="C23" i="2" s="1"/>
  <c r="C24" i="2" s="1"/>
  <c r="C25" i="2" s="1"/>
  <c r="L22" i="2"/>
  <c r="L23" i="2" s="1"/>
  <c r="L24" i="2" s="1"/>
  <c r="L25" i="2" s="1"/>
  <c r="M22" i="2"/>
  <c r="M23" i="2" s="1"/>
  <c r="M24" i="2" s="1"/>
  <c r="M25" i="2" s="1"/>
  <c r="B23" i="2"/>
  <c r="B24" i="2"/>
  <c r="B25" i="2"/>
  <c r="B26" i="2"/>
  <c r="C26" i="2"/>
  <c r="C27" i="2" s="1"/>
  <c r="C28" i="2" s="1"/>
  <c r="C29" i="2" s="1"/>
  <c r="L26" i="2"/>
  <c r="L27" i="2" s="1"/>
  <c r="L28" i="2" s="1"/>
  <c r="L29" i="2" s="1"/>
  <c r="M26" i="2"/>
  <c r="M27" i="2" s="1"/>
  <c r="M28" i="2" s="1"/>
  <c r="M29" i="2" s="1"/>
  <c r="B27" i="2"/>
  <c r="B28" i="2"/>
  <c r="B29" i="2"/>
  <c r="B30" i="2"/>
  <c r="C30" i="2"/>
  <c r="C31" i="2" s="1"/>
  <c r="C32" i="2" s="1"/>
  <c r="C33" i="2" s="1"/>
  <c r="L30" i="2"/>
  <c r="L31" i="2" s="1"/>
  <c r="L32" i="2" s="1"/>
  <c r="L33" i="2" s="1"/>
  <c r="M30" i="2"/>
  <c r="M31" i="2" s="1"/>
  <c r="M32" i="2" s="1"/>
  <c r="M33" i="2" s="1"/>
  <c r="B31" i="2"/>
  <c r="B32" i="2"/>
  <c r="B33" i="2"/>
  <c r="B34" i="2"/>
  <c r="C34" i="2"/>
  <c r="C35" i="2" s="1"/>
  <c r="C36" i="2" s="1"/>
  <c r="C37" i="2" s="1"/>
  <c r="L34" i="2"/>
  <c r="L35" i="2" s="1"/>
  <c r="L36" i="2" s="1"/>
  <c r="L37" i="2" s="1"/>
  <c r="M34" i="2"/>
  <c r="M35" i="2" s="1"/>
  <c r="M36" i="2" s="1"/>
  <c r="M37" i="2" s="1"/>
  <c r="B35" i="2"/>
  <c r="B36" i="2"/>
  <c r="B37" i="2"/>
  <c r="B38" i="2"/>
  <c r="C38" i="2"/>
  <c r="C39" i="2" s="1"/>
  <c r="C40" i="2" s="1"/>
  <c r="C41" i="2" s="1"/>
  <c r="L38" i="2"/>
  <c r="L39" i="2" s="1"/>
  <c r="L40" i="2" s="1"/>
  <c r="L41" i="2" s="1"/>
  <c r="M38" i="2"/>
  <c r="M39" i="2" s="1"/>
  <c r="M40" i="2" s="1"/>
  <c r="M41" i="2" s="1"/>
  <c r="B39" i="2"/>
  <c r="B40" i="2"/>
  <c r="B41" i="2"/>
  <c r="B42" i="2"/>
  <c r="C42" i="2"/>
  <c r="C43" i="2" s="1"/>
  <c r="C44" i="2" s="1"/>
  <c r="C45" i="2" s="1"/>
  <c r="L42" i="2"/>
  <c r="M42" i="2"/>
  <c r="M43" i="2" s="1"/>
  <c r="M44" i="2" s="1"/>
  <c r="M45" i="2" s="1"/>
  <c r="B43" i="2"/>
  <c r="L43" i="2"/>
  <c r="L44" i="2" s="1"/>
  <c r="L45" i="2" s="1"/>
  <c r="B44" i="2"/>
  <c r="B45" i="2"/>
  <c r="B46" i="2"/>
  <c r="C46" i="2"/>
  <c r="L46" i="2"/>
  <c r="L47" i="2" s="1"/>
  <c r="L48" i="2" s="1"/>
  <c r="L49" i="2" s="1"/>
  <c r="M46" i="2"/>
  <c r="B47" i="2"/>
  <c r="C47" i="2"/>
  <c r="C48" i="2" s="1"/>
  <c r="C49" i="2" s="1"/>
  <c r="M47" i="2"/>
  <c r="M48" i="2" s="1"/>
  <c r="M49" i="2" s="1"/>
  <c r="B48" i="2"/>
  <c r="B49" i="2"/>
  <c r="B50" i="2"/>
  <c r="C50" i="2"/>
  <c r="L50" i="2"/>
  <c r="L51" i="2" s="1"/>
  <c r="L52" i="2" s="1"/>
  <c r="L53" i="2" s="1"/>
  <c r="M50" i="2"/>
  <c r="M51" i="2" s="1"/>
  <c r="M52" i="2" s="1"/>
  <c r="M53" i="2" s="1"/>
  <c r="B51" i="2"/>
  <c r="C51" i="2"/>
  <c r="C52" i="2" s="1"/>
  <c r="C53" i="2" s="1"/>
  <c r="B52" i="2"/>
  <c r="B53" i="2"/>
  <c r="B54" i="2"/>
  <c r="C54" i="2"/>
  <c r="C55" i="2" s="1"/>
  <c r="C56" i="2" s="1"/>
  <c r="C57" i="2" s="1"/>
  <c r="L54" i="2"/>
  <c r="L55" i="2" s="1"/>
  <c r="L56" i="2" s="1"/>
  <c r="L57" i="2" s="1"/>
  <c r="M54" i="2"/>
  <c r="M55" i="2" s="1"/>
  <c r="M56" i="2" s="1"/>
  <c r="M57" i="2" s="1"/>
  <c r="B55" i="2"/>
  <c r="B56" i="2"/>
  <c r="B57" i="2"/>
  <c r="B58" i="2"/>
  <c r="C58" i="2"/>
  <c r="L58" i="2"/>
  <c r="M58" i="2"/>
  <c r="M59" i="2" s="1"/>
  <c r="M60" i="2" s="1"/>
  <c r="M61" i="2" s="1"/>
  <c r="B59" i="2"/>
  <c r="C59" i="2"/>
  <c r="C60" i="2" s="1"/>
  <c r="C61" i="2" s="1"/>
  <c r="L59" i="2"/>
  <c r="L60" i="2" s="1"/>
  <c r="L61" i="2" s="1"/>
  <c r="B60" i="2"/>
  <c r="B61" i="2"/>
  <c r="B62" i="2"/>
  <c r="C62" i="2"/>
  <c r="C63" i="2" s="1"/>
  <c r="C64" i="2" s="1"/>
  <c r="C65" i="2" s="1"/>
  <c r="L62" i="2"/>
  <c r="L63" i="2" s="1"/>
  <c r="L64" i="2" s="1"/>
  <c r="L65" i="2" s="1"/>
  <c r="M62" i="2"/>
  <c r="M63" i="2" s="1"/>
  <c r="M64" i="2" s="1"/>
  <c r="M65" i="2" s="1"/>
  <c r="B63" i="2"/>
  <c r="B64" i="2"/>
  <c r="B65" i="2"/>
  <c r="B66" i="2"/>
  <c r="C66" i="2"/>
  <c r="C67" i="2" s="1"/>
  <c r="C68" i="2" s="1"/>
  <c r="C69" i="2" s="1"/>
  <c r="L66" i="2"/>
  <c r="L67" i="2" s="1"/>
  <c r="L68" i="2" s="1"/>
  <c r="L69" i="2" s="1"/>
  <c r="M66" i="2"/>
  <c r="M67" i="2" s="1"/>
  <c r="M68" i="2" s="1"/>
  <c r="M69" i="2" s="1"/>
  <c r="B67" i="2"/>
  <c r="B68" i="2"/>
  <c r="B69" i="2"/>
  <c r="B70" i="2"/>
  <c r="C70" i="2"/>
  <c r="C71" i="2" s="1"/>
  <c r="C72" i="2" s="1"/>
  <c r="C73" i="2" s="1"/>
  <c r="L70" i="2"/>
  <c r="L71" i="2" s="1"/>
  <c r="L72" i="2" s="1"/>
  <c r="L73" i="2" s="1"/>
  <c r="M70" i="2"/>
  <c r="M71" i="2" s="1"/>
  <c r="M72" i="2" s="1"/>
  <c r="M73" i="2" s="1"/>
  <c r="B71" i="2"/>
  <c r="B72" i="2"/>
  <c r="B73" i="2"/>
  <c r="B74" i="2"/>
  <c r="C74" i="2"/>
  <c r="C75" i="2" s="1"/>
  <c r="C76" i="2" s="1"/>
  <c r="C77" i="2" s="1"/>
  <c r="L74" i="2"/>
  <c r="L75" i="2" s="1"/>
  <c r="L76" i="2" s="1"/>
  <c r="L77" i="2" s="1"/>
  <c r="M74" i="2"/>
  <c r="M75" i="2" s="1"/>
  <c r="M76" i="2" s="1"/>
  <c r="M77" i="2" s="1"/>
  <c r="B75" i="2"/>
  <c r="B76" i="2"/>
  <c r="B77" i="2"/>
  <c r="B78" i="2"/>
  <c r="C78" i="2"/>
  <c r="C79" i="2" s="1"/>
  <c r="C80" i="2" s="1"/>
  <c r="C81" i="2" s="1"/>
  <c r="L78" i="2"/>
  <c r="M78" i="2"/>
  <c r="M79" i="2" s="1"/>
  <c r="M80" i="2" s="1"/>
  <c r="M81" i="2" s="1"/>
  <c r="B79" i="2"/>
  <c r="L79" i="2"/>
  <c r="L80" i="2" s="1"/>
  <c r="L81" i="2" s="1"/>
  <c r="B80" i="2"/>
  <c r="B81" i="2"/>
  <c r="B82" i="2"/>
  <c r="C82" i="2"/>
  <c r="C83" i="2" s="1"/>
  <c r="C84" i="2" s="1"/>
  <c r="C85" i="2" s="1"/>
  <c r="L82" i="2"/>
  <c r="L83" i="2" s="1"/>
  <c r="L84" i="2" s="1"/>
  <c r="L85" i="2" s="1"/>
  <c r="M82" i="2"/>
  <c r="M83" i="2" s="1"/>
  <c r="M84" i="2" s="1"/>
  <c r="M85" i="2" s="1"/>
  <c r="B83" i="2"/>
  <c r="B84" i="2"/>
  <c r="B85" i="2"/>
  <c r="B86" i="2"/>
  <c r="C86" i="2"/>
  <c r="C87" i="2" s="1"/>
  <c r="C88" i="2" s="1"/>
  <c r="C89" i="2" s="1"/>
  <c r="L86" i="2"/>
  <c r="L87" i="2" s="1"/>
  <c r="L88" i="2" s="1"/>
  <c r="L89" i="2" s="1"/>
  <c r="M86" i="2"/>
  <c r="M87" i="2" s="1"/>
  <c r="M88" i="2" s="1"/>
  <c r="M89" i="2" s="1"/>
  <c r="B87" i="2"/>
  <c r="B88" i="2"/>
  <c r="B89" i="2"/>
  <c r="B90" i="2"/>
  <c r="C90" i="2"/>
  <c r="C91" i="2" s="1"/>
  <c r="C92" i="2" s="1"/>
  <c r="C93" i="2" s="1"/>
  <c r="L90" i="2"/>
  <c r="L91" i="2" s="1"/>
  <c r="L92" i="2" s="1"/>
  <c r="L93" i="2" s="1"/>
  <c r="M90" i="2"/>
  <c r="M91" i="2" s="1"/>
  <c r="M92" i="2" s="1"/>
  <c r="M93" i="2" s="1"/>
  <c r="B91" i="2"/>
  <c r="B92" i="2"/>
  <c r="B93" i="2"/>
  <c r="B94" i="2"/>
  <c r="C94" i="2"/>
  <c r="C95" i="2" s="1"/>
  <c r="C96" i="2" s="1"/>
  <c r="C97" i="2" s="1"/>
  <c r="L94" i="2"/>
  <c r="L95" i="2" s="1"/>
  <c r="L96" i="2" s="1"/>
  <c r="L97" i="2" s="1"/>
  <c r="M94" i="2"/>
  <c r="M95" i="2" s="1"/>
  <c r="M96" i="2" s="1"/>
  <c r="M97" i="2" s="1"/>
  <c r="B95" i="2"/>
  <c r="B96" i="2"/>
  <c r="B97" i="2"/>
  <c r="B98" i="2"/>
  <c r="C98" i="2"/>
  <c r="C99" i="2" s="1"/>
  <c r="C100" i="2" s="1"/>
  <c r="C101" i="2" s="1"/>
  <c r="L98" i="2"/>
  <c r="L99" i="2" s="1"/>
  <c r="L100" i="2" s="1"/>
  <c r="L101" i="2" s="1"/>
  <c r="M98" i="2"/>
  <c r="M99" i="2" s="1"/>
  <c r="M100" i="2" s="1"/>
  <c r="M101" i="2" s="1"/>
  <c r="B99" i="2"/>
  <c r="B100" i="2"/>
  <c r="B101" i="2"/>
  <c r="B102" i="2"/>
  <c r="C102" i="2"/>
  <c r="C103" i="2" s="1"/>
  <c r="C104" i="2" s="1"/>
  <c r="C105" i="2" s="1"/>
  <c r="L102" i="2"/>
  <c r="L103" i="2" s="1"/>
  <c r="L104" i="2" s="1"/>
  <c r="L105" i="2" s="1"/>
  <c r="M102" i="2"/>
  <c r="M103" i="2" s="1"/>
  <c r="M104" i="2" s="1"/>
  <c r="M105" i="2" s="1"/>
  <c r="B103" i="2"/>
  <c r="B104" i="2"/>
  <c r="B105" i="2"/>
  <c r="B106" i="2"/>
  <c r="C106" i="2"/>
  <c r="L106" i="2"/>
  <c r="L107" i="2" s="1"/>
  <c r="L108" i="2" s="1"/>
  <c r="L109" i="2" s="1"/>
  <c r="M106" i="2"/>
  <c r="M107" i="2" s="1"/>
  <c r="M108" i="2" s="1"/>
  <c r="M109" i="2" s="1"/>
  <c r="B107" i="2"/>
  <c r="C107" i="2"/>
  <c r="C108" i="2" s="1"/>
  <c r="C109" i="2" s="1"/>
  <c r="B108" i="2"/>
  <c r="B109" i="2"/>
  <c r="B110" i="2"/>
  <c r="C110" i="2"/>
  <c r="C111" i="2" s="1"/>
  <c r="C112" i="2" s="1"/>
  <c r="C113" i="2" s="1"/>
  <c r="L110" i="2"/>
  <c r="M110" i="2"/>
  <c r="M111" i="2" s="1"/>
  <c r="M112" i="2" s="1"/>
  <c r="M113" i="2" s="1"/>
  <c r="B111" i="2"/>
  <c r="L111" i="2"/>
  <c r="L112" i="2" s="1"/>
  <c r="L113" i="2" s="1"/>
  <c r="B112" i="2"/>
  <c r="B113" i="2"/>
  <c r="B114" i="2"/>
  <c r="C114" i="2"/>
  <c r="C115" i="2" s="1"/>
  <c r="C116" i="2" s="1"/>
  <c r="C117" i="2" s="1"/>
  <c r="L114" i="2"/>
  <c r="L115" i="2" s="1"/>
  <c r="L116" i="2" s="1"/>
  <c r="L117" i="2" s="1"/>
  <c r="M114" i="2"/>
  <c r="M115" i="2" s="1"/>
  <c r="M116" i="2" s="1"/>
  <c r="M117" i="2" s="1"/>
  <c r="B115" i="2"/>
  <c r="B116" i="2"/>
  <c r="B117" i="2"/>
  <c r="B118" i="2"/>
  <c r="C118" i="2"/>
  <c r="C119" i="2" s="1"/>
  <c r="C120" i="2" s="1"/>
  <c r="C121" i="2" s="1"/>
  <c r="L118" i="2"/>
  <c r="M118" i="2"/>
  <c r="M119" i="2" s="1"/>
  <c r="M120" i="2" s="1"/>
  <c r="M121" i="2" s="1"/>
  <c r="B119" i="2"/>
  <c r="L119" i="2"/>
  <c r="L120" i="2" s="1"/>
  <c r="L121" i="2" s="1"/>
  <c r="B120" i="2"/>
  <c r="B121" i="2"/>
  <c r="B122" i="2"/>
  <c r="C122" i="2"/>
  <c r="C123" i="2" s="1"/>
  <c r="C124" i="2" s="1"/>
  <c r="C125" i="2" s="1"/>
  <c r="L122" i="2"/>
  <c r="M122" i="2"/>
  <c r="M123" i="2" s="1"/>
  <c r="M124" i="2" s="1"/>
  <c r="M125" i="2" s="1"/>
  <c r="B123" i="2"/>
  <c r="L123" i="2"/>
  <c r="L124" i="2" s="1"/>
  <c r="L125" i="2" s="1"/>
  <c r="B124" i="2"/>
  <c r="B125" i="2"/>
  <c r="B126" i="2"/>
  <c r="C126" i="2"/>
  <c r="C127" i="2" s="1"/>
  <c r="C128" i="2" s="1"/>
  <c r="C129" i="2" s="1"/>
  <c r="L126" i="2"/>
  <c r="L127" i="2" s="1"/>
  <c r="L128" i="2" s="1"/>
  <c r="L129" i="2" s="1"/>
  <c r="M126" i="2"/>
  <c r="M127" i="2" s="1"/>
  <c r="M128" i="2" s="1"/>
  <c r="M129" i="2" s="1"/>
  <c r="B127" i="2"/>
  <c r="B128" i="2"/>
  <c r="B129" i="2"/>
  <c r="B130" i="2"/>
  <c r="C130" i="2"/>
  <c r="C131" i="2" s="1"/>
  <c r="C132" i="2" s="1"/>
  <c r="C133" i="2" s="1"/>
  <c r="L130" i="2"/>
  <c r="L131" i="2" s="1"/>
  <c r="L132" i="2" s="1"/>
  <c r="L133" i="2" s="1"/>
  <c r="M130" i="2"/>
  <c r="M131" i="2" s="1"/>
  <c r="M132" i="2" s="1"/>
  <c r="M133" i="2" s="1"/>
  <c r="B131" i="2"/>
  <c r="B132" i="2"/>
  <c r="B133" i="2"/>
  <c r="B134" i="2"/>
  <c r="C134" i="2"/>
  <c r="C135" i="2" s="1"/>
  <c r="C136" i="2" s="1"/>
  <c r="C137" i="2" s="1"/>
  <c r="L134" i="2"/>
  <c r="L135" i="2" s="1"/>
  <c r="L136" i="2" s="1"/>
  <c r="L137" i="2" s="1"/>
  <c r="M134" i="2"/>
  <c r="M135" i="2" s="1"/>
  <c r="M136" i="2" s="1"/>
  <c r="M137" i="2" s="1"/>
  <c r="B135" i="2"/>
  <c r="B136" i="2"/>
  <c r="B137" i="2"/>
  <c r="B138" i="2"/>
  <c r="C138" i="2"/>
  <c r="C139" i="2" s="1"/>
  <c r="C140" i="2" s="1"/>
  <c r="C141" i="2" s="1"/>
  <c r="L138" i="2"/>
  <c r="L139" i="2" s="1"/>
  <c r="L140" i="2" s="1"/>
  <c r="L141" i="2" s="1"/>
  <c r="M138" i="2"/>
  <c r="M139" i="2" s="1"/>
  <c r="M140" i="2" s="1"/>
  <c r="M141" i="2" s="1"/>
  <c r="B139" i="2"/>
  <c r="B140" i="2"/>
  <c r="B141" i="2"/>
  <c r="B142" i="2"/>
  <c r="C142" i="2"/>
  <c r="C143" i="2" s="1"/>
  <c r="C144" i="2" s="1"/>
  <c r="C145" i="2" s="1"/>
  <c r="L142" i="2"/>
  <c r="L143" i="2" s="1"/>
  <c r="L144" i="2" s="1"/>
  <c r="L145" i="2" s="1"/>
  <c r="M142" i="2"/>
  <c r="M143" i="2" s="1"/>
  <c r="M144" i="2" s="1"/>
  <c r="M145" i="2" s="1"/>
  <c r="B143" i="2"/>
  <c r="B144" i="2"/>
  <c r="B145" i="2"/>
  <c r="B146" i="2"/>
  <c r="C146" i="2"/>
  <c r="C147" i="2" s="1"/>
  <c r="C148" i="2" s="1"/>
  <c r="C149" i="2" s="1"/>
  <c r="L146" i="2"/>
  <c r="L147" i="2" s="1"/>
  <c r="L148" i="2" s="1"/>
  <c r="L149" i="2" s="1"/>
  <c r="M146" i="2"/>
  <c r="M147" i="2" s="1"/>
  <c r="M148" i="2" s="1"/>
  <c r="M149" i="2" s="1"/>
  <c r="B147" i="2"/>
  <c r="B148" i="2"/>
  <c r="B149" i="2"/>
  <c r="B150" i="2"/>
  <c r="C150" i="2"/>
  <c r="L150" i="2"/>
  <c r="L151" i="2" s="1"/>
  <c r="L152" i="2" s="1"/>
  <c r="L153" i="2" s="1"/>
  <c r="M150" i="2"/>
  <c r="M151" i="2" s="1"/>
  <c r="M152" i="2" s="1"/>
  <c r="M153" i="2" s="1"/>
  <c r="B151" i="2"/>
  <c r="C151" i="2"/>
  <c r="C152" i="2" s="1"/>
  <c r="C153" i="2" s="1"/>
  <c r="B152" i="2"/>
  <c r="B153" i="2"/>
  <c r="B154" i="2"/>
  <c r="C154" i="2"/>
  <c r="C155" i="2" s="1"/>
  <c r="C156" i="2" s="1"/>
  <c r="C157" i="2" s="1"/>
  <c r="L154" i="2"/>
  <c r="L155" i="2" s="1"/>
  <c r="L156" i="2" s="1"/>
  <c r="L157" i="2" s="1"/>
  <c r="M154" i="2"/>
  <c r="M155" i="2" s="1"/>
  <c r="M156" i="2" s="1"/>
  <c r="M157" i="2" s="1"/>
  <c r="B155" i="2"/>
  <c r="B156" i="2"/>
  <c r="B157" i="2"/>
  <c r="B158" i="2"/>
  <c r="C158" i="2"/>
  <c r="C159" i="2" s="1"/>
  <c r="C160" i="2" s="1"/>
  <c r="C161" i="2" s="1"/>
  <c r="L158" i="2"/>
  <c r="L159" i="2" s="1"/>
  <c r="L160" i="2" s="1"/>
  <c r="L161" i="2" s="1"/>
  <c r="M158" i="2"/>
  <c r="M159" i="2" s="1"/>
  <c r="M160" i="2" s="1"/>
  <c r="M161" i="2" s="1"/>
  <c r="B159" i="2"/>
  <c r="B160" i="2"/>
  <c r="B161" i="2"/>
  <c r="B162" i="2"/>
  <c r="C162" i="2"/>
  <c r="C163" i="2" s="1"/>
  <c r="C164" i="2" s="1"/>
  <c r="C165" i="2" s="1"/>
  <c r="L162" i="2"/>
  <c r="L163" i="2" s="1"/>
  <c r="L164" i="2" s="1"/>
  <c r="L165" i="2" s="1"/>
  <c r="M162" i="2"/>
  <c r="M163" i="2" s="1"/>
  <c r="M164" i="2" s="1"/>
  <c r="M165" i="2" s="1"/>
  <c r="B163" i="2"/>
  <c r="B164" i="2"/>
  <c r="B165" i="2"/>
  <c r="B166" i="2"/>
  <c r="C166" i="2"/>
  <c r="C167" i="2" s="1"/>
  <c r="C168" i="2" s="1"/>
  <c r="C169" i="2" s="1"/>
  <c r="L166" i="2"/>
  <c r="L167" i="2" s="1"/>
  <c r="L168" i="2" s="1"/>
  <c r="L169" i="2" s="1"/>
  <c r="M166" i="2"/>
  <c r="M167" i="2" s="1"/>
  <c r="M168" i="2" s="1"/>
  <c r="M169" i="2" s="1"/>
  <c r="B167" i="2"/>
  <c r="B168" i="2"/>
  <c r="B169" i="2"/>
  <c r="B170" i="2"/>
  <c r="C170" i="2"/>
  <c r="C171" i="2" s="1"/>
  <c r="C172" i="2" s="1"/>
  <c r="C173" i="2" s="1"/>
  <c r="L170" i="2"/>
  <c r="L171" i="2" s="1"/>
  <c r="L172" i="2" s="1"/>
  <c r="L173" i="2" s="1"/>
  <c r="M170" i="2"/>
  <c r="M171" i="2" s="1"/>
  <c r="M172" i="2" s="1"/>
  <c r="M173" i="2" s="1"/>
  <c r="B171" i="2"/>
  <c r="B172" i="2"/>
  <c r="B173" i="2"/>
  <c r="B174" i="2"/>
  <c r="C174" i="2"/>
  <c r="C175" i="2" s="1"/>
  <c r="C176" i="2" s="1"/>
  <c r="C177" i="2" s="1"/>
  <c r="L174" i="2"/>
  <c r="M174" i="2"/>
  <c r="M175" i="2" s="1"/>
  <c r="M176" i="2" s="1"/>
  <c r="M177" i="2" s="1"/>
  <c r="B175" i="2"/>
  <c r="L175" i="2"/>
  <c r="L176" i="2" s="1"/>
  <c r="L177" i="2" s="1"/>
  <c r="B176" i="2"/>
  <c r="B177" i="2"/>
  <c r="B178" i="2"/>
  <c r="C178" i="2"/>
  <c r="C179" i="2" s="1"/>
  <c r="C180" i="2" s="1"/>
  <c r="C181" i="2" s="1"/>
  <c r="L178" i="2"/>
  <c r="L179" i="2" s="1"/>
  <c r="L180" i="2" s="1"/>
  <c r="L181" i="2" s="1"/>
  <c r="M178" i="2"/>
  <c r="M179" i="2" s="1"/>
  <c r="M180" i="2" s="1"/>
  <c r="M181" i="2" s="1"/>
  <c r="B179" i="2"/>
  <c r="B180" i="2"/>
  <c r="B181" i="2"/>
  <c r="AH171" i="1"/>
  <c r="AL171" i="1" s="1"/>
  <c r="I163" i="1"/>
  <c r="G165" i="2" s="1"/>
  <c r="I151" i="1"/>
  <c r="G153" i="2" s="1"/>
  <c r="AB119" i="1"/>
  <c r="AH103" i="1"/>
  <c r="AL103" i="1" s="1"/>
  <c r="AH87" i="1"/>
  <c r="AL87" i="1" s="1"/>
  <c r="I71" i="1"/>
  <c r="G73" i="2" s="1"/>
  <c r="AH55" i="1"/>
  <c r="AL55" i="1" s="1"/>
  <c r="AH31" i="1"/>
  <c r="AL31" i="1" s="1"/>
  <c r="AB23" i="1"/>
  <c r="AG23" i="1" s="1"/>
  <c r="AK23" i="1" s="1"/>
  <c r="AH19" i="1"/>
  <c r="AL19" i="1" s="1"/>
  <c r="AI179" i="1"/>
  <c r="AM179" i="1" s="1"/>
  <c r="G178" i="2" s="1"/>
  <c r="AH179" i="1"/>
  <c r="AL179" i="1" s="1"/>
  <c r="AI175" i="1"/>
  <c r="AM175" i="1" s="1"/>
  <c r="G174" i="2" s="1"/>
  <c r="AH175" i="1"/>
  <c r="AL175" i="1" s="1"/>
  <c r="AI171" i="1"/>
  <c r="AM171" i="1" s="1"/>
  <c r="G170" i="2" s="1"/>
  <c r="AI167" i="1"/>
  <c r="AM167" i="1" s="1"/>
  <c r="G166" i="2" s="1"/>
  <c r="AH167" i="1"/>
  <c r="AL167" i="1" s="1"/>
  <c r="AI163" i="1"/>
  <c r="AM163" i="1" s="1"/>
  <c r="G162" i="2" s="1"/>
  <c r="AH163" i="1"/>
  <c r="AL163" i="1" s="1"/>
  <c r="AI159" i="1"/>
  <c r="AM159" i="1" s="1"/>
  <c r="G158" i="2" s="1"/>
  <c r="AH159" i="1"/>
  <c r="AL159" i="1" s="1"/>
  <c r="AI155" i="1"/>
  <c r="AM155" i="1" s="1"/>
  <c r="G154" i="2" s="1"/>
  <c r="AH155" i="1"/>
  <c r="AL155" i="1" s="1"/>
  <c r="AI151" i="1"/>
  <c r="AM151" i="1" s="1"/>
  <c r="G150" i="2" s="1"/>
  <c r="AI147" i="1"/>
  <c r="AM147" i="1" s="1"/>
  <c r="G146" i="2" s="1"/>
  <c r="AH147" i="1"/>
  <c r="AL147" i="1" s="1"/>
  <c r="AI143" i="1"/>
  <c r="AM143" i="1" s="1"/>
  <c r="G142" i="2" s="1"/>
  <c r="AH143" i="1"/>
  <c r="AL143" i="1" s="1"/>
  <c r="AI139" i="1"/>
  <c r="AM139" i="1" s="1"/>
  <c r="G138" i="2" s="1"/>
  <c r="AH139" i="1"/>
  <c r="AL139" i="1" s="1"/>
  <c r="AI135" i="1"/>
  <c r="AM135" i="1" s="1"/>
  <c r="G134" i="2" s="1"/>
  <c r="AH135" i="1"/>
  <c r="AL135" i="1" s="1"/>
  <c r="AI131" i="1"/>
  <c r="AM131" i="1" s="1"/>
  <c r="G130" i="2" s="1"/>
  <c r="AH131" i="1"/>
  <c r="AL131" i="1" s="1"/>
  <c r="AI127" i="1"/>
  <c r="AM127" i="1" s="1"/>
  <c r="G126" i="2" s="1"/>
  <c r="AH127" i="1"/>
  <c r="AL127" i="1" s="1"/>
  <c r="L127" i="1" s="1"/>
  <c r="G127" i="2" s="1"/>
  <c r="AI123" i="1"/>
  <c r="AM123" i="1" s="1"/>
  <c r="G122" i="2" s="1"/>
  <c r="AH123" i="1"/>
  <c r="AL123" i="1" s="1"/>
  <c r="AI119" i="1"/>
  <c r="AM119" i="1" s="1"/>
  <c r="G118" i="2" s="1"/>
  <c r="AI115" i="1"/>
  <c r="AM115" i="1" s="1"/>
  <c r="G114" i="2" s="1"/>
  <c r="AH115" i="1"/>
  <c r="AL115" i="1" s="1"/>
  <c r="AI111" i="1"/>
  <c r="AM111" i="1" s="1"/>
  <c r="G110" i="2" s="1"/>
  <c r="AH111" i="1"/>
  <c r="AL111" i="1" s="1"/>
  <c r="AI107" i="1"/>
  <c r="AM107" i="1" s="1"/>
  <c r="G106" i="2" s="1"/>
  <c r="AH107" i="1"/>
  <c r="AL107" i="1" s="1"/>
  <c r="AI103" i="1"/>
  <c r="AM103" i="1" s="1"/>
  <c r="G102" i="2" s="1"/>
  <c r="AI99" i="1"/>
  <c r="AM99" i="1" s="1"/>
  <c r="G98" i="2" s="1"/>
  <c r="AH99" i="1"/>
  <c r="AL99" i="1" s="1"/>
  <c r="AI95" i="1"/>
  <c r="AM95" i="1" s="1"/>
  <c r="G94" i="2" s="1"/>
  <c r="AH95" i="1"/>
  <c r="AL95" i="1" s="1"/>
  <c r="AI91" i="1"/>
  <c r="AM91" i="1" s="1"/>
  <c r="G90" i="2" s="1"/>
  <c r="AH91" i="1"/>
  <c r="AL91" i="1" s="1"/>
  <c r="AI87" i="1"/>
  <c r="AM87" i="1" s="1"/>
  <c r="G86" i="2" s="1"/>
  <c r="AI83" i="1"/>
  <c r="AM83" i="1" s="1"/>
  <c r="G82" i="2" s="1"/>
  <c r="AH83" i="1"/>
  <c r="AL83" i="1" s="1"/>
  <c r="AI79" i="1"/>
  <c r="AM79" i="1" s="1"/>
  <c r="G78" i="2" s="1"/>
  <c r="AH79" i="1"/>
  <c r="AL79" i="1" s="1"/>
  <c r="AI75" i="1"/>
  <c r="AM75" i="1" s="1"/>
  <c r="G74" i="2" s="1"/>
  <c r="AH75" i="1"/>
  <c r="AL75" i="1" s="1"/>
  <c r="AI71" i="1"/>
  <c r="AM71" i="1" s="1"/>
  <c r="G70" i="2" s="1"/>
  <c r="AI67" i="1"/>
  <c r="AM67" i="1" s="1"/>
  <c r="G66" i="2" s="1"/>
  <c r="AH67" i="1"/>
  <c r="AL67" i="1" s="1"/>
  <c r="AI63" i="1"/>
  <c r="AM63" i="1" s="1"/>
  <c r="G62" i="2" s="1"/>
  <c r="AH63" i="1"/>
  <c r="AL63" i="1" s="1"/>
  <c r="AI59" i="1"/>
  <c r="AM59" i="1" s="1"/>
  <c r="G58" i="2" s="1"/>
  <c r="AH59" i="1"/>
  <c r="AL59" i="1" s="1"/>
  <c r="AI55" i="1"/>
  <c r="AM55" i="1" s="1"/>
  <c r="G54" i="2" s="1"/>
  <c r="AI51" i="1"/>
  <c r="AM51" i="1" s="1"/>
  <c r="G50" i="2" s="1"/>
  <c r="AH51" i="1"/>
  <c r="AL51" i="1" s="1"/>
  <c r="AI47" i="1"/>
  <c r="AM47" i="1" s="1"/>
  <c r="G46" i="2" s="1"/>
  <c r="AH47" i="1"/>
  <c r="AL47" i="1" s="1"/>
  <c r="AI43" i="1"/>
  <c r="AM43" i="1" s="1"/>
  <c r="G42" i="2" s="1"/>
  <c r="AH43" i="1"/>
  <c r="AL43" i="1" s="1"/>
  <c r="AI39" i="1"/>
  <c r="AM39" i="1" s="1"/>
  <c r="G38" i="2" s="1"/>
  <c r="AH39" i="1"/>
  <c r="AL39" i="1" s="1"/>
  <c r="AI35" i="1"/>
  <c r="AM35" i="1" s="1"/>
  <c r="G34" i="2" s="1"/>
  <c r="AH35" i="1"/>
  <c r="AL35" i="1" s="1"/>
  <c r="AI31" i="1"/>
  <c r="AM31" i="1" s="1"/>
  <c r="G30" i="2" s="1"/>
  <c r="AI27" i="1"/>
  <c r="AM27" i="1" s="1"/>
  <c r="G26" i="2" s="1"/>
  <c r="AH27" i="1"/>
  <c r="AL27" i="1" s="1"/>
  <c r="AI23" i="1"/>
  <c r="AM23" i="1" s="1"/>
  <c r="G22" i="2" s="1"/>
  <c r="AI19" i="1"/>
  <c r="AM19" i="1" s="1"/>
  <c r="G18" i="2" s="1"/>
  <c r="AI15" i="1"/>
  <c r="AM15" i="1" s="1"/>
  <c r="G14" i="2" s="1"/>
  <c r="AH15" i="1"/>
  <c r="AL15" i="1" s="1"/>
  <c r="AI11" i="1"/>
  <c r="AM11" i="1" s="1"/>
  <c r="G10" i="2" s="1"/>
  <c r="AH11" i="1"/>
  <c r="AL11" i="1" s="1"/>
  <c r="AI7" i="1"/>
  <c r="AM7" i="1" s="1"/>
  <c r="G6" i="2" s="1"/>
  <c r="AH7" i="1"/>
  <c r="AL7" i="1" s="1"/>
  <c r="G179" i="1"/>
  <c r="G175" i="1"/>
  <c r="G171" i="1"/>
  <c r="G167" i="1"/>
  <c r="G163" i="1"/>
  <c r="G159" i="1"/>
  <c r="G155" i="1"/>
  <c r="G151" i="1"/>
  <c r="G147" i="1"/>
  <c r="G143" i="1"/>
  <c r="G139" i="1"/>
  <c r="G135" i="1"/>
  <c r="G131" i="1"/>
  <c r="G127" i="1"/>
  <c r="G123" i="1"/>
  <c r="G119" i="1"/>
  <c r="G115" i="1"/>
  <c r="G111" i="1"/>
  <c r="G107" i="1"/>
  <c r="G103" i="1"/>
  <c r="G99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G27" i="1"/>
  <c r="G23" i="1"/>
  <c r="G19" i="1"/>
  <c r="G15" i="1"/>
  <c r="G11" i="1"/>
  <c r="G7" i="1"/>
  <c r="G3" i="1"/>
  <c r="K14" i="2"/>
  <c r="K15" i="2" s="1"/>
  <c r="K16" i="2" s="1"/>
  <c r="K17" i="2" s="1"/>
  <c r="K107" i="1"/>
  <c r="S107" i="1"/>
  <c r="E106" i="2" s="1"/>
  <c r="E107" i="2" s="1"/>
  <c r="E108" i="2" s="1"/>
  <c r="E109" i="2" s="1"/>
  <c r="AB107" i="1"/>
  <c r="AG107" i="1" s="1"/>
  <c r="AK107" i="1" s="1"/>
  <c r="I111" i="1"/>
  <c r="G113" i="2" s="1"/>
  <c r="K111" i="1"/>
  <c r="S111" i="1"/>
  <c r="E110" i="2" s="1"/>
  <c r="E111" i="2" s="1"/>
  <c r="E112" i="2" s="1"/>
  <c r="E113" i="2" s="1"/>
  <c r="AB111" i="1"/>
  <c r="AG111" i="1" s="1"/>
  <c r="AK111" i="1" s="1"/>
  <c r="K115" i="1"/>
  <c r="S115" i="1"/>
  <c r="E114" i="2" s="1"/>
  <c r="E115" i="2" s="1"/>
  <c r="E116" i="2" s="1"/>
  <c r="E117" i="2" s="1"/>
  <c r="K119" i="1"/>
  <c r="S119" i="1"/>
  <c r="E118" i="2" s="1"/>
  <c r="E119" i="2" s="1"/>
  <c r="E120" i="2" s="1"/>
  <c r="E121" i="2" s="1"/>
  <c r="K123" i="1"/>
  <c r="S123" i="1"/>
  <c r="E122" i="2" s="1"/>
  <c r="E123" i="2" s="1"/>
  <c r="E124" i="2" s="1"/>
  <c r="E125" i="2" s="1"/>
  <c r="AB123" i="1"/>
  <c r="AG123" i="1" s="1"/>
  <c r="AK123" i="1" s="1"/>
  <c r="I127" i="1"/>
  <c r="G129" i="2" s="1"/>
  <c r="K127" i="1"/>
  <c r="S127" i="1"/>
  <c r="E126" i="2" s="1"/>
  <c r="E127" i="2" s="1"/>
  <c r="E128" i="2" s="1"/>
  <c r="E129" i="2" s="1"/>
  <c r="AB127" i="1"/>
  <c r="AG127" i="1" s="1"/>
  <c r="AK127" i="1" s="1"/>
  <c r="K131" i="1"/>
  <c r="S131" i="1"/>
  <c r="E130" i="2" s="1"/>
  <c r="E131" i="2" s="1"/>
  <c r="E132" i="2" s="1"/>
  <c r="E133" i="2" s="1"/>
  <c r="AB131" i="1"/>
  <c r="AG131" i="1" s="1"/>
  <c r="AK131" i="1" s="1"/>
  <c r="I135" i="1"/>
  <c r="G137" i="2" s="1"/>
  <c r="K135" i="1"/>
  <c r="S135" i="1"/>
  <c r="E134" i="2" s="1"/>
  <c r="E135" i="2" s="1"/>
  <c r="E136" i="2" s="1"/>
  <c r="E137" i="2" s="1"/>
  <c r="AB135" i="1"/>
  <c r="AE135" i="1" s="1"/>
  <c r="AJ135" i="1" s="1"/>
  <c r="AN135" i="1" s="1"/>
  <c r="K139" i="1"/>
  <c r="S139" i="1"/>
  <c r="E138" i="2" s="1"/>
  <c r="E139" i="2" s="1"/>
  <c r="E140" i="2" s="1"/>
  <c r="E141" i="2" s="1"/>
  <c r="AB139" i="1"/>
  <c r="AG139" i="1" s="1"/>
  <c r="AK139" i="1" s="1"/>
  <c r="I143" i="1"/>
  <c r="G145" i="2" s="1"/>
  <c r="K143" i="1"/>
  <c r="S143" i="1"/>
  <c r="E142" i="2" s="1"/>
  <c r="E143" i="2" s="1"/>
  <c r="E144" i="2" s="1"/>
  <c r="E145" i="2" s="1"/>
  <c r="AB143" i="1"/>
  <c r="AG143" i="1" s="1"/>
  <c r="AK143" i="1" s="1"/>
  <c r="K147" i="1"/>
  <c r="S147" i="1"/>
  <c r="E146" i="2" s="1"/>
  <c r="E147" i="2" s="1"/>
  <c r="E148" i="2" s="1"/>
  <c r="E149" i="2" s="1"/>
  <c r="I147" i="1"/>
  <c r="G149" i="2" s="1"/>
  <c r="K151" i="1"/>
  <c r="S151" i="1"/>
  <c r="E150" i="2" s="1"/>
  <c r="E151" i="2" s="1"/>
  <c r="E152" i="2" s="1"/>
  <c r="E153" i="2" s="1"/>
  <c r="K155" i="1"/>
  <c r="S155" i="1"/>
  <c r="E154" i="2" s="1"/>
  <c r="E155" i="2" s="1"/>
  <c r="E156" i="2" s="1"/>
  <c r="E157" i="2" s="1"/>
  <c r="I159" i="1"/>
  <c r="G161" i="2" s="1"/>
  <c r="K159" i="1"/>
  <c r="S159" i="1"/>
  <c r="E158" i="2" s="1"/>
  <c r="E159" i="2" s="1"/>
  <c r="E160" i="2" s="1"/>
  <c r="E161" i="2" s="1"/>
  <c r="AB159" i="1"/>
  <c r="AE159" i="1" s="1"/>
  <c r="AJ159" i="1" s="1"/>
  <c r="AN159" i="1" s="1"/>
  <c r="K163" i="1"/>
  <c r="S163" i="1"/>
  <c r="E162" i="2" s="1"/>
  <c r="E163" i="2" s="1"/>
  <c r="E164" i="2" s="1"/>
  <c r="E165" i="2" s="1"/>
  <c r="I167" i="1"/>
  <c r="G169" i="2" s="1"/>
  <c r="K167" i="1"/>
  <c r="S167" i="1"/>
  <c r="E166" i="2" s="1"/>
  <c r="E167" i="2" s="1"/>
  <c r="E168" i="2" s="1"/>
  <c r="E169" i="2" s="1"/>
  <c r="AB167" i="1"/>
  <c r="AE167" i="1" s="1"/>
  <c r="AJ167" i="1" s="1"/>
  <c r="AN167" i="1" s="1"/>
  <c r="K171" i="1"/>
  <c r="S171" i="1"/>
  <c r="E170" i="2" s="1"/>
  <c r="E171" i="2" s="1"/>
  <c r="E172" i="2" s="1"/>
  <c r="E173" i="2" s="1"/>
  <c r="AB171" i="1"/>
  <c r="AG171" i="1" s="1"/>
  <c r="AK171" i="1" s="1"/>
  <c r="I175" i="1"/>
  <c r="G177" i="2" s="1"/>
  <c r="K175" i="1"/>
  <c r="S175" i="1"/>
  <c r="E174" i="2" s="1"/>
  <c r="E175" i="2" s="1"/>
  <c r="E176" i="2" s="1"/>
  <c r="E177" i="2" s="1"/>
  <c r="AB175" i="1"/>
  <c r="AG175" i="1" s="1"/>
  <c r="AK175" i="1" s="1"/>
  <c r="K179" i="1"/>
  <c r="S179" i="1"/>
  <c r="E178" i="2" s="1"/>
  <c r="E179" i="2" s="1"/>
  <c r="E180" i="2" s="1"/>
  <c r="E181" i="2" s="1"/>
  <c r="I179" i="1"/>
  <c r="G181" i="2" s="1"/>
  <c r="I99" i="1"/>
  <c r="G101" i="2" s="1"/>
  <c r="AB27" i="1"/>
  <c r="AG27" i="1" s="1"/>
  <c r="AK27" i="1" s="1"/>
  <c r="I63" i="1"/>
  <c r="G65" i="2" s="1"/>
  <c r="AB7" i="1"/>
  <c r="AE7" i="1" s="1"/>
  <c r="AJ7" i="1" s="1"/>
  <c r="AN7" i="1" s="1"/>
  <c r="AB3" i="1"/>
  <c r="AE3" i="1" s="1"/>
  <c r="Z3" i="1"/>
  <c r="K23" i="1"/>
  <c r="S23" i="1"/>
  <c r="E22" i="2" s="1"/>
  <c r="E23" i="2" s="1"/>
  <c r="E24" i="2" s="1"/>
  <c r="E25" i="2" s="1"/>
  <c r="K27" i="1"/>
  <c r="S27" i="1"/>
  <c r="E26" i="2" s="1"/>
  <c r="E27" i="2" s="1"/>
  <c r="E28" i="2" s="1"/>
  <c r="E29" i="2" s="1"/>
  <c r="K31" i="1"/>
  <c r="S31" i="1"/>
  <c r="E30" i="2" s="1"/>
  <c r="E31" i="2" s="1"/>
  <c r="E32" i="2" s="1"/>
  <c r="E33" i="2" s="1"/>
  <c r="K35" i="1"/>
  <c r="S35" i="1"/>
  <c r="E34" i="2" s="1"/>
  <c r="E35" i="2" s="1"/>
  <c r="E36" i="2" s="1"/>
  <c r="E37" i="2" s="1"/>
  <c r="K39" i="1"/>
  <c r="S39" i="1"/>
  <c r="E38" i="2" s="1"/>
  <c r="E39" i="2" s="1"/>
  <c r="E40" i="2" s="1"/>
  <c r="E41" i="2" s="1"/>
  <c r="AB39" i="1"/>
  <c r="AE39" i="1" s="1"/>
  <c r="AJ39" i="1" s="1"/>
  <c r="AN39" i="1" s="1"/>
  <c r="I39" i="1"/>
  <c r="G41" i="2" s="1"/>
  <c r="K43" i="1"/>
  <c r="S43" i="1"/>
  <c r="E42" i="2" s="1"/>
  <c r="E43" i="2" s="1"/>
  <c r="E44" i="2" s="1"/>
  <c r="E45" i="2" s="1"/>
  <c r="I47" i="1"/>
  <c r="G49" i="2" s="1"/>
  <c r="K47" i="1"/>
  <c r="S47" i="1"/>
  <c r="E46" i="2" s="1"/>
  <c r="E47" i="2" s="1"/>
  <c r="E48" i="2" s="1"/>
  <c r="E49" i="2" s="1"/>
  <c r="K51" i="1"/>
  <c r="S51" i="1"/>
  <c r="E50" i="2" s="1"/>
  <c r="E51" i="2" s="1"/>
  <c r="E52" i="2" s="1"/>
  <c r="E53" i="2" s="1"/>
  <c r="AB51" i="1"/>
  <c r="AE51" i="1" s="1"/>
  <c r="AJ51" i="1" s="1"/>
  <c r="AN51" i="1" s="1"/>
  <c r="K55" i="1"/>
  <c r="S55" i="1"/>
  <c r="E54" i="2" s="1"/>
  <c r="E55" i="2" s="1"/>
  <c r="E56" i="2" s="1"/>
  <c r="E57" i="2" s="1"/>
  <c r="K59" i="1"/>
  <c r="S59" i="1"/>
  <c r="E58" i="2" s="1"/>
  <c r="E59" i="2" s="1"/>
  <c r="E60" i="2" s="1"/>
  <c r="E61" i="2" s="1"/>
  <c r="AB59" i="1"/>
  <c r="AE59" i="1" s="1"/>
  <c r="AJ59" i="1" s="1"/>
  <c r="AN59" i="1" s="1"/>
  <c r="I59" i="1"/>
  <c r="G61" i="2" s="1"/>
  <c r="K63" i="1"/>
  <c r="S63" i="1"/>
  <c r="E62" i="2" s="1"/>
  <c r="E63" i="2" s="1"/>
  <c r="E64" i="2" s="1"/>
  <c r="E65" i="2" s="1"/>
  <c r="K67" i="1"/>
  <c r="S67" i="1"/>
  <c r="E66" i="2" s="1"/>
  <c r="E67" i="2" s="1"/>
  <c r="E68" i="2" s="1"/>
  <c r="E69" i="2" s="1"/>
  <c r="AB67" i="1"/>
  <c r="AG67" i="1" s="1"/>
  <c r="AK67" i="1" s="1"/>
  <c r="K71" i="1"/>
  <c r="S71" i="1"/>
  <c r="E70" i="2" s="1"/>
  <c r="E71" i="2" s="1"/>
  <c r="E72" i="2" s="1"/>
  <c r="E73" i="2" s="1"/>
  <c r="K75" i="1"/>
  <c r="S75" i="1"/>
  <c r="E74" i="2" s="1"/>
  <c r="E75" i="2" s="1"/>
  <c r="E76" i="2" s="1"/>
  <c r="E77" i="2" s="1"/>
  <c r="I75" i="1"/>
  <c r="G77" i="2" s="1"/>
  <c r="K79" i="1"/>
  <c r="S79" i="1"/>
  <c r="E78" i="2" s="1"/>
  <c r="E79" i="2" s="1"/>
  <c r="E80" i="2" s="1"/>
  <c r="E81" i="2" s="1"/>
  <c r="K83" i="1"/>
  <c r="S83" i="1"/>
  <c r="E82" i="2" s="1"/>
  <c r="E83" i="2" s="1"/>
  <c r="E84" i="2" s="1"/>
  <c r="E85" i="2" s="1"/>
  <c r="K87" i="1"/>
  <c r="S87" i="1"/>
  <c r="E86" i="2" s="1"/>
  <c r="E87" i="2" s="1"/>
  <c r="E88" i="2" s="1"/>
  <c r="E89" i="2" s="1"/>
  <c r="K91" i="1"/>
  <c r="S91" i="1"/>
  <c r="E90" i="2" s="1"/>
  <c r="E91" i="2" s="1"/>
  <c r="E92" i="2" s="1"/>
  <c r="E93" i="2" s="1"/>
  <c r="AB91" i="1"/>
  <c r="AE91" i="1" s="1"/>
  <c r="AJ91" i="1" s="1"/>
  <c r="AN91" i="1" s="1"/>
  <c r="I91" i="1"/>
  <c r="G93" i="2" s="1"/>
  <c r="K95" i="1"/>
  <c r="S95" i="1"/>
  <c r="E94" i="2" s="1"/>
  <c r="E95" i="2" s="1"/>
  <c r="E96" i="2" s="1"/>
  <c r="E97" i="2" s="1"/>
  <c r="K99" i="1"/>
  <c r="S99" i="1"/>
  <c r="E98" i="2" s="1"/>
  <c r="E99" i="2" s="1"/>
  <c r="E100" i="2" s="1"/>
  <c r="E101" i="2" s="1"/>
  <c r="K103" i="1"/>
  <c r="S103" i="1"/>
  <c r="E102" i="2" s="1"/>
  <c r="E103" i="2" s="1"/>
  <c r="E104" i="2" s="1"/>
  <c r="E105" i="2" s="1"/>
  <c r="I103" i="1"/>
  <c r="G105" i="2" s="1"/>
  <c r="K19" i="1"/>
  <c r="S19" i="1"/>
  <c r="E18" i="2" s="1"/>
  <c r="E19" i="2" s="1"/>
  <c r="E20" i="2" s="1"/>
  <c r="E21" i="2" s="1"/>
  <c r="K15" i="1"/>
  <c r="S15" i="1"/>
  <c r="E14" i="2" s="1"/>
  <c r="E15" i="2" s="1"/>
  <c r="E16" i="2" s="1"/>
  <c r="E17" i="2" s="1"/>
  <c r="B5" i="2"/>
  <c r="B4" i="2"/>
  <c r="I11" i="1"/>
  <c r="G13" i="2" s="1"/>
  <c r="I3" i="1"/>
  <c r="G5" i="2" s="1"/>
  <c r="AI3" i="1"/>
  <c r="AM3" i="1" s="1"/>
  <c r="G2" i="2" s="1"/>
  <c r="K10" i="2" l="1"/>
  <c r="K11" i="2" s="1"/>
  <c r="K12" i="2" s="1"/>
  <c r="K13" i="2" s="1"/>
  <c r="K6" i="2"/>
  <c r="K7" i="2" s="1"/>
  <c r="K8" i="2" s="1"/>
  <c r="K9" i="2" s="1"/>
  <c r="A11" i="2"/>
  <c r="A12" i="2" s="1"/>
  <c r="A13" i="2" s="1"/>
  <c r="A14" i="2"/>
  <c r="AH23" i="1"/>
  <c r="AL23" i="1" s="1"/>
  <c r="L23" i="1" s="1"/>
  <c r="G23" i="2" s="1"/>
  <c r="I55" i="1"/>
  <c r="G57" i="2" s="1"/>
  <c r="AB151" i="1"/>
  <c r="AE151" i="1" s="1"/>
  <c r="AJ151" i="1" s="1"/>
  <c r="AN151" i="1" s="1"/>
  <c r="AH151" i="1"/>
  <c r="AL151" i="1" s="1"/>
  <c r="L151" i="1" s="1"/>
  <c r="G151" i="2" s="1"/>
  <c r="AG167" i="1"/>
  <c r="AK167" i="1" s="1"/>
  <c r="W167" i="1" s="1"/>
  <c r="AG7" i="1"/>
  <c r="AK7" i="1" s="1"/>
  <c r="AO7" i="1" s="1"/>
  <c r="AG159" i="1"/>
  <c r="AK159" i="1" s="1"/>
  <c r="AO159" i="1" s="1"/>
  <c r="AG135" i="1"/>
  <c r="AK135" i="1" s="1"/>
  <c r="AO135" i="1" s="1"/>
  <c r="AE119" i="1"/>
  <c r="AJ119" i="1" s="1"/>
  <c r="AN119" i="1" s="1"/>
  <c r="AG119" i="1"/>
  <c r="AK119" i="1" s="1"/>
  <c r="AH119" i="1"/>
  <c r="AL119" i="1" s="1"/>
  <c r="X119" i="1" s="1"/>
  <c r="I119" i="1"/>
  <c r="G121" i="2" s="1"/>
  <c r="AG91" i="1"/>
  <c r="AK91" i="1" s="1"/>
  <c r="AO91" i="1" s="1"/>
  <c r="AH71" i="1"/>
  <c r="AL71" i="1" s="1"/>
  <c r="AG59" i="1"/>
  <c r="AK59" i="1" s="1"/>
  <c r="AO59" i="1" s="1"/>
  <c r="AG51" i="1"/>
  <c r="AK51" i="1" s="1"/>
  <c r="AO51" i="1" s="1"/>
  <c r="AG39" i="1"/>
  <c r="AK39" i="1" s="1"/>
  <c r="AO39" i="1" s="1"/>
  <c r="I19" i="1"/>
  <c r="G21" i="2" s="1"/>
  <c r="K18" i="2"/>
  <c r="K19" i="2" s="1"/>
  <c r="K20" i="2" s="1"/>
  <c r="K21" i="2" s="1"/>
  <c r="Z15" i="1"/>
  <c r="AE143" i="1"/>
  <c r="AJ143" i="1" s="1"/>
  <c r="AN143" i="1" s="1"/>
  <c r="AO143" i="1" s="1"/>
  <c r="AE111" i="1"/>
  <c r="AJ111" i="1" s="1"/>
  <c r="AN111" i="1" s="1"/>
  <c r="AO111" i="1" s="1"/>
  <c r="H127" i="1"/>
  <c r="G128" i="2" s="1"/>
  <c r="AE175" i="1"/>
  <c r="AJ175" i="1" s="1"/>
  <c r="AN175" i="1" s="1"/>
  <c r="AO175" i="1" s="1"/>
  <c r="L131" i="1"/>
  <c r="G131" i="2" s="1"/>
  <c r="L135" i="1"/>
  <c r="G135" i="2" s="1"/>
  <c r="X135" i="1"/>
  <c r="AB163" i="1"/>
  <c r="L147" i="1"/>
  <c r="G147" i="2" s="1"/>
  <c r="H135" i="1"/>
  <c r="G136" i="2" s="1"/>
  <c r="H107" i="1"/>
  <c r="G108" i="2" s="1"/>
  <c r="H175" i="1"/>
  <c r="G176" i="2" s="1"/>
  <c r="AB147" i="1"/>
  <c r="H111" i="1"/>
  <c r="G112" i="2" s="1"/>
  <c r="H171" i="1"/>
  <c r="G172" i="2" s="1"/>
  <c r="AE127" i="1"/>
  <c r="AJ127" i="1" s="1"/>
  <c r="AN127" i="1" s="1"/>
  <c r="AO127" i="1" s="1"/>
  <c r="W111" i="1"/>
  <c r="L167" i="1"/>
  <c r="G167" i="2" s="1"/>
  <c r="X167" i="1"/>
  <c r="H167" i="1"/>
  <c r="G168" i="2" s="1"/>
  <c r="L143" i="1"/>
  <c r="G143" i="2" s="1"/>
  <c r="X143" i="1"/>
  <c r="H143" i="1"/>
  <c r="G144" i="2" s="1"/>
  <c r="X155" i="1"/>
  <c r="L155" i="1"/>
  <c r="G155" i="2" s="1"/>
  <c r="H155" i="1"/>
  <c r="G156" i="2" s="1"/>
  <c r="W143" i="1"/>
  <c r="AE139" i="1"/>
  <c r="AJ139" i="1" s="1"/>
  <c r="AN139" i="1" s="1"/>
  <c r="AO139" i="1" s="1"/>
  <c r="AE131" i="1"/>
  <c r="AJ131" i="1" s="1"/>
  <c r="AN131" i="1" s="1"/>
  <c r="AO131" i="1" s="1"/>
  <c r="AE123" i="1"/>
  <c r="AJ123" i="1" s="1"/>
  <c r="AN123" i="1" s="1"/>
  <c r="AO123" i="1" s="1"/>
  <c r="AE171" i="1"/>
  <c r="AJ171" i="1" s="1"/>
  <c r="AN171" i="1" s="1"/>
  <c r="AO171" i="1" s="1"/>
  <c r="W127" i="1"/>
  <c r="L115" i="1"/>
  <c r="G115" i="2" s="1"/>
  <c r="H115" i="1"/>
  <c r="G116" i="2" s="1"/>
  <c r="X115" i="1"/>
  <c r="AE107" i="1"/>
  <c r="AJ107" i="1" s="1"/>
  <c r="AN107" i="1" s="1"/>
  <c r="AO107" i="1" s="1"/>
  <c r="W175" i="1"/>
  <c r="X159" i="1"/>
  <c r="H159" i="1"/>
  <c r="G160" i="2" s="1"/>
  <c r="L159" i="1"/>
  <c r="G159" i="2" s="1"/>
  <c r="X111" i="1"/>
  <c r="AB155" i="1"/>
  <c r="AG155" i="1" s="1"/>
  <c r="AK155" i="1" s="1"/>
  <c r="I131" i="1"/>
  <c r="G133" i="2" s="1"/>
  <c r="X127" i="1"/>
  <c r="I155" i="1"/>
  <c r="G157" i="2" s="1"/>
  <c r="AB115" i="1"/>
  <c r="AG115" i="1" s="1"/>
  <c r="AK115" i="1" s="1"/>
  <c r="L175" i="1"/>
  <c r="G175" i="2" s="1"/>
  <c r="I171" i="1"/>
  <c r="G173" i="2" s="1"/>
  <c r="L111" i="1"/>
  <c r="G111" i="2" s="1"/>
  <c r="I107" i="1"/>
  <c r="G109" i="2" s="1"/>
  <c r="AB179" i="1"/>
  <c r="AG179" i="1" s="1"/>
  <c r="AK179" i="1" s="1"/>
  <c r="I139" i="1"/>
  <c r="G141" i="2" s="1"/>
  <c r="I115" i="1"/>
  <c r="G117" i="2" s="1"/>
  <c r="I123" i="1"/>
  <c r="G125" i="2" s="1"/>
  <c r="X175" i="1"/>
  <c r="H87" i="1"/>
  <c r="G88" i="2" s="1"/>
  <c r="L87" i="1"/>
  <c r="G87" i="2" s="1"/>
  <c r="AB87" i="1"/>
  <c r="AG87" i="1" s="1"/>
  <c r="AK87" i="1" s="1"/>
  <c r="I7" i="1"/>
  <c r="G9" i="2" s="1"/>
  <c r="L99" i="1"/>
  <c r="G99" i="2" s="1"/>
  <c r="I43" i="1"/>
  <c r="G45" i="2" s="1"/>
  <c r="AB15" i="1"/>
  <c r="AG15" i="1" s="1"/>
  <c r="AK15" i="1" s="1"/>
  <c r="H51" i="1"/>
  <c r="G52" i="2" s="1"/>
  <c r="X67" i="1"/>
  <c r="AB55" i="1"/>
  <c r="AG55" i="1" s="1"/>
  <c r="AK55" i="1" s="1"/>
  <c r="AB35" i="1"/>
  <c r="AG35" i="1" s="1"/>
  <c r="AK35" i="1" s="1"/>
  <c r="AB103" i="1"/>
  <c r="AG103" i="1" s="1"/>
  <c r="AK103" i="1" s="1"/>
  <c r="I67" i="1"/>
  <c r="G69" i="2" s="1"/>
  <c r="AB43" i="1"/>
  <c r="AB75" i="1"/>
  <c r="I35" i="1"/>
  <c r="G37" i="2" s="1"/>
  <c r="AB71" i="1"/>
  <c r="AG71" i="1" s="1"/>
  <c r="AK71" i="1" s="1"/>
  <c r="AB19" i="1"/>
  <c r="X83" i="1"/>
  <c r="H83" i="1"/>
  <c r="G84" i="2" s="1"/>
  <c r="L83" i="1"/>
  <c r="G83" i="2" s="1"/>
  <c r="AE67" i="1"/>
  <c r="AJ67" i="1" s="1"/>
  <c r="AN67" i="1" s="1"/>
  <c r="AO67" i="1" s="1"/>
  <c r="AE23" i="1"/>
  <c r="AJ23" i="1" s="1"/>
  <c r="AN23" i="1" s="1"/>
  <c r="X35" i="1"/>
  <c r="L35" i="1"/>
  <c r="G35" i="2" s="1"/>
  <c r="X51" i="1"/>
  <c r="L51" i="1"/>
  <c r="G51" i="2" s="1"/>
  <c r="AB79" i="1"/>
  <c r="AG79" i="1" s="1"/>
  <c r="AK79" i="1" s="1"/>
  <c r="I79" i="1"/>
  <c r="G81" i="2" s="1"/>
  <c r="AB31" i="1"/>
  <c r="AG31" i="1" s="1"/>
  <c r="AK31" i="1" s="1"/>
  <c r="I31" i="1"/>
  <c r="G33" i="2" s="1"/>
  <c r="X99" i="1"/>
  <c r="H99" i="1"/>
  <c r="G100" i="2" s="1"/>
  <c r="AB95" i="1"/>
  <c r="AG95" i="1" s="1"/>
  <c r="AK95" i="1" s="1"/>
  <c r="H91" i="1"/>
  <c r="G92" i="2" s="1"/>
  <c r="L91" i="1"/>
  <c r="G91" i="2" s="1"/>
  <c r="X91" i="1"/>
  <c r="I83" i="1"/>
  <c r="G85" i="2" s="1"/>
  <c r="L67" i="1"/>
  <c r="G67" i="2" s="1"/>
  <c r="AE27" i="1"/>
  <c r="AJ27" i="1" s="1"/>
  <c r="AN27" i="1" s="1"/>
  <c r="AO27" i="1" s="1"/>
  <c r="X103" i="1"/>
  <c r="H103" i="1"/>
  <c r="G104" i="2" s="1"/>
  <c r="L103" i="1"/>
  <c r="G103" i="2" s="1"/>
  <c r="H75" i="1"/>
  <c r="G76" i="2" s="1"/>
  <c r="L75" i="1"/>
  <c r="G75" i="2" s="1"/>
  <c r="X75" i="1"/>
  <c r="AB63" i="1"/>
  <c r="AG63" i="1" s="1"/>
  <c r="AK63" i="1" s="1"/>
  <c r="AB99" i="1"/>
  <c r="AG99" i="1" s="1"/>
  <c r="AK99" i="1" s="1"/>
  <c r="I95" i="1"/>
  <c r="G97" i="2" s="1"/>
  <c r="X87" i="1"/>
  <c r="AB83" i="1"/>
  <c r="AG83" i="1" s="1"/>
  <c r="AK83" i="1" s="1"/>
  <c r="H67" i="1"/>
  <c r="G68" i="2" s="1"/>
  <c r="H59" i="1"/>
  <c r="G60" i="2" s="1"/>
  <c r="L59" i="1"/>
  <c r="G59" i="2" s="1"/>
  <c r="X59" i="1"/>
  <c r="AB47" i="1"/>
  <c r="AG47" i="1" s="1"/>
  <c r="AK47" i="1" s="1"/>
  <c r="I51" i="1"/>
  <c r="G53" i="2" s="1"/>
  <c r="I87" i="1"/>
  <c r="G89" i="2" s="1"/>
  <c r="I23" i="1"/>
  <c r="G25" i="2" s="1"/>
  <c r="I27" i="1"/>
  <c r="G29" i="2" s="1"/>
  <c r="I15" i="1"/>
  <c r="G17" i="2" s="1"/>
  <c r="AB11" i="1"/>
  <c r="A18" i="2" l="1"/>
  <c r="A15" i="2"/>
  <c r="A16" i="2" s="1"/>
  <c r="A17" i="2" s="1"/>
  <c r="AO23" i="1"/>
  <c r="H151" i="1"/>
  <c r="G152" i="2" s="1"/>
  <c r="X151" i="1"/>
  <c r="AO167" i="1"/>
  <c r="W159" i="1"/>
  <c r="L119" i="1"/>
  <c r="G119" i="2" s="1"/>
  <c r="AG151" i="1"/>
  <c r="AK151" i="1" s="1"/>
  <c r="AO151" i="1" s="1"/>
  <c r="AO119" i="1"/>
  <c r="AE163" i="1"/>
  <c r="AJ163" i="1" s="1"/>
  <c r="AN163" i="1" s="1"/>
  <c r="AG163" i="1"/>
  <c r="AK163" i="1" s="1"/>
  <c r="W163" i="1" s="1"/>
  <c r="AE147" i="1"/>
  <c r="AJ147" i="1" s="1"/>
  <c r="AN147" i="1" s="1"/>
  <c r="AG147" i="1"/>
  <c r="AK147" i="1" s="1"/>
  <c r="H119" i="1"/>
  <c r="G120" i="2" s="1"/>
  <c r="AE75" i="1"/>
  <c r="AJ75" i="1" s="1"/>
  <c r="AN75" i="1" s="1"/>
  <c r="AG75" i="1"/>
  <c r="AK75" i="1" s="1"/>
  <c r="AE43" i="1"/>
  <c r="AJ43" i="1" s="1"/>
  <c r="AN43" i="1" s="1"/>
  <c r="AG43" i="1"/>
  <c r="AK43" i="1" s="1"/>
  <c r="AE19" i="1"/>
  <c r="AJ19" i="1" s="1"/>
  <c r="AN19" i="1" s="1"/>
  <c r="AG19" i="1"/>
  <c r="AK19" i="1" s="1"/>
  <c r="AE11" i="1"/>
  <c r="AJ11" i="1" s="1"/>
  <c r="AN11" i="1" s="1"/>
  <c r="AG11" i="1"/>
  <c r="AK11" i="1" s="1"/>
  <c r="W119" i="1"/>
  <c r="Z19" i="1"/>
  <c r="K22" i="2"/>
  <c r="K23" i="2" s="1"/>
  <c r="K24" i="2" s="1"/>
  <c r="K25" i="2" s="1"/>
  <c r="X131" i="1"/>
  <c r="X107" i="1"/>
  <c r="L171" i="1"/>
  <c r="G171" i="2" s="1"/>
  <c r="H131" i="1"/>
  <c r="G132" i="2" s="1"/>
  <c r="X171" i="1"/>
  <c r="X147" i="1"/>
  <c r="H147" i="1"/>
  <c r="G148" i="2" s="1"/>
  <c r="L107" i="1"/>
  <c r="G107" i="2" s="1"/>
  <c r="W171" i="1"/>
  <c r="L179" i="1"/>
  <c r="G179" i="2" s="1"/>
  <c r="X179" i="1"/>
  <c r="H179" i="1"/>
  <c r="G180" i="2" s="1"/>
  <c r="W107" i="1"/>
  <c r="W123" i="1"/>
  <c r="AE179" i="1"/>
  <c r="AJ179" i="1" s="1"/>
  <c r="AN179" i="1" s="1"/>
  <c r="AO179" i="1" s="1"/>
  <c r="AE115" i="1"/>
  <c r="AJ115" i="1" s="1"/>
  <c r="AN115" i="1" s="1"/>
  <c r="AO115" i="1" s="1"/>
  <c r="W131" i="1"/>
  <c r="AE155" i="1"/>
  <c r="AJ155" i="1" s="1"/>
  <c r="AN155" i="1" s="1"/>
  <c r="AO155" i="1" s="1"/>
  <c r="L163" i="1"/>
  <c r="G163" i="2" s="1"/>
  <c r="H163" i="1"/>
  <c r="G164" i="2" s="1"/>
  <c r="X163" i="1"/>
  <c r="W139" i="1"/>
  <c r="L139" i="1"/>
  <c r="G139" i="2" s="1"/>
  <c r="H139" i="1"/>
  <c r="G140" i="2" s="1"/>
  <c r="X139" i="1"/>
  <c r="W135" i="1"/>
  <c r="H123" i="1"/>
  <c r="G124" i="2" s="1"/>
  <c r="X123" i="1"/>
  <c r="L123" i="1"/>
  <c r="G123" i="2" s="1"/>
  <c r="H23" i="1"/>
  <c r="G24" i="2" s="1"/>
  <c r="H35" i="1"/>
  <c r="G36" i="2" s="1"/>
  <c r="H43" i="1"/>
  <c r="G44" i="2" s="1"/>
  <c r="X23" i="1"/>
  <c r="W87" i="1"/>
  <c r="X55" i="1"/>
  <c r="X19" i="1"/>
  <c r="H27" i="1"/>
  <c r="G28" i="2" s="1"/>
  <c r="W51" i="1"/>
  <c r="AE87" i="1"/>
  <c r="AJ87" i="1" s="1"/>
  <c r="AN87" i="1" s="1"/>
  <c r="AO87" i="1" s="1"/>
  <c r="AE15" i="1"/>
  <c r="AJ15" i="1" s="1"/>
  <c r="AN15" i="1" s="1"/>
  <c r="AO15" i="1" s="1"/>
  <c r="L71" i="1"/>
  <c r="G71" i="2" s="1"/>
  <c r="H71" i="1"/>
  <c r="G72" i="2" s="1"/>
  <c r="X71" i="1"/>
  <c r="W39" i="1"/>
  <c r="AE103" i="1"/>
  <c r="AJ103" i="1" s="1"/>
  <c r="AN103" i="1" s="1"/>
  <c r="AO103" i="1" s="1"/>
  <c r="AE35" i="1"/>
  <c r="AJ35" i="1" s="1"/>
  <c r="AN35" i="1" s="1"/>
  <c r="AO35" i="1" s="1"/>
  <c r="AE71" i="1"/>
  <c r="AJ71" i="1" s="1"/>
  <c r="AN71" i="1" s="1"/>
  <c r="AO71" i="1" s="1"/>
  <c r="AE55" i="1"/>
  <c r="AJ55" i="1" s="1"/>
  <c r="AN55" i="1" s="1"/>
  <c r="AO55" i="1" s="1"/>
  <c r="W67" i="1"/>
  <c r="L47" i="1"/>
  <c r="G47" i="2" s="1"/>
  <c r="H47" i="1"/>
  <c r="G48" i="2" s="1"/>
  <c r="X47" i="1"/>
  <c r="L95" i="1"/>
  <c r="G95" i="2" s="1"/>
  <c r="H95" i="1"/>
  <c r="G96" i="2" s="1"/>
  <c r="X95" i="1"/>
  <c r="AE63" i="1"/>
  <c r="AJ63" i="1" s="1"/>
  <c r="AN63" i="1" s="1"/>
  <c r="AO63" i="1" s="1"/>
  <c r="W59" i="1"/>
  <c r="W91" i="1"/>
  <c r="AE83" i="1"/>
  <c r="AJ83" i="1" s="1"/>
  <c r="AN83" i="1" s="1"/>
  <c r="AO83" i="1" s="1"/>
  <c r="L63" i="1"/>
  <c r="G63" i="2" s="1"/>
  <c r="H63" i="1"/>
  <c r="G64" i="2" s="1"/>
  <c r="X63" i="1"/>
  <c r="AE99" i="1"/>
  <c r="AJ99" i="1" s="1"/>
  <c r="AN99" i="1" s="1"/>
  <c r="AO99" i="1" s="1"/>
  <c r="L79" i="1"/>
  <c r="G79" i="2" s="1"/>
  <c r="H79" i="1"/>
  <c r="G80" i="2" s="1"/>
  <c r="X79" i="1"/>
  <c r="AE31" i="1"/>
  <c r="AJ31" i="1" s="1"/>
  <c r="AN31" i="1" s="1"/>
  <c r="AO31" i="1" s="1"/>
  <c r="W27" i="1"/>
  <c r="AE47" i="1"/>
  <c r="AJ47" i="1" s="1"/>
  <c r="AN47" i="1" s="1"/>
  <c r="AO47" i="1" s="1"/>
  <c r="AE95" i="1"/>
  <c r="AJ95" i="1" s="1"/>
  <c r="AN95" i="1" s="1"/>
  <c r="AO95" i="1" s="1"/>
  <c r="L31" i="1"/>
  <c r="G31" i="2" s="1"/>
  <c r="H31" i="1"/>
  <c r="G32" i="2" s="1"/>
  <c r="X31" i="1"/>
  <c r="AE79" i="1"/>
  <c r="AJ79" i="1" s="1"/>
  <c r="AN79" i="1" s="1"/>
  <c r="AO79" i="1" s="1"/>
  <c r="W23" i="1"/>
  <c r="X15" i="1"/>
  <c r="L15" i="1"/>
  <c r="G15" i="2" s="1"/>
  <c r="H15" i="1"/>
  <c r="G16" i="2" s="1"/>
  <c r="W15" i="1"/>
  <c r="B3" i="2"/>
  <c r="B2" i="2"/>
  <c r="M2" i="2"/>
  <c r="M3" i="2" s="1"/>
  <c r="M4" i="2" s="1"/>
  <c r="M5" i="2" s="1"/>
  <c r="L2" i="2"/>
  <c r="L3" i="2" s="1"/>
  <c r="L4" i="2" s="1"/>
  <c r="L5" i="2" s="1"/>
  <c r="K2" i="2"/>
  <c r="K3" i="2" s="1"/>
  <c r="K4" i="2" s="1"/>
  <c r="K5" i="2" s="1"/>
  <c r="J3" i="2"/>
  <c r="J4" i="2" s="1"/>
  <c r="J5" i="2" s="1"/>
  <c r="S11" i="1"/>
  <c r="E10" i="2" s="1"/>
  <c r="E11" i="2" s="1"/>
  <c r="E12" i="2" s="1"/>
  <c r="E13" i="2" s="1"/>
  <c r="S7" i="1"/>
  <c r="E6" i="2" s="1"/>
  <c r="E7" i="2" s="1"/>
  <c r="E8" i="2" s="1"/>
  <c r="E9" i="2" s="1"/>
  <c r="S3" i="1"/>
  <c r="C2" i="2"/>
  <c r="K11" i="1"/>
  <c r="Z11" i="1"/>
  <c r="K7" i="1"/>
  <c r="Z7" i="1"/>
  <c r="AG3" i="1"/>
  <c r="K3" i="1"/>
  <c r="A7" i="1"/>
  <c r="A11" i="1" s="1"/>
  <c r="A15" i="1" s="1"/>
  <c r="A19" i="1" s="1"/>
  <c r="A23" i="1" s="1"/>
  <c r="A27" i="1" s="1"/>
  <c r="A31" i="1" s="1"/>
  <c r="A35" i="1" s="1"/>
  <c r="A39" i="1" s="1"/>
  <c r="A43" i="1" s="1"/>
  <c r="A47" i="1" s="1"/>
  <c r="A51" i="1" s="1"/>
  <c r="A55" i="1" s="1"/>
  <c r="A59" i="1" s="1"/>
  <c r="A63" i="1" s="1"/>
  <c r="A67" i="1" s="1"/>
  <c r="A71" i="1" s="1"/>
  <c r="A75" i="1" s="1"/>
  <c r="A79" i="1" s="1"/>
  <c r="A83" i="1" s="1"/>
  <c r="A87" i="1" s="1"/>
  <c r="A91" i="1" s="1"/>
  <c r="A95" i="1" s="1"/>
  <c r="A99" i="1" s="1"/>
  <c r="A103" i="1" s="1"/>
  <c r="A107" i="1" s="1"/>
  <c r="A111" i="1" s="1"/>
  <c r="A115" i="1" s="1"/>
  <c r="A119" i="1" s="1"/>
  <c r="A123" i="1" s="1"/>
  <c r="A127" i="1" s="1"/>
  <c r="A131" i="1" s="1"/>
  <c r="A135" i="1" s="1"/>
  <c r="A139" i="1" s="1"/>
  <c r="A143" i="1" s="1"/>
  <c r="A147" i="1" s="1"/>
  <c r="A151" i="1" s="1"/>
  <c r="A155" i="1" s="1"/>
  <c r="A159" i="1" s="1"/>
  <c r="A163" i="1" s="1"/>
  <c r="A167" i="1" s="1"/>
  <c r="A171" i="1" s="1"/>
  <c r="A175" i="1" s="1"/>
  <c r="A179" i="1" s="1"/>
  <c r="A19" i="2" l="1"/>
  <c r="A20" i="2" s="1"/>
  <c r="A21" i="2" s="1"/>
  <c r="A22" i="2"/>
  <c r="AO75" i="1"/>
  <c r="AO11" i="1"/>
  <c r="AO147" i="1"/>
  <c r="AO43" i="1"/>
  <c r="W151" i="1"/>
  <c r="W147" i="1"/>
  <c r="AO163" i="1"/>
  <c r="AO19" i="1"/>
  <c r="Z23" i="1"/>
  <c r="K26" i="2"/>
  <c r="K27" i="2" s="1"/>
  <c r="K28" i="2" s="1"/>
  <c r="K29" i="2" s="1"/>
  <c r="W179" i="1"/>
  <c r="W115" i="1"/>
  <c r="W155" i="1"/>
  <c r="L55" i="1"/>
  <c r="G55" i="2" s="1"/>
  <c r="L43" i="1"/>
  <c r="G43" i="2" s="1"/>
  <c r="L19" i="1"/>
  <c r="G19" i="2" s="1"/>
  <c r="X43" i="1"/>
  <c r="X27" i="1"/>
  <c r="L27" i="1"/>
  <c r="G27" i="2" s="1"/>
  <c r="X39" i="1"/>
  <c r="H19" i="1"/>
  <c r="G20" i="2" s="1"/>
  <c r="L39" i="1"/>
  <c r="G39" i="2" s="1"/>
  <c r="W75" i="1"/>
  <c r="H39" i="1"/>
  <c r="G40" i="2" s="1"/>
  <c r="H55" i="1"/>
  <c r="G56" i="2" s="1"/>
  <c r="W43" i="1"/>
  <c r="AK3" i="1"/>
  <c r="W3" i="1" s="1"/>
  <c r="E2" i="2"/>
  <c r="E3" i="2" s="1"/>
  <c r="E4" i="2" s="1"/>
  <c r="E5" i="2" s="1"/>
  <c r="C3" i="2"/>
  <c r="C4" i="2" s="1"/>
  <c r="C5" i="2" s="1"/>
  <c r="W103" i="1"/>
  <c r="W55" i="1"/>
  <c r="W35" i="1"/>
  <c r="W71" i="1"/>
  <c r="W63" i="1"/>
  <c r="W99" i="1"/>
  <c r="W31" i="1"/>
  <c r="W79" i="1"/>
  <c r="W95" i="1"/>
  <c r="W83" i="1"/>
  <c r="W47" i="1"/>
  <c r="W11" i="1"/>
  <c r="X11" i="1"/>
  <c r="L11" i="1"/>
  <c r="G11" i="2" s="1"/>
  <c r="H11" i="1"/>
  <c r="G12" i="2" s="1"/>
  <c r="W7" i="1"/>
  <c r="H7" i="1"/>
  <c r="G8" i="2" s="1"/>
  <c r="L7" i="1"/>
  <c r="G7" i="2" s="1"/>
  <c r="X7" i="1"/>
  <c r="AH3" i="1"/>
  <c r="A26" i="2" l="1"/>
  <c r="A23" i="2"/>
  <c r="A24" i="2" s="1"/>
  <c r="A25" i="2" s="1"/>
  <c r="K30" i="2"/>
  <c r="K31" i="2" s="1"/>
  <c r="K32" i="2" s="1"/>
  <c r="K33" i="2" s="1"/>
  <c r="Z27" i="1"/>
  <c r="W19" i="1"/>
  <c r="AL3" i="1"/>
  <c r="H3" i="1" s="1"/>
  <c r="G4" i="2" s="1"/>
  <c r="K1" i="1"/>
  <c r="AJ3" i="1"/>
  <c r="A30" i="2" l="1"/>
  <c r="A27" i="2"/>
  <c r="A28" i="2" s="1"/>
  <c r="A29" i="2" s="1"/>
  <c r="Z31" i="1"/>
  <c r="K34" i="2"/>
  <c r="K35" i="2" s="1"/>
  <c r="K36" i="2" s="1"/>
  <c r="K37" i="2" s="1"/>
  <c r="L3" i="1"/>
  <c r="G3" i="2" s="1"/>
  <c r="X3" i="1"/>
  <c r="AN3" i="1"/>
  <c r="A34" i="2" l="1"/>
  <c r="A31" i="2"/>
  <c r="A32" i="2" s="1"/>
  <c r="A33" i="2" s="1"/>
  <c r="K38" i="2"/>
  <c r="K39" i="2" s="1"/>
  <c r="K40" i="2" s="1"/>
  <c r="K41" i="2" s="1"/>
  <c r="Z35" i="1"/>
  <c r="AO3" i="1"/>
  <c r="A35" i="2" l="1"/>
  <c r="A36" i="2" s="1"/>
  <c r="A37" i="2" s="1"/>
  <c r="A38" i="2"/>
  <c r="Z39" i="1"/>
  <c r="K42" i="2"/>
  <c r="K43" i="2" s="1"/>
  <c r="K44" i="2" s="1"/>
  <c r="K45" i="2" s="1"/>
  <c r="A42" i="2" l="1"/>
  <c r="A39" i="2"/>
  <c r="A40" i="2" s="1"/>
  <c r="A41" i="2" s="1"/>
  <c r="K46" i="2"/>
  <c r="K47" i="2" s="1"/>
  <c r="K48" i="2" s="1"/>
  <c r="K49" i="2" s="1"/>
  <c r="Z43" i="1"/>
  <c r="A43" i="2" l="1"/>
  <c r="A44" i="2" s="1"/>
  <c r="A45" i="2" s="1"/>
  <c r="A46" i="2"/>
  <c r="K50" i="2"/>
  <c r="K51" i="2" s="1"/>
  <c r="K52" i="2" s="1"/>
  <c r="K53" i="2" s="1"/>
  <c r="Z47" i="1"/>
  <c r="A50" i="2" l="1"/>
  <c r="A47" i="2"/>
  <c r="A48" i="2" s="1"/>
  <c r="A49" i="2" s="1"/>
  <c r="Z51" i="1"/>
  <c r="K54" i="2"/>
  <c r="K55" i="2" s="1"/>
  <c r="K56" i="2" s="1"/>
  <c r="K57" i="2" s="1"/>
  <c r="A51" i="2" l="1"/>
  <c r="A52" i="2" s="1"/>
  <c r="A53" i="2" s="1"/>
  <c r="A54" i="2"/>
  <c r="Z55" i="1"/>
  <c r="K58" i="2"/>
  <c r="K59" i="2" s="1"/>
  <c r="K60" i="2" s="1"/>
  <c r="K61" i="2" s="1"/>
  <c r="A55" i="2" l="1"/>
  <c r="A56" i="2" s="1"/>
  <c r="A57" i="2" s="1"/>
  <c r="A58" i="2"/>
  <c r="K62" i="2"/>
  <c r="K63" i="2" s="1"/>
  <c r="K64" i="2" s="1"/>
  <c r="K65" i="2" s="1"/>
  <c r="Z59" i="1"/>
  <c r="A59" i="2" l="1"/>
  <c r="A60" i="2" s="1"/>
  <c r="A61" i="2" s="1"/>
  <c r="A62" i="2"/>
  <c r="K66" i="2"/>
  <c r="K67" i="2" s="1"/>
  <c r="K68" i="2" s="1"/>
  <c r="K69" i="2" s="1"/>
  <c r="Z63" i="1"/>
  <c r="A66" i="2" l="1"/>
  <c r="A63" i="2"/>
  <c r="A64" i="2" s="1"/>
  <c r="A65" i="2" s="1"/>
  <c r="K70" i="2"/>
  <c r="K71" i="2" s="1"/>
  <c r="K72" i="2" s="1"/>
  <c r="K73" i="2" s="1"/>
  <c r="Z67" i="1"/>
  <c r="A70" i="2" l="1"/>
  <c r="A67" i="2"/>
  <c r="A68" i="2" s="1"/>
  <c r="A69" i="2" s="1"/>
  <c r="Z71" i="1"/>
  <c r="K74" i="2"/>
  <c r="K75" i="2" s="1"/>
  <c r="K76" i="2" s="1"/>
  <c r="K77" i="2" s="1"/>
  <c r="A74" i="2" l="1"/>
  <c r="A71" i="2"/>
  <c r="A72" i="2" s="1"/>
  <c r="A73" i="2" s="1"/>
  <c r="K78" i="2"/>
  <c r="K79" i="2" s="1"/>
  <c r="K80" i="2" s="1"/>
  <c r="K81" i="2" s="1"/>
  <c r="Z75" i="1"/>
  <c r="A75" i="2" l="1"/>
  <c r="A76" i="2" s="1"/>
  <c r="A77" i="2" s="1"/>
  <c r="A78" i="2"/>
  <c r="K82" i="2"/>
  <c r="K83" i="2" s="1"/>
  <c r="K84" i="2" s="1"/>
  <c r="K85" i="2" s="1"/>
  <c r="Z79" i="1"/>
  <c r="A82" i="2" l="1"/>
  <c r="A79" i="2"/>
  <c r="A80" i="2" s="1"/>
  <c r="A81" i="2" s="1"/>
  <c r="Z83" i="1"/>
  <c r="K86" i="2"/>
  <c r="K87" i="2" s="1"/>
  <c r="K88" i="2" s="1"/>
  <c r="K89" i="2" s="1"/>
  <c r="A83" i="2" l="1"/>
  <c r="A84" i="2" s="1"/>
  <c r="A85" i="2" s="1"/>
  <c r="A86" i="2"/>
  <c r="Z87" i="1"/>
  <c r="K90" i="2"/>
  <c r="K91" i="2" s="1"/>
  <c r="K92" i="2" s="1"/>
  <c r="K93" i="2" s="1"/>
  <c r="A90" i="2" l="1"/>
  <c r="A87" i="2"/>
  <c r="A88" i="2" s="1"/>
  <c r="A89" i="2" s="1"/>
  <c r="K94" i="2"/>
  <c r="K95" i="2" s="1"/>
  <c r="K96" i="2" s="1"/>
  <c r="K97" i="2" s="1"/>
  <c r="Z91" i="1"/>
  <c r="A94" i="2" l="1"/>
  <c r="A91" i="2"/>
  <c r="A92" i="2" s="1"/>
  <c r="A93" i="2" s="1"/>
  <c r="Z95" i="1"/>
  <c r="K98" i="2"/>
  <c r="K99" i="2" s="1"/>
  <c r="K100" i="2" s="1"/>
  <c r="K101" i="2" s="1"/>
  <c r="A98" i="2" l="1"/>
  <c r="A95" i="2"/>
  <c r="A96" i="2" s="1"/>
  <c r="A97" i="2" s="1"/>
  <c r="K102" i="2"/>
  <c r="K103" i="2" s="1"/>
  <c r="K104" i="2" s="1"/>
  <c r="K105" i="2" s="1"/>
  <c r="Z99" i="1"/>
  <c r="A99" i="2" l="1"/>
  <c r="A100" i="2" s="1"/>
  <c r="A101" i="2" s="1"/>
  <c r="A102" i="2"/>
  <c r="Z103" i="1"/>
  <c r="K106" i="2"/>
  <c r="K107" i="2" s="1"/>
  <c r="K108" i="2" s="1"/>
  <c r="K109" i="2" s="1"/>
  <c r="A106" i="2" l="1"/>
  <c r="A103" i="2"/>
  <c r="A104" i="2" s="1"/>
  <c r="A105" i="2" s="1"/>
  <c r="K110" i="2"/>
  <c r="K111" i="2" s="1"/>
  <c r="K112" i="2" s="1"/>
  <c r="K113" i="2" s="1"/>
  <c r="Z107" i="1"/>
  <c r="A107" i="2" l="1"/>
  <c r="A108" i="2" s="1"/>
  <c r="A109" i="2" s="1"/>
  <c r="A110" i="2"/>
  <c r="K114" i="2"/>
  <c r="K115" i="2" s="1"/>
  <c r="K116" i="2" s="1"/>
  <c r="K117" i="2" s="1"/>
  <c r="Z111" i="1"/>
  <c r="A111" i="2" l="1"/>
  <c r="A112" i="2" s="1"/>
  <c r="A113" i="2" s="1"/>
  <c r="A114" i="2"/>
  <c r="Z115" i="1"/>
  <c r="K118" i="2"/>
  <c r="K119" i="2" s="1"/>
  <c r="K120" i="2" s="1"/>
  <c r="K121" i="2" s="1"/>
  <c r="A115" i="2" l="1"/>
  <c r="A116" i="2" s="1"/>
  <c r="A117" i="2" s="1"/>
  <c r="A118" i="2"/>
  <c r="Z119" i="1"/>
  <c r="K122" i="2"/>
  <c r="K123" i="2" s="1"/>
  <c r="K124" i="2" s="1"/>
  <c r="K125" i="2" s="1"/>
  <c r="A122" i="2" l="1"/>
  <c r="A119" i="2"/>
  <c r="A120" i="2" s="1"/>
  <c r="A121" i="2" s="1"/>
  <c r="K126" i="2"/>
  <c r="K127" i="2" s="1"/>
  <c r="K128" i="2" s="1"/>
  <c r="K129" i="2" s="1"/>
  <c r="Z123" i="1"/>
  <c r="A123" i="2" l="1"/>
  <c r="A124" i="2" s="1"/>
  <c r="A125" i="2" s="1"/>
  <c r="A126" i="2"/>
  <c r="Z127" i="1"/>
  <c r="K130" i="2"/>
  <c r="K131" i="2" s="1"/>
  <c r="K132" i="2" s="1"/>
  <c r="K133" i="2" s="1"/>
  <c r="A130" i="2" l="1"/>
  <c r="A127" i="2"/>
  <c r="A128" i="2" s="1"/>
  <c r="A129" i="2" s="1"/>
  <c r="Z131" i="1"/>
  <c r="K134" i="2"/>
  <c r="K135" i="2" s="1"/>
  <c r="K136" i="2" s="1"/>
  <c r="K137" i="2" s="1"/>
  <c r="A134" i="2" l="1"/>
  <c r="A131" i="2"/>
  <c r="A132" i="2" s="1"/>
  <c r="A133" i="2" s="1"/>
  <c r="Z135" i="1"/>
  <c r="K138" i="2"/>
  <c r="K139" i="2" s="1"/>
  <c r="K140" i="2" s="1"/>
  <c r="K141" i="2" s="1"/>
  <c r="A135" i="2" l="1"/>
  <c r="A136" i="2" s="1"/>
  <c r="A137" i="2" s="1"/>
  <c r="A138" i="2"/>
  <c r="K142" i="2"/>
  <c r="K143" i="2" s="1"/>
  <c r="K144" i="2" s="1"/>
  <c r="K145" i="2" s="1"/>
  <c r="Z139" i="1"/>
  <c r="A139" i="2" l="1"/>
  <c r="A140" i="2" s="1"/>
  <c r="A141" i="2" s="1"/>
  <c r="A142" i="2"/>
  <c r="K146" i="2"/>
  <c r="K147" i="2" s="1"/>
  <c r="K148" i="2" s="1"/>
  <c r="K149" i="2" s="1"/>
  <c r="Z143" i="1"/>
  <c r="A146" i="2" l="1"/>
  <c r="A143" i="2"/>
  <c r="A144" i="2" s="1"/>
  <c r="A145" i="2" s="1"/>
  <c r="K150" i="2"/>
  <c r="K151" i="2" s="1"/>
  <c r="K152" i="2" s="1"/>
  <c r="K153" i="2" s="1"/>
  <c r="Z147" i="1"/>
  <c r="A147" i="2" l="1"/>
  <c r="A148" i="2" s="1"/>
  <c r="A149" i="2" s="1"/>
  <c r="A150" i="2"/>
  <c r="Z151" i="1"/>
  <c r="K154" i="2"/>
  <c r="K155" i="2" s="1"/>
  <c r="K156" i="2" s="1"/>
  <c r="K157" i="2" s="1"/>
  <c r="A154" i="2" l="1"/>
  <c r="A151" i="2"/>
  <c r="A152" i="2" s="1"/>
  <c r="A153" i="2" s="1"/>
  <c r="K158" i="2"/>
  <c r="K159" i="2" s="1"/>
  <c r="K160" i="2" s="1"/>
  <c r="K161" i="2" s="1"/>
  <c r="Z155" i="1"/>
  <c r="A155" i="2" l="1"/>
  <c r="A156" i="2" s="1"/>
  <c r="A157" i="2" s="1"/>
  <c r="A158" i="2"/>
  <c r="Z159" i="1"/>
  <c r="K162" i="2"/>
  <c r="K163" i="2" s="1"/>
  <c r="K164" i="2" s="1"/>
  <c r="K165" i="2" s="1"/>
  <c r="A162" i="2" l="1"/>
  <c r="A159" i="2"/>
  <c r="A160" i="2" s="1"/>
  <c r="A161" i="2" s="1"/>
  <c r="Z163" i="1"/>
  <c r="K166" i="2"/>
  <c r="K167" i="2" s="1"/>
  <c r="K168" i="2" s="1"/>
  <c r="K169" i="2" s="1"/>
  <c r="A166" i="2" l="1"/>
  <c r="A163" i="2"/>
  <c r="A164" i="2" s="1"/>
  <c r="A165" i="2" s="1"/>
  <c r="Z167" i="1"/>
  <c r="K170" i="2"/>
  <c r="K171" i="2" s="1"/>
  <c r="K172" i="2" s="1"/>
  <c r="K173" i="2" s="1"/>
  <c r="A170" i="2" l="1"/>
  <c r="A167" i="2"/>
  <c r="A168" i="2" s="1"/>
  <c r="A169" i="2" s="1"/>
  <c r="Z171" i="1"/>
  <c r="K174" i="2"/>
  <c r="K175" i="2" s="1"/>
  <c r="K176" i="2" s="1"/>
  <c r="K177" i="2" s="1"/>
  <c r="A171" i="2" l="1"/>
  <c r="A172" i="2" s="1"/>
  <c r="A173" i="2" s="1"/>
  <c r="A174" i="2"/>
  <c r="Z175" i="1"/>
  <c r="K178" i="2"/>
  <c r="K179" i="2" s="1"/>
  <c r="K180" i="2" s="1"/>
  <c r="K181" i="2" s="1"/>
  <c r="A175" i="2" l="1"/>
  <c r="A176" i="2" s="1"/>
  <c r="A177" i="2" s="1"/>
  <c r="A178" i="2"/>
  <c r="A179" i="2" s="1"/>
  <c r="A180" i="2" s="1"/>
  <c r="A181" i="2" s="1"/>
  <c r="Z179" i="1"/>
</calcChain>
</file>

<file path=xl/sharedStrings.xml><?xml version="1.0" encoding="utf-8"?>
<sst xmlns="http://schemas.openxmlformats.org/spreadsheetml/2006/main" count="647" uniqueCount="58">
  <si>
    <t>103</t>
  </si>
  <si>
    <t>01</t>
  </si>
  <si>
    <t>C001</t>
  </si>
  <si>
    <t>1</t>
  </si>
  <si>
    <t>COD PRVEEDOR</t>
  </si>
  <si>
    <t>NUMERO DE FACTURA</t>
  </si>
  <si>
    <t>FECHA FACT</t>
  </si>
  <si>
    <t>FECHA CONT</t>
  </si>
  <si>
    <t>FECHA VENC</t>
  </si>
  <si>
    <t>Importe Facturado</t>
  </si>
  <si>
    <t>Importe Facturado Org</t>
  </si>
  <si>
    <t>COD MONEDA</t>
  </si>
  <si>
    <t>Tipo de cambio</t>
  </si>
  <si>
    <t>IVA</t>
  </si>
  <si>
    <t>Código Banco Central</t>
  </si>
  <si>
    <t>Cód. de Autorización</t>
  </si>
  <si>
    <t>Comentarios</t>
  </si>
  <si>
    <t>CADENA DE CONT</t>
  </si>
  <si>
    <t>TIPO DE FACTURA</t>
  </si>
  <si>
    <t>CODIGO CARGA FISCAL</t>
  </si>
  <si>
    <t>Tipo IVA Código impuest</t>
  </si>
  <si>
    <t>Base imponible Registro impues</t>
  </si>
  <si>
    <t>Importe IVA Código impuest</t>
  </si>
  <si>
    <t>Tipo IVA Registro impuest</t>
  </si>
  <si>
    <t>Fecha Transacción Registro Impues</t>
  </si>
  <si>
    <t>V.V</t>
  </si>
  <si>
    <t>IGV</t>
  </si>
  <si>
    <t>P.V</t>
  </si>
  <si>
    <t>TC</t>
  </si>
  <si>
    <t>DIFERENCIA</t>
  </si>
  <si>
    <t>281110</t>
  </si>
  <si>
    <t>00</t>
  </si>
  <si>
    <t>FC_LC</t>
  </si>
  <si>
    <t>401110</t>
  </si>
  <si>
    <t>cta</t>
  </si>
  <si>
    <t>cc</t>
  </si>
  <si>
    <t>linea</t>
  </si>
  <si>
    <t>nit</t>
  </si>
  <si>
    <t>TDW</t>
  </si>
  <si>
    <t>importe soles</t>
  </si>
  <si>
    <t>importe dol</t>
  </si>
  <si>
    <t>cod moneda</t>
  </si>
  <si>
    <t>glosa</t>
  </si>
  <si>
    <t>fecha</t>
  </si>
  <si>
    <t>nit cliente</t>
  </si>
  <si>
    <t>serie y correlatico</t>
  </si>
  <si>
    <t>cod trans</t>
  </si>
  <si>
    <t>$</t>
  </si>
  <si>
    <t>TIPO DOC SUNAT</t>
  </si>
  <si>
    <t>TIPO DOC ISCALA</t>
  </si>
  <si>
    <t>S/.</t>
  </si>
  <si>
    <t>421202</t>
  </si>
  <si>
    <t>ADD</t>
  </si>
  <si>
    <t>RC005</t>
  </si>
  <si>
    <t>0131</t>
  </si>
  <si>
    <t>101</t>
  </si>
  <si>
    <t>SEQ</t>
  </si>
  <si>
    <t>ASSIENTO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</si>
</sst>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49" fontId="0" fillId="0" borderId="1" xfId="0" applyNumberFormat="1" applyBorder="1"/>
    <xf numFmtId="43" fontId="0" fillId="0" borderId="1" xfId="1" applyFont="1" applyBorder="1"/>
    <xf numFmtId="43" fontId="0" fillId="0" borderId="0" xfId="1" applyFont="1"/>
    <xf numFmtId="43" fontId="2" fillId="0" borderId="1" xfId="1" applyFont="1" applyBorder="1" applyAlignment="1">
      <alignment horizontal="center" vertical="center"/>
    </xf>
    <xf numFmtId="49" fontId="0" fillId="0" borderId="1" xfId="1" applyNumberFormat="1" applyFont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0" fillId="0" borderId="1" xfId="0" applyNumberFormat="1" applyBorder="1"/>
    <xf numFmtId="49" fontId="5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49" fontId="5" fillId="0" borderId="1" xfId="1" applyNumberFormat="1" applyFont="1" applyFill="1" applyBorder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/>
    <xf numFmtId="43" fontId="0" fillId="0" borderId="1" xfId="1" applyFont="1" applyFill="1" applyBorder="1"/>
    <xf numFmtId="164" fontId="0" fillId="0" borderId="1" xfId="1" applyNumberFormat="1" applyFont="1" applyFill="1" applyBorder="1"/>
    <xf numFmtId="49" fontId="0" fillId="0" borderId="1" xfId="1" applyNumberFormat="1" applyFont="1" applyFill="1" applyBorder="1"/>
    <xf numFmtId="0" fontId="0" fillId="0" borderId="1" xfId="0" applyFill="1" applyBorder="1"/>
    <xf numFmtId="49" fontId="0" fillId="0" borderId="0" xfId="0" applyNumberFormat="1" applyFill="1"/>
    <xf numFmtId="49" fontId="0" fillId="0" borderId="0" xfId="0" applyNumberFormat="1" applyFill="1" applyAlignment="1">
      <alignment vertical="center"/>
    </xf>
    <xf numFmtId="49" fontId="4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3" fontId="5" fillId="0" borderId="0" xfId="1" applyFont="1" applyFill="1" applyAlignment="1">
      <alignment vertical="center"/>
    </xf>
    <xf numFmtId="164" fontId="5" fillId="0" borderId="0" xfId="1" applyNumberFormat="1" applyFont="1" applyFill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/>
    <xf numFmtId="49" fontId="4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3" fontId="4" fillId="0" borderId="0" xfId="1" applyFont="1" applyFill="1" applyAlignment="1">
      <alignment horizontal="center" vertical="center" wrapText="1"/>
    </xf>
    <xf numFmtId="164" fontId="4" fillId="0" borderId="0" xfId="1" applyNumberFormat="1" applyFont="1" applyFill="1" applyAlignment="1">
      <alignment horizontal="center" vertical="center" wrapText="1"/>
    </xf>
    <xf numFmtId="49" fontId="4" fillId="0" borderId="0" xfId="1" applyNumberFormat="1" applyFont="1" applyFill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3" fontId="4" fillId="3" borderId="1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vertical="center"/>
    </xf>
    <xf numFmtId="43" fontId="5" fillId="2" borderId="0" xfId="1" applyFont="1" applyFill="1" applyAlignment="1">
      <alignment vertical="center"/>
    </xf>
    <xf numFmtId="0" fontId="5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374C-19B4-438A-9A30-B29BCADE8204}">
  <sheetPr filterMode="1"/>
  <dimension ref="A1:AO182"/>
  <sheetViews>
    <sheetView tabSelected="1" workbookViewId="0">
      <pane xSplit="5" ySplit="2" topLeftCell="F3" activePane="bottomRight" state="frozen"/>
      <selection pane="topRight" activeCell="E1" sqref="E1"/>
      <selection pane="bottomLeft" activeCell="A2" sqref="A2"/>
      <selection pane="bottomRight" activeCell="G3" sqref="G3"/>
    </sheetView>
  </sheetViews>
  <sheetFormatPr defaultColWidth="2" defaultRowHeight="13.8" customHeight="1" x14ac:dyDescent="0.3"/>
  <cols>
    <col min="1" max="1" width="5.109375" style="32" customWidth="1"/>
    <col min="2" max="2" width="6.88671875" style="33" bestFit="1" customWidth="1"/>
    <col min="3" max="3" width="14.6640625" style="12" bestFit="1" customWidth="1"/>
    <col min="4" max="4" width="18.5546875" style="12" bestFit="1" customWidth="1"/>
    <col min="5" max="5" width="12.44140625" style="13" bestFit="1" customWidth="1"/>
    <col min="6" max="6" width="12.88671875" style="13" bestFit="1" customWidth="1"/>
    <col min="7" max="7" width="12.77734375" style="33" bestFit="1" customWidth="1"/>
    <col min="8" max="8" width="16.88671875" style="34" bestFit="1" customWidth="1"/>
    <col min="9" max="9" width="19.44140625" style="34" bestFit="1" customWidth="1"/>
    <col min="10" max="10" width="13.88671875" style="12" bestFit="1" customWidth="1"/>
    <col min="11" max="11" width="14.6640625" style="35" bestFit="1" customWidth="1"/>
    <col min="12" max="12" width="8.44140625" style="34" bestFit="1" customWidth="1"/>
    <col min="13" max="13" width="18" style="33" bestFit="1" customWidth="1"/>
    <col min="14" max="14" width="17.6640625" style="13" bestFit="1" customWidth="1"/>
    <col min="15" max="15" width="13" style="12" bestFit="1" customWidth="1"/>
    <col min="16" max="16" width="16" style="13" bestFit="1" customWidth="1"/>
    <col min="17" max="18" width="16" style="33" bestFit="1" customWidth="1"/>
    <col min="19" max="19" width="16" style="23" bestFit="1" customWidth="1"/>
    <col min="20" max="20" width="15.77734375" style="13" bestFit="1" customWidth="1"/>
    <col min="21" max="21" width="19" style="33" bestFit="1" customWidth="1"/>
    <col min="22" max="22" width="20" style="33" bestFit="1" customWidth="1"/>
    <col min="23" max="23" width="25" style="34" bestFit="1" customWidth="1"/>
    <col min="24" max="24" width="22.88671875" style="34" bestFit="1" customWidth="1"/>
    <col min="25" max="25" width="8.21875" style="23" customWidth="1"/>
    <col min="26" max="26" width="26.21875" style="23" bestFit="1" customWidth="1"/>
    <col min="27" max="27" width="2" style="23"/>
    <col min="28" max="28" width="8.5546875" style="34" bestFit="1" customWidth="1"/>
    <col min="29" max="29" width="7.77734375" style="50" bestFit="1" customWidth="1"/>
    <col min="30" max="30" width="8.21875" style="50" bestFit="1" customWidth="1"/>
    <col min="31" max="31" width="8.5546875" style="34" bestFit="1" customWidth="1"/>
    <col min="32" max="32" width="6.6640625" style="12" bestFit="1" customWidth="1"/>
    <col min="33" max="33" width="8.5546875" style="23" bestFit="1" customWidth="1"/>
    <col min="34" max="34" width="7.77734375" style="23" bestFit="1" customWidth="1"/>
    <col min="35" max="35" width="8.21875" style="23" bestFit="1" customWidth="1"/>
    <col min="36" max="37" width="8.5546875" style="23" bestFit="1" customWidth="1"/>
    <col min="38" max="38" width="7.77734375" style="23" bestFit="1" customWidth="1"/>
    <col min="39" max="39" width="8.21875" style="23" bestFit="1" customWidth="1"/>
    <col min="40" max="40" width="8.5546875" style="23" bestFit="1" customWidth="1"/>
    <col min="41" max="41" width="12.21875" style="23" bestFit="1" customWidth="1"/>
    <col min="42" max="16384" width="2" style="23"/>
  </cols>
  <sheetData>
    <row r="1" spans="1:41" s="38" customFormat="1" ht="9.6" customHeight="1" x14ac:dyDescent="0.3">
      <c r="B1" s="39"/>
      <c r="H1" s="40" t="s">
        <v>50</v>
      </c>
      <c r="I1" s="40" t="s">
        <v>47</v>
      </c>
      <c r="K1" s="41">
        <f>+I3*K3</f>
        <v>0</v>
      </c>
      <c r="L1" s="40"/>
      <c r="N1" s="38" t="s">
        <v>48</v>
      </c>
      <c r="T1" s="38" t="s">
        <v>49</v>
      </c>
      <c r="W1" s="40"/>
      <c r="X1" s="40"/>
      <c r="AB1" s="42" t="s">
        <v>54</v>
      </c>
      <c r="AC1" s="40"/>
      <c r="AD1" s="40"/>
      <c r="AE1" s="40"/>
      <c r="AK1" s="38" t="s">
        <v>30</v>
      </c>
      <c r="AL1" s="38" t="s">
        <v>33</v>
      </c>
      <c r="AN1" s="38" t="s">
        <v>51</v>
      </c>
    </row>
    <row r="2" spans="1:41" s="38" customFormat="1" ht="19.2" customHeight="1" x14ac:dyDescent="0.3">
      <c r="A2" s="43" t="s">
        <v>56</v>
      </c>
      <c r="B2" s="44" t="s">
        <v>57</v>
      </c>
      <c r="C2" s="43" t="s">
        <v>4</v>
      </c>
      <c r="D2" s="43" t="s">
        <v>5</v>
      </c>
      <c r="E2" s="43" t="s">
        <v>6</v>
      </c>
      <c r="F2" s="43" t="s">
        <v>7</v>
      </c>
      <c r="G2" s="43" t="s">
        <v>8</v>
      </c>
      <c r="H2" s="45" t="s">
        <v>9</v>
      </c>
      <c r="I2" s="45" t="s">
        <v>10</v>
      </c>
      <c r="J2" s="43" t="s">
        <v>11</v>
      </c>
      <c r="K2" s="46" t="s">
        <v>12</v>
      </c>
      <c r="L2" s="45" t="s">
        <v>13</v>
      </c>
      <c r="M2" s="47" t="s">
        <v>14</v>
      </c>
      <c r="N2" s="47" t="s">
        <v>15</v>
      </c>
      <c r="O2" s="47" t="s">
        <v>16</v>
      </c>
      <c r="P2" s="43" t="s">
        <v>17</v>
      </c>
      <c r="Q2" s="43" t="s">
        <v>17</v>
      </c>
      <c r="R2" s="43" t="s">
        <v>17</v>
      </c>
      <c r="S2" s="43" t="s">
        <v>17</v>
      </c>
      <c r="T2" s="43" t="s">
        <v>18</v>
      </c>
      <c r="U2" s="43" t="s">
        <v>19</v>
      </c>
      <c r="V2" s="43" t="s">
        <v>20</v>
      </c>
      <c r="W2" s="45" t="s">
        <v>21</v>
      </c>
      <c r="X2" s="45" t="s">
        <v>22</v>
      </c>
      <c r="Y2" s="43" t="s">
        <v>23</v>
      </c>
      <c r="Z2" s="43" t="s">
        <v>24</v>
      </c>
      <c r="AA2" s="43"/>
      <c r="AB2" s="45" t="s">
        <v>25</v>
      </c>
      <c r="AC2" s="45" t="s">
        <v>26</v>
      </c>
      <c r="AD2" s="45" t="s">
        <v>52</v>
      </c>
      <c r="AE2" s="45" t="s">
        <v>27</v>
      </c>
      <c r="AF2" s="43" t="s">
        <v>28</v>
      </c>
      <c r="AG2" s="45" t="s">
        <v>25</v>
      </c>
      <c r="AH2" s="45" t="s">
        <v>26</v>
      </c>
      <c r="AI2" s="45" t="s">
        <v>52</v>
      </c>
      <c r="AJ2" s="45" t="s">
        <v>27</v>
      </c>
      <c r="AK2" s="45" t="s">
        <v>25</v>
      </c>
      <c r="AL2" s="45" t="s">
        <v>26</v>
      </c>
      <c r="AM2" s="45" t="s">
        <v>52</v>
      </c>
      <c r="AN2" s="45" t="s">
        <v>27</v>
      </c>
      <c r="AO2" s="43" t="s">
        <v>29</v>
      </c>
    </row>
    <row r="3" spans="1:41" ht="13.8" customHeight="1" x14ac:dyDescent="0.3">
      <c r="A3" s="36" t="s">
        <v>3</v>
      </c>
      <c r="B3" s="19"/>
      <c r="C3" s="14"/>
      <c r="D3" s="14"/>
      <c r="E3" s="15"/>
      <c r="F3" s="15"/>
      <c r="G3" s="17">
        <f>+E3</f>
        <v>0</v>
      </c>
      <c r="H3" s="20">
        <f>+AL3+AM3</f>
        <v>0</v>
      </c>
      <c r="I3" s="20">
        <f>+AC3+AD3</f>
        <v>0</v>
      </c>
      <c r="J3" s="14"/>
      <c r="K3" s="21">
        <f>+AF3</f>
        <v>0</v>
      </c>
      <c r="L3" s="20">
        <f>+AL3</f>
        <v>0</v>
      </c>
      <c r="M3" s="19" t="s">
        <v>55</v>
      </c>
      <c r="N3" s="15"/>
      <c r="O3" s="14"/>
      <c r="P3" s="15"/>
      <c r="Q3" s="19" t="s">
        <v>0</v>
      </c>
      <c r="R3" s="19"/>
      <c r="S3" s="20" t="str">
        <f>(RIGHT(O3,7))</f>
        <v/>
      </c>
      <c r="T3" s="15"/>
      <c r="U3" s="19" t="s">
        <v>53</v>
      </c>
      <c r="V3" s="19" t="s">
        <v>2</v>
      </c>
      <c r="W3" s="20">
        <f>+AK3</f>
        <v>0</v>
      </c>
      <c r="X3" s="20">
        <f>+AL3</f>
        <v>0</v>
      </c>
      <c r="Y3" s="18" t="s">
        <v>3</v>
      </c>
      <c r="Z3" s="22">
        <f>+E3</f>
        <v>0</v>
      </c>
      <c r="AA3" s="18"/>
      <c r="AB3" s="20">
        <f>(AC3*100)/18</f>
        <v>0</v>
      </c>
      <c r="AC3" s="49"/>
      <c r="AD3" s="49"/>
      <c r="AE3" s="20">
        <f>+AB3+AC3+AD3</f>
        <v>0</v>
      </c>
      <c r="AF3" s="51"/>
      <c r="AG3" s="20">
        <f>+AB3*AF3</f>
        <v>0</v>
      </c>
      <c r="AH3" s="20">
        <f>+AC3*AF3</f>
        <v>0</v>
      </c>
      <c r="AI3" s="20">
        <f>+AD3*AF3</f>
        <v>0</v>
      </c>
      <c r="AJ3" s="20">
        <f>+AE3*AF3</f>
        <v>0</v>
      </c>
      <c r="AK3" s="20">
        <f t="shared" ref="AK3" si="0">+ROUND(AG3,2)</f>
        <v>0</v>
      </c>
      <c r="AL3" s="20">
        <f t="shared" ref="AL3" si="1">+ROUND(AH3,2)</f>
        <v>0</v>
      </c>
      <c r="AM3" s="20">
        <f>+ROUND(AI3,2)</f>
        <v>0</v>
      </c>
      <c r="AN3" s="20">
        <f t="shared" ref="AN3" si="2">+ROUND(AJ3,2)</f>
        <v>0</v>
      </c>
      <c r="AO3" s="20">
        <f>+AK3+AL3-AN3+AM3</f>
        <v>0</v>
      </c>
    </row>
    <row r="4" spans="1:41" s="30" customFormat="1" ht="14.4" hidden="1" x14ac:dyDescent="0.3">
      <c r="A4" s="24"/>
      <c r="B4" s="24"/>
      <c r="C4" s="25"/>
      <c r="D4" s="25"/>
      <c r="E4" s="25"/>
      <c r="F4" s="25"/>
      <c r="G4" s="25"/>
      <c r="H4" s="26"/>
      <c r="I4" s="26"/>
      <c r="J4" s="25"/>
      <c r="K4" s="27"/>
      <c r="L4" s="37"/>
      <c r="M4" s="25"/>
      <c r="N4" s="25"/>
      <c r="O4" s="25"/>
      <c r="P4" s="25"/>
      <c r="Q4" s="25"/>
      <c r="R4" s="25"/>
      <c r="S4" s="25"/>
      <c r="T4" s="25"/>
      <c r="U4" s="25"/>
      <c r="V4" s="25"/>
      <c r="W4" s="26"/>
      <c r="X4" s="26"/>
      <c r="Y4" s="25"/>
      <c r="Z4" s="25"/>
      <c r="AA4" s="25"/>
      <c r="AB4" s="26"/>
      <c r="AC4" s="26"/>
      <c r="AD4" s="26"/>
      <c r="AE4" s="26"/>
      <c r="AF4" s="29"/>
      <c r="AG4" s="26"/>
      <c r="AH4" s="26"/>
      <c r="AI4" s="26"/>
      <c r="AJ4" s="26"/>
      <c r="AK4" s="26"/>
      <c r="AL4" s="26"/>
      <c r="AM4" s="26"/>
      <c r="AN4" s="26"/>
      <c r="AO4" s="26"/>
    </row>
    <row r="5" spans="1:41" s="30" customFormat="1" ht="14.4" hidden="1" x14ac:dyDescent="0.3">
      <c r="A5" s="24"/>
      <c r="B5" s="24"/>
      <c r="C5" s="25"/>
      <c r="D5" s="25"/>
      <c r="E5" s="25"/>
      <c r="F5" s="25"/>
      <c r="G5" s="25"/>
      <c r="H5" s="26"/>
      <c r="I5" s="26"/>
      <c r="J5" s="25"/>
      <c r="K5" s="27"/>
      <c r="L5" s="37"/>
      <c r="M5" s="25"/>
      <c r="N5" s="25"/>
      <c r="O5" s="25"/>
      <c r="P5" s="25"/>
      <c r="Q5" s="25"/>
      <c r="R5" s="25"/>
      <c r="S5" s="25"/>
      <c r="T5" s="25"/>
      <c r="U5" s="25"/>
      <c r="V5" s="25"/>
      <c r="W5" s="26"/>
      <c r="X5" s="26"/>
      <c r="Y5" s="25"/>
      <c r="Z5" s="25"/>
      <c r="AA5" s="25"/>
      <c r="AB5" s="26"/>
      <c r="AC5" s="26"/>
      <c r="AD5" s="26"/>
      <c r="AE5" s="26"/>
      <c r="AF5" s="29"/>
      <c r="AG5" s="26"/>
      <c r="AH5" s="26"/>
      <c r="AI5" s="26"/>
      <c r="AJ5" s="26"/>
      <c r="AK5" s="26"/>
      <c r="AL5" s="26"/>
      <c r="AM5" s="26"/>
      <c r="AN5" s="26"/>
      <c r="AO5" s="26"/>
    </row>
    <row r="6" spans="1:41" s="30" customFormat="1" ht="14.4" hidden="1" x14ac:dyDescent="0.3">
      <c r="A6" s="24"/>
      <c r="B6" s="24"/>
      <c r="C6" s="25"/>
      <c r="D6" s="25"/>
      <c r="E6" s="25"/>
      <c r="F6" s="25"/>
      <c r="G6" s="25"/>
      <c r="H6" s="26"/>
      <c r="I6" s="26"/>
      <c r="J6" s="25"/>
      <c r="K6" s="27"/>
      <c r="L6" s="37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6"/>
      <c r="Y6" s="25"/>
      <c r="Z6" s="25"/>
      <c r="AA6" s="25"/>
      <c r="AB6" s="26"/>
      <c r="AC6" s="26"/>
      <c r="AD6" s="26"/>
      <c r="AE6" s="26"/>
      <c r="AF6" s="29"/>
      <c r="AG6" s="26"/>
      <c r="AH6" s="26"/>
      <c r="AI6" s="26"/>
      <c r="AJ6" s="26"/>
      <c r="AK6" s="26"/>
      <c r="AL6" s="26"/>
      <c r="AM6" s="26"/>
      <c r="AN6" s="26"/>
      <c r="AO6" s="26"/>
    </row>
    <row r="7" spans="1:41" ht="13.8" customHeight="1" x14ac:dyDescent="0.3">
      <c r="A7" s="16">
        <f>1+A3</f>
        <v>2</v>
      </c>
      <c r="B7" s="17"/>
      <c r="C7" s="14"/>
      <c r="D7" s="14"/>
      <c r="E7" s="15"/>
      <c r="F7" s="48"/>
      <c r="G7" s="17">
        <f>+E7</f>
        <v>0</v>
      </c>
      <c r="H7" s="20">
        <f>+AL7+AM7</f>
        <v>0</v>
      </c>
      <c r="I7" s="20">
        <f>+AC7+AD7</f>
        <v>0</v>
      </c>
      <c r="J7" s="14"/>
      <c r="K7" s="21">
        <f>+AF7</f>
        <v>0</v>
      </c>
      <c r="L7" s="20">
        <f>+AL7</f>
        <v>0</v>
      </c>
      <c r="M7" s="19" t="s">
        <v>55</v>
      </c>
      <c r="N7" s="15"/>
      <c r="O7" s="14"/>
      <c r="P7" s="15"/>
      <c r="Q7" s="19" t="s">
        <v>0</v>
      </c>
      <c r="R7" s="19"/>
      <c r="S7" s="20" t="str">
        <f>(RIGHT(O7,7))</f>
        <v/>
      </c>
      <c r="T7" s="15"/>
      <c r="U7" s="19" t="s">
        <v>53</v>
      </c>
      <c r="V7" s="19" t="s">
        <v>2</v>
      </c>
      <c r="W7" s="20">
        <f>+AK7</f>
        <v>0</v>
      </c>
      <c r="X7" s="20">
        <f>+AL7</f>
        <v>0</v>
      </c>
      <c r="Y7" s="18" t="s">
        <v>3</v>
      </c>
      <c r="Z7" s="22">
        <f>+G7</f>
        <v>0</v>
      </c>
      <c r="AA7" s="18"/>
      <c r="AB7" s="20">
        <f>(AC7*100)/18</f>
        <v>0</v>
      </c>
      <c r="AC7" s="49"/>
      <c r="AD7" s="49"/>
      <c r="AE7" s="20">
        <f>+AB7+AC7+AD7</f>
        <v>0</v>
      </c>
      <c r="AF7" s="51"/>
      <c r="AG7" s="20">
        <f>+AB7*AF7</f>
        <v>0</v>
      </c>
      <c r="AH7" s="20">
        <f>+AC7*AF7</f>
        <v>0</v>
      </c>
      <c r="AI7" s="20">
        <f>+AD7*AF7</f>
        <v>0</v>
      </c>
      <c r="AJ7" s="20">
        <f>+AE7*AF7</f>
        <v>0</v>
      </c>
      <c r="AK7" s="20">
        <f t="shared" ref="AK7" si="3">+ROUND(AG7,2)</f>
        <v>0</v>
      </c>
      <c r="AL7" s="20">
        <f t="shared" ref="AL7" si="4">+ROUND(AH7,2)</f>
        <v>0</v>
      </c>
      <c r="AM7" s="20">
        <f>+ROUND(AI7,2)</f>
        <v>0</v>
      </c>
      <c r="AN7" s="20">
        <f t="shared" ref="AN7" si="5">+ROUND(AJ7,2)</f>
        <v>0</v>
      </c>
      <c r="AO7" s="20">
        <f>+AK7+AL7-AN7+AM7</f>
        <v>0</v>
      </c>
    </row>
    <row r="8" spans="1:41" s="30" customFormat="1" ht="14.4" hidden="1" x14ac:dyDescent="0.3">
      <c r="A8" s="24"/>
      <c r="B8" s="24"/>
      <c r="C8" s="25"/>
      <c r="D8" s="25"/>
      <c r="E8" s="25"/>
      <c r="F8" s="25"/>
      <c r="G8" s="25"/>
      <c r="H8" s="26"/>
      <c r="I8" s="26"/>
      <c r="J8" s="25"/>
      <c r="K8" s="27"/>
      <c r="L8" s="26"/>
      <c r="M8" s="25"/>
      <c r="N8" s="25"/>
      <c r="O8" s="25"/>
      <c r="P8" s="25"/>
      <c r="Q8" s="25"/>
      <c r="R8" s="25"/>
      <c r="S8" s="26"/>
      <c r="T8" s="25"/>
      <c r="U8" s="25"/>
      <c r="V8" s="25"/>
      <c r="W8" s="26"/>
      <c r="X8" s="26"/>
      <c r="Y8" s="25"/>
      <c r="Z8" s="28"/>
      <c r="AA8" s="25"/>
      <c r="AB8" s="26"/>
      <c r="AC8" s="26"/>
      <c r="AD8" s="26"/>
      <c r="AE8" s="26"/>
      <c r="AF8" s="29"/>
      <c r="AG8" s="26"/>
      <c r="AH8" s="26"/>
      <c r="AI8" s="26"/>
      <c r="AJ8" s="26"/>
      <c r="AK8" s="26"/>
      <c r="AL8" s="26"/>
      <c r="AM8" s="26"/>
      <c r="AN8" s="26"/>
      <c r="AO8" s="26"/>
    </row>
    <row r="9" spans="1:41" s="30" customFormat="1" ht="14.4" hidden="1" x14ac:dyDescent="0.3">
      <c r="A9" s="24"/>
      <c r="B9" s="24"/>
      <c r="C9" s="25"/>
      <c r="D9" s="25"/>
      <c r="E9" s="25"/>
      <c r="F9" s="25"/>
      <c r="G9" s="25"/>
      <c r="H9" s="26"/>
      <c r="I9" s="26"/>
      <c r="J9" s="25"/>
      <c r="K9" s="27"/>
      <c r="L9" s="26"/>
      <c r="M9" s="25"/>
      <c r="N9" s="25"/>
      <c r="O9" s="25"/>
      <c r="P9" s="25"/>
      <c r="Q9" s="25"/>
      <c r="R9" s="25"/>
      <c r="S9" s="26"/>
      <c r="T9" s="25"/>
      <c r="U9" s="25"/>
      <c r="V9" s="25"/>
      <c r="W9" s="26"/>
      <c r="X9" s="26"/>
      <c r="Y9" s="25"/>
      <c r="Z9" s="28"/>
      <c r="AA9" s="25"/>
      <c r="AB9" s="26"/>
      <c r="AC9" s="26"/>
      <c r="AD9" s="26"/>
      <c r="AE9" s="26"/>
      <c r="AF9" s="29"/>
      <c r="AG9" s="26"/>
      <c r="AH9" s="26"/>
      <c r="AI9" s="26"/>
      <c r="AJ9" s="26"/>
      <c r="AK9" s="26"/>
      <c r="AL9" s="26"/>
      <c r="AM9" s="26"/>
      <c r="AN9" s="26"/>
      <c r="AO9" s="26"/>
    </row>
    <row r="10" spans="1:41" s="30" customFormat="1" ht="14.4" hidden="1" x14ac:dyDescent="0.3">
      <c r="A10" s="24"/>
      <c r="B10" s="24"/>
      <c r="C10" s="25"/>
      <c r="D10" s="25"/>
      <c r="E10" s="25"/>
      <c r="F10" s="25"/>
      <c r="G10" s="25"/>
      <c r="H10" s="26"/>
      <c r="I10" s="26"/>
      <c r="J10" s="25"/>
      <c r="K10" s="27"/>
      <c r="L10" s="26"/>
      <c r="M10" s="25"/>
      <c r="N10" s="25"/>
      <c r="O10" s="25"/>
      <c r="P10" s="25"/>
      <c r="Q10" s="25"/>
      <c r="R10" s="25"/>
      <c r="S10" s="26"/>
      <c r="T10" s="25"/>
      <c r="U10" s="25"/>
      <c r="V10" s="25"/>
      <c r="W10" s="26"/>
      <c r="X10" s="26"/>
      <c r="Y10" s="25"/>
      <c r="Z10" s="28"/>
      <c r="AA10" s="25"/>
      <c r="AB10" s="26"/>
      <c r="AC10" s="26"/>
      <c r="AD10" s="26"/>
      <c r="AE10" s="26"/>
      <c r="AF10" s="29"/>
      <c r="AG10" s="26"/>
      <c r="AH10" s="26"/>
      <c r="AI10" s="26"/>
      <c r="AJ10" s="26"/>
      <c r="AK10" s="26"/>
      <c r="AL10" s="26"/>
      <c r="AM10" s="26"/>
      <c r="AN10" s="26"/>
      <c r="AO10" s="26"/>
    </row>
    <row r="11" spans="1:41" ht="13.8" customHeight="1" x14ac:dyDescent="0.3">
      <c r="A11" s="16">
        <f>1+A7</f>
        <v>3</v>
      </c>
      <c r="B11" s="17"/>
      <c r="C11" s="14"/>
      <c r="D11" s="14"/>
      <c r="E11" s="15"/>
      <c r="F11" s="48"/>
      <c r="G11" s="17">
        <f>+E11</f>
        <v>0</v>
      </c>
      <c r="H11" s="20">
        <f>+AL11+AM11</f>
        <v>0</v>
      </c>
      <c r="I11" s="20">
        <f>+AC11+AD11</f>
        <v>0</v>
      </c>
      <c r="J11" s="14"/>
      <c r="K11" s="21">
        <f>+AF11</f>
        <v>0</v>
      </c>
      <c r="L11" s="20">
        <f>+AL11</f>
        <v>0</v>
      </c>
      <c r="M11" s="19" t="s">
        <v>55</v>
      </c>
      <c r="N11" s="15"/>
      <c r="O11" s="14"/>
      <c r="P11" s="15"/>
      <c r="Q11" s="19" t="s">
        <v>0</v>
      </c>
      <c r="R11" s="19"/>
      <c r="S11" s="20" t="str">
        <f>(RIGHT(O11,7))</f>
        <v/>
      </c>
      <c r="T11" s="15"/>
      <c r="U11" s="19" t="s">
        <v>53</v>
      </c>
      <c r="V11" s="19" t="s">
        <v>2</v>
      </c>
      <c r="W11" s="20">
        <f>+AK11</f>
        <v>0</v>
      </c>
      <c r="X11" s="20">
        <f>+AL11</f>
        <v>0</v>
      </c>
      <c r="Y11" s="18" t="s">
        <v>3</v>
      </c>
      <c r="Z11" s="22">
        <f>+G11</f>
        <v>0</v>
      </c>
      <c r="AA11" s="18"/>
      <c r="AB11" s="20">
        <f>(AC11*100)/18</f>
        <v>0</v>
      </c>
      <c r="AC11" s="49"/>
      <c r="AD11" s="49"/>
      <c r="AE11" s="20">
        <f>+AB11+AC11+AD11</f>
        <v>0</v>
      </c>
      <c r="AF11" s="51"/>
      <c r="AG11" s="20">
        <f>+AB11*AF11</f>
        <v>0</v>
      </c>
      <c r="AH11" s="20">
        <f>+AC11*AF11</f>
        <v>0</v>
      </c>
      <c r="AI11" s="20">
        <f>+AD11*AF11</f>
        <v>0</v>
      </c>
      <c r="AJ11" s="20">
        <f>+AE11*AF11</f>
        <v>0</v>
      </c>
      <c r="AK11" s="20">
        <f t="shared" ref="AK11" si="6">+ROUND(AG11,2)</f>
        <v>0</v>
      </c>
      <c r="AL11" s="20">
        <f t="shared" ref="AL11" si="7">+ROUND(AH11,2)</f>
        <v>0</v>
      </c>
      <c r="AM11" s="20">
        <f>+ROUND(AI11,2)</f>
        <v>0</v>
      </c>
      <c r="AN11" s="20">
        <f t="shared" ref="AN11" si="8">+ROUND(AJ11,2)</f>
        <v>0</v>
      </c>
      <c r="AO11" s="20">
        <f>+AK11+AL11-AN11+AM11</f>
        <v>0</v>
      </c>
    </row>
    <row r="12" spans="1:41" s="30" customFormat="1" ht="14.4" hidden="1" x14ac:dyDescent="0.3">
      <c r="A12" s="24"/>
      <c r="B12" s="24"/>
      <c r="C12" s="25"/>
      <c r="D12" s="25"/>
      <c r="E12" s="25"/>
      <c r="F12" s="25"/>
      <c r="G12" s="25"/>
      <c r="H12" s="26"/>
      <c r="I12" s="26"/>
      <c r="J12" s="25"/>
      <c r="K12" s="27"/>
      <c r="L12" s="26"/>
      <c r="M12" s="25"/>
      <c r="N12" s="25"/>
      <c r="O12" s="25"/>
      <c r="P12" s="25"/>
      <c r="Q12" s="25"/>
      <c r="R12" s="25"/>
      <c r="S12" s="26"/>
      <c r="T12" s="25"/>
      <c r="U12" s="25"/>
      <c r="V12" s="25"/>
      <c r="W12" s="26"/>
      <c r="X12" s="26"/>
      <c r="Y12" s="25"/>
      <c r="Z12" s="28"/>
      <c r="AA12" s="25"/>
      <c r="AB12" s="26"/>
      <c r="AC12" s="26"/>
      <c r="AD12" s="26"/>
      <c r="AE12" s="26"/>
      <c r="AF12" s="29"/>
      <c r="AG12" s="26"/>
      <c r="AH12" s="26"/>
      <c r="AI12" s="26"/>
      <c r="AJ12" s="26"/>
      <c r="AK12" s="26"/>
      <c r="AL12" s="26"/>
      <c r="AM12" s="26"/>
      <c r="AN12" s="26"/>
      <c r="AO12" s="26"/>
    </row>
    <row r="13" spans="1:41" s="30" customFormat="1" ht="14.4" hidden="1" x14ac:dyDescent="0.3">
      <c r="A13" s="24"/>
      <c r="B13" s="24"/>
      <c r="C13" s="25"/>
      <c r="D13" s="25"/>
      <c r="E13" s="25"/>
      <c r="F13" s="25"/>
      <c r="G13" s="25"/>
      <c r="H13" s="26"/>
      <c r="I13" s="26"/>
      <c r="J13" s="25"/>
      <c r="K13" s="27"/>
      <c r="L13" s="26"/>
      <c r="M13" s="25"/>
      <c r="N13" s="25"/>
      <c r="O13" s="25"/>
      <c r="P13" s="25"/>
      <c r="Q13" s="25"/>
      <c r="R13" s="25"/>
      <c r="S13" s="26"/>
      <c r="T13" s="25"/>
      <c r="U13" s="25"/>
      <c r="V13" s="25"/>
      <c r="W13" s="26"/>
      <c r="X13" s="26"/>
      <c r="Y13" s="25"/>
      <c r="Z13" s="28"/>
      <c r="AA13" s="25"/>
      <c r="AB13" s="26"/>
      <c r="AC13" s="26"/>
      <c r="AD13" s="26"/>
      <c r="AE13" s="26"/>
      <c r="AF13" s="29"/>
      <c r="AG13" s="26"/>
      <c r="AH13" s="26"/>
      <c r="AI13" s="26"/>
      <c r="AJ13" s="26"/>
      <c r="AK13" s="26"/>
      <c r="AL13" s="26"/>
      <c r="AM13" s="26"/>
      <c r="AN13" s="26"/>
      <c r="AO13" s="26"/>
    </row>
    <row r="14" spans="1:41" s="30" customFormat="1" ht="14.4" hidden="1" x14ac:dyDescent="0.3">
      <c r="A14" s="24"/>
      <c r="B14" s="24"/>
      <c r="C14" s="25"/>
      <c r="D14" s="25"/>
      <c r="E14" s="25"/>
      <c r="F14" s="25"/>
      <c r="G14" s="25"/>
      <c r="H14" s="26"/>
      <c r="I14" s="26"/>
      <c r="J14" s="25"/>
      <c r="K14" s="27"/>
      <c r="L14" s="26"/>
      <c r="M14" s="25"/>
      <c r="N14" s="25"/>
      <c r="O14" s="25"/>
      <c r="P14" s="25"/>
      <c r="Q14" s="25"/>
      <c r="R14" s="25"/>
      <c r="S14" s="26"/>
      <c r="T14" s="25"/>
      <c r="U14" s="25"/>
      <c r="V14" s="25"/>
      <c r="W14" s="26"/>
      <c r="X14" s="26"/>
      <c r="Y14" s="25"/>
      <c r="Z14" s="28"/>
      <c r="AA14" s="25"/>
      <c r="AB14" s="26"/>
      <c r="AC14" s="26"/>
      <c r="AD14" s="26"/>
      <c r="AE14" s="26"/>
      <c r="AF14" s="29"/>
      <c r="AG14" s="26"/>
      <c r="AH14" s="26"/>
      <c r="AI14" s="26"/>
      <c r="AJ14" s="26"/>
      <c r="AK14" s="26"/>
      <c r="AL14" s="26"/>
      <c r="AM14" s="26"/>
      <c r="AN14" s="26"/>
      <c r="AO14" s="26"/>
    </row>
    <row r="15" spans="1:41" ht="13.8" customHeight="1" x14ac:dyDescent="0.3">
      <c r="A15" s="16">
        <f>1+A11</f>
        <v>4</v>
      </c>
      <c r="B15" s="17"/>
      <c r="C15" s="14"/>
      <c r="D15" s="14"/>
      <c r="E15" s="15"/>
      <c r="F15" s="48"/>
      <c r="G15" s="17">
        <f>+E15</f>
        <v>0</v>
      </c>
      <c r="H15" s="20">
        <f>+AL15+AM15</f>
        <v>0</v>
      </c>
      <c r="I15" s="20">
        <f>+AC15+AD15</f>
        <v>0</v>
      </c>
      <c r="J15" s="14"/>
      <c r="K15" s="21">
        <f>+AF15</f>
        <v>0</v>
      </c>
      <c r="L15" s="20">
        <f>+AL15</f>
        <v>0</v>
      </c>
      <c r="M15" s="19" t="s">
        <v>55</v>
      </c>
      <c r="N15" s="15"/>
      <c r="O15" s="14"/>
      <c r="P15" s="15"/>
      <c r="Q15" s="19" t="s">
        <v>0</v>
      </c>
      <c r="R15" s="19"/>
      <c r="S15" s="20" t="str">
        <f>(RIGHT(O15,7))</f>
        <v/>
      </c>
      <c r="T15" s="15"/>
      <c r="U15" s="19" t="s">
        <v>53</v>
      </c>
      <c r="V15" s="19" t="s">
        <v>2</v>
      </c>
      <c r="W15" s="20">
        <f>+AK15</f>
        <v>0</v>
      </c>
      <c r="X15" s="20">
        <f>+AL15</f>
        <v>0</v>
      </c>
      <c r="Y15" s="18" t="s">
        <v>3</v>
      </c>
      <c r="Z15" s="22">
        <f>+G15</f>
        <v>0</v>
      </c>
      <c r="AA15" s="18"/>
      <c r="AB15" s="20">
        <f>(AC15*100)/18</f>
        <v>0</v>
      </c>
      <c r="AC15" s="49"/>
      <c r="AD15" s="49"/>
      <c r="AE15" s="20">
        <f>+AB15+AC15+AD15</f>
        <v>0</v>
      </c>
      <c r="AF15" s="51"/>
      <c r="AG15" s="20">
        <f>+AB15*AF15</f>
        <v>0</v>
      </c>
      <c r="AH15" s="20">
        <f>+AC15*AF15</f>
        <v>0</v>
      </c>
      <c r="AI15" s="20">
        <f>+AD15*AF15</f>
        <v>0</v>
      </c>
      <c r="AJ15" s="20">
        <f>+AE15*AF15</f>
        <v>0</v>
      </c>
      <c r="AK15" s="20">
        <f t="shared" ref="AK15" si="9">+ROUND(AG15,2)</f>
        <v>0</v>
      </c>
      <c r="AL15" s="20">
        <f t="shared" ref="AL15" si="10">+ROUND(AH15,2)</f>
        <v>0</v>
      </c>
      <c r="AM15" s="20">
        <f>+ROUND(AI15,2)</f>
        <v>0</v>
      </c>
      <c r="AN15" s="20">
        <f t="shared" ref="AN15" si="11">+ROUND(AJ15,2)</f>
        <v>0</v>
      </c>
      <c r="AO15" s="20">
        <f>+AK15+AL15-AN15+AM15</f>
        <v>0</v>
      </c>
    </row>
    <row r="16" spans="1:41" s="30" customFormat="1" ht="14.4" hidden="1" x14ac:dyDescent="0.3">
      <c r="A16" s="24"/>
      <c r="B16" s="24"/>
      <c r="C16" s="25"/>
      <c r="D16" s="25"/>
      <c r="E16" s="25"/>
      <c r="F16" s="25"/>
      <c r="G16" s="25"/>
      <c r="H16" s="26"/>
      <c r="I16" s="26"/>
      <c r="J16" s="25"/>
      <c r="K16" s="27"/>
      <c r="L16" s="26"/>
      <c r="M16" s="25"/>
      <c r="N16" s="25"/>
      <c r="O16" s="25"/>
      <c r="P16" s="25"/>
      <c r="Q16" s="25"/>
      <c r="R16" s="25"/>
      <c r="S16" s="26"/>
      <c r="T16" s="25"/>
      <c r="U16" s="25"/>
      <c r="V16" s="25"/>
      <c r="W16" s="26"/>
      <c r="X16" s="26"/>
      <c r="Y16" s="25"/>
      <c r="Z16" s="28"/>
      <c r="AA16" s="25"/>
      <c r="AB16" s="26"/>
      <c r="AC16" s="26"/>
      <c r="AD16" s="26"/>
      <c r="AE16" s="26"/>
      <c r="AF16" s="29"/>
      <c r="AG16" s="26"/>
      <c r="AH16" s="26"/>
      <c r="AI16" s="26"/>
      <c r="AJ16" s="26"/>
      <c r="AK16" s="26"/>
      <c r="AL16" s="26"/>
      <c r="AM16" s="26"/>
      <c r="AN16" s="26"/>
      <c r="AO16" s="26"/>
    </row>
    <row r="17" spans="1:41" s="30" customFormat="1" ht="14.4" hidden="1" x14ac:dyDescent="0.3">
      <c r="A17" s="24"/>
      <c r="B17" s="24"/>
      <c r="C17" s="25"/>
      <c r="D17" s="25"/>
      <c r="E17" s="25"/>
      <c r="F17" s="25"/>
      <c r="G17" s="25"/>
      <c r="H17" s="26"/>
      <c r="I17" s="26"/>
      <c r="J17" s="25"/>
      <c r="K17" s="27"/>
      <c r="L17" s="26"/>
      <c r="M17" s="25"/>
      <c r="N17" s="25"/>
      <c r="O17" s="25"/>
      <c r="P17" s="25"/>
      <c r="Q17" s="25"/>
      <c r="R17" s="25"/>
      <c r="S17" s="26"/>
      <c r="T17" s="25"/>
      <c r="U17" s="25"/>
      <c r="V17" s="25"/>
      <c r="W17" s="26"/>
      <c r="X17" s="26"/>
      <c r="Y17" s="25"/>
      <c r="Z17" s="28"/>
      <c r="AA17" s="25"/>
      <c r="AB17" s="26"/>
      <c r="AC17" s="26"/>
      <c r="AD17" s="26"/>
      <c r="AE17" s="26"/>
      <c r="AF17" s="29"/>
      <c r="AG17" s="26"/>
      <c r="AH17" s="26"/>
      <c r="AI17" s="26"/>
      <c r="AJ17" s="26"/>
      <c r="AK17" s="26"/>
      <c r="AL17" s="26"/>
      <c r="AM17" s="26"/>
      <c r="AN17" s="26"/>
      <c r="AO17" s="26"/>
    </row>
    <row r="18" spans="1:41" s="30" customFormat="1" ht="14.4" hidden="1" x14ac:dyDescent="0.3">
      <c r="A18" s="24"/>
      <c r="B18" s="24"/>
      <c r="C18" s="25"/>
      <c r="D18" s="25"/>
      <c r="E18" s="25"/>
      <c r="F18" s="25"/>
      <c r="G18" s="25"/>
      <c r="H18" s="26"/>
      <c r="I18" s="26"/>
      <c r="J18" s="25"/>
      <c r="K18" s="27"/>
      <c r="L18" s="26"/>
      <c r="M18" s="25"/>
      <c r="N18" s="25"/>
      <c r="O18" s="25"/>
      <c r="P18" s="25"/>
      <c r="Q18" s="25"/>
      <c r="R18" s="25"/>
      <c r="S18" s="26"/>
      <c r="T18" s="25"/>
      <c r="U18" s="25"/>
      <c r="V18" s="25"/>
      <c r="W18" s="26"/>
      <c r="X18" s="26"/>
      <c r="Y18" s="25"/>
      <c r="Z18" s="28"/>
      <c r="AA18" s="25"/>
      <c r="AB18" s="26"/>
      <c r="AC18" s="26"/>
      <c r="AD18" s="26"/>
      <c r="AE18" s="26"/>
      <c r="AF18" s="29"/>
      <c r="AG18" s="26"/>
      <c r="AH18" s="26"/>
      <c r="AI18" s="26"/>
      <c r="AJ18" s="26"/>
      <c r="AK18" s="26"/>
      <c r="AL18" s="26"/>
      <c r="AM18" s="26"/>
      <c r="AN18" s="26"/>
      <c r="AO18" s="26"/>
    </row>
    <row r="19" spans="1:41" ht="13.8" customHeight="1" x14ac:dyDescent="0.3">
      <c r="A19" s="16">
        <f>1+A15</f>
        <v>5</v>
      </c>
      <c r="B19" s="17"/>
      <c r="C19" s="14"/>
      <c r="D19" s="14"/>
      <c r="E19" s="15"/>
      <c r="F19" s="48"/>
      <c r="G19" s="17">
        <f>+E19</f>
        <v>0</v>
      </c>
      <c r="H19" s="20">
        <f>+AL19+AM19</f>
        <v>0</v>
      </c>
      <c r="I19" s="20">
        <f>+AC19+AD19</f>
        <v>0</v>
      </c>
      <c r="J19" s="14"/>
      <c r="K19" s="21">
        <f>+AF19</f>
        <v>0</v>
      </c>
      <c r="L19" s="20">
        <f>+AL19</f>
        <v>0</v>
      </c>
      <c r="M19" s="19" t="s">
        <v>55</v>
      </c>
      <c r="N19" s="15"/>
      <c r="O19" s="14"/>
      <c r="P19" s="15"/>
      <c r="Q19" s="19" t="s">
        <v>0</v>
      </c>
      <c r="R19" s="19"/>
      <c r="S19" s="20" t="str">
        <f>(RIGHT(O19,7))</f>
        <v/>
      </c>
      <c r="T19" s="15"/>
      <c r="U19" s="19" t="s">
        <v>53</v>
      </c>
      <c r="V19" s="19" t="s">
        <v>2</v>
      </c>
      <c r="W19" s="20">
        <f>+AK19</f>
        <v>0</v>
      </c>
      <c r="X19" s="20">
        <f>+AL19</f>
        <v>0</v>
      </c>
      <c r="Y19" s="18" t="s">
        <v>3</v>
      </c>
      <c r="Z19" s="22">
        <f>+G19</f>
        <v>0</v>
      </c>
      <c r="AA19" s="18"/>
      <c r="AB19" s="20">
        <f>(AC19*100)/18</f>
        <v>0</v>
      </c>
      <c r="AC19" s="49"/>
      <c r="AD19" s="49"/>
      <c r="AE19" s="20">
        <f>+AB19+AC19+AD19</f>
        <v>0</v>
      </c>
      <c r="AF19" s="51"/>
      <c r="AG19" s="20">
        <f>+AB19*AF19</f>
        <v>0</v>
      </c>
      <c r="AH19" s="20">
        <f>+AC19*AF19</f>
        <v>0</v>
      </c>
      <c r="AI19" s="20">
        <f>+AD19*AF19</f>
        <v>0</v>
      </c>
      <c r="AJ19" s="20">
        <f>+AE19*AF19</f>
        <v>0</v>
      </c>
      <c r="AK19" s="20">
        <f t="shared" ref="AK19" si="12">+ROUND(AG19,2)</f>
        <v>0</v>
      </c>
      <c r="AL19" s="20">
        <f t="shared" ref="AL19" si="13">+ROUND(AH19,2)</f>
        <v>0</v>
      </c>
      <c r="AM19" s="20">
        <f>+ROUND(AI19,2)</f>
        <v>0</v>
      </c>
      <c r="AN19" s="20">
        <f t="shared" ref="AN19" si="14">+ROUND(AJ19,2)</f>
        <v>0</v>
      </c>
      <c r="AO19" s="20">
        <f>+AK19+AL19-AN19+AM19</f>
        <v>0</v>
      </c>
    </row>
    <row r="20" spans="1:41" s="30" customFormat="1" ht="14.4" hidden="1" x14ac:dyDescent="0.3">
      <c r="A20" s="24"/>
      <c r="B20" s="24"/>
      <c r="C20" s="25"/>
      <c r="D20" s="25"/>
      <c r="E20" s="25"/>
      <c r="F20" s="25"/>
      <c r="G20" s="25"/>
      <c r="H20" s="26"/>
      <c r="I20" s="26"/>
      <c r="J20" s="25"/>
      <c r="K20" s="27"/>
      <c r="L20" s="26"/>
      <c r="M20" s="25"/>
      <c r="N20" s="25"/>
      <c r="O20" s="25"/>
      <c r="P20" s="25"/>
      <c r="Q20" s="25"/>
      <c r="R20" s="25"/>
      <c r="S20" s="26"/>
      <c r="T20" s="25"/>
      <c r="U20" s="25"/>
      <c r="V20" s="25"/>
      <c r="W20" s="26"/>
      <c r="X20" s="26"/>
      <c r="Y20" s="25"/>
      <c r="Z20" s="28"/>
      <c r="AA20" s="25"/>
      <c r="AB20" s="26"/>
      <c r="AC20" s="26"/>
      <c r="AD20" s="26"/>
      <c r="AE20" s="26"/>
      <c r="AF20" s="29"/>
      <c r="AG20" s="26"/>
      <c r="AH20" s="26"/>
      <c r="AI20" s="26"/>
      <c r="AJ20" s="26"/>
      <c r="AK20" s="26"/>
      <c r="AL20" s="26"/>
      <c r="AM20" s="26"/>
      <c r="AN20" s="26"/>
      <c r="AO20" s="26"/>
    </row>
    <row r="21" spans="1:41" s="30" customFormat="1" ht="14.4" hidden="1" x14ac:dyDescent="0.3">
      <c r="A21" s="24"/>
      <c r="B21" s="24"/>
      <c r="C21" s="25"/>
      <c r="D21" s="25"/>
      <c r="E21" s="25"/>
      <c r="F21" s="25"/>
      <c r="G21" s="25"/>
      <c r="H21" s="26"/>
      <c r="I21" s="26"/>
      <c r="J21" s="25"/>
      <c r="K21" s="27"/>
      <c r="L21" s="26"/>
      <c r="M21" s="25"/>
      <c r="N21" s="25"/>
      <c r="O21" s="25"/>
      <c r="P21" s="25"/>
      <c r="Q21" s="25"/>
      <c r="R21" s="25"/>
      <c r="S21" s="26"/>
      <c r="T21" s="25"/>
      <c r="U21" s="25"/>
      <c r="V21" s="25"/>
      <c r="W21" s="26"/>
      <c r="X21" s="26"/>
      <c r="Y21" s="25"/>
      <c r="Z21" s="28"/>
      <c r="AA21" s="25"/>
      <c r="AB21" s="26"/>
      <c r="AC21" s="26"/>
      <c r="AD21" s="26"/>
      <c r="AE21" s="26"/>
      <c r="AF21" s="29"/>
      <c r="AG21" s="26"/>
      <c r="AH21" s="26"/>
      <c r="AI21" s="26"/>
      <c r="AJ21" s="26"/>
      <c r="AK21" s="26"/>
      <c r="AL21" s="26"/>
      <c r="AM21" s="26"/>
      <c r="AN21" s="26"/>
      <c r="AO21" s="26"/>
    </row>
    <row r="22" spans="1:41" s="30" customFormat="1" ht="14.4" hidden="1" x14ac:dyDescent="0.3">
      <c r="A22" s="24"/>
      <c r="B22" s="24"/>
      <c r="C22" s="25"/>
      <c r="D22" s="25"/>
      <c r="E22" s="25"/>
      <c r="F22" s="25"/>
      <c r="G22" s="25"/>
      <c r="H22" s="26"/>
      <c r="I22" s="26"/>
      <c r="J22" s="25"/>
      <c r="K22" s="27"/>
      <c r="L22" s="26"/>
      <c r="M22" s="25"/>
      <c r="N22" s="25"/>
      <c r="O22" s="25"/>
      <c r="P22" s="25"/>
      <c r="Q22" s="25"/>
      <c r="R22" s="25"/>
      <c r="S22" s="26"/>
      <c r="T22" s="25"/>
      <c r="U22" s="25"/>
      <c r="V22" s="25"/>
      <c r="W22" s="26"/>
      <c r="X22" s="26"/>
      <c r="Y22" s="25"/>
      <c r="Z22" s="28"/>
      <c r="AA22" s="25"/>
      <c r="AB22" s="26"/>
      <c r="AC22" s="26"/>
      <c r="AD22" s="26"/>
      <c r="AE22" s="26"/>
      <c r="AF22" s="29"/>
      <c r="AG22" s="26"/>
      <c r="AH22" s="26"/>
      <c r="AI22" s="26"/>
      <c r="AJ22" s="26"/>
      <c r="AK22" s="26"/>
      <c r="AL22" s="26"/>
      <c r="AM22" s="26"/>
      <c r="AN22" s="26"/>
      <c r="AO22" s="26"/>
    </row>
    <row r="23" spans="1:41" ht="13.8" customHeight="1" x14ac:dyDescent="0.3">
      <c r="A23" s="16">
        <f t="shared" ref="A23" si="15">1+A19</f>
        <v>6</v>
      </c>
      <c r="B23" s="17"/>
      <c r="C23" s="14"/>
      <c r="D23" s="14"/>
      <c r="E23" s="15"/>
      <c r="F23" s="48"/>
      <c r="G23" s="17">
        <f>+E23</f>
        <v>0</v>
      </c>
      <c r="H23" s="20">
        <f t="shared" ref="H23" si="16">+AL23+AM23</f>
        <v>0</v>
      </c>
      <c r="I23" s="20">
        <f t="shared" ref="I23" si="17">+AC23+AD23</f>
        <v>0</v>
      </c>
      <c r="J23" s="14"/>
      <c r="K23" s="21">
        <f t="shared" ref="K23" si="18">+AF23</f>
        <v>0</v>
      </c>
      <c r="L23" s="20">
        <f t="shared" ref="L23" si="19">+AL23</f>
        <v>0</v>
      </c>
      <c r="M23" s="19" t="s">
        <v>55</v>
      </c>
      <c r="N23" s="15"/>
      <c r="O23" s="14"/>
      <c r="P23" s="15"/>
      <c r="Q23" s="19" t="s">
        <v>0</v>
      </c>
      <c r="R23" s="19"/>
      <c r="S23" s="20" t="str">
        <f t="shared" ref="S23" si="20">(RIGHT(O23,7))</f>
        <v/>
      </c>
      <c r="T23" s="15"/>
      <c r="U23" s="19" t="s">
        <v>53</v>
      </c>
      <c r="V23" s="19" t="s">
        <v>2</v>
      </c>
      <c r="W23" s="20">
        <f t="shared" ref="W23" si="21">+AK23</f>
        <v>0</v>
      </c>
      <c r="X23" s="20">
        <f t="shared" ref="X23" si="22">+AL23</f>
        <v>0</v>
      </c>
      <c r="Y23" s="18" t="s">
        <v>3</v>
      </c>
      <c r="Z23" s="22">
        <f t="shared" ref="Z23" si="23">+G23</f>
        <v>0</v>
      </c>
      <c r="AA23" s="18"/>
      <c r="AB23" s="20">
        <f t="shared" ref="AB23" si="24">(AC23*100)/18</f>
        <v>0</v>
      </c>
      <c r="AC23" s="49"/>
      <c r="AD23" s="49"/>
      <c r="AE23" s="20">
        <f t="shared" ref="AE23" si="25">+AB23+AC23+AD23</f>
        <v>0</v>
      </c>
      <c r="AF23" s="51"/>
      <c r="AG23" s="20">
        <f>+AB23*AF23</f>
        <v>0</v>
      </c>
      <c r="AH23" s="20">
        <f>+AC23*AF23</f>
        <v>0</v>
      </c>
      <c r="AI23" s="20">
        <f>+AD23*AF23</f>
        <v>0</v>
      </c>
      <c r="AJ23" s="20">
        <f>+AE23*AF23</f>
        <v>0</v>
      </c>
      <c r="AK23" s="20">
        <f t="shared" ref="AK23" si="26">+ROUND(AG23,2)</f>
        <v>0</v>
      </c>
      <c r="AL23" s="20">
        <f t="shared" ref="AL23" si="27">+ROUND(AH23,2)</f>
        <v>0</v>
      </c>
      <c r="AM23" s="20">
        <f>+ROUND(AI23,2)</f>
        <v>0</v>
      </c>
      <c r="AN23" s="20">
        <f t="shared" ref="AN23" si="28">+ROUND(AJ23,2)</f>
        <v>0</v>
      </c>
      <c r="AO23" s="20">
        <f>+AK23+AL23-AN23+AM23</f>
        <v>0</v>
      </c>
    </row>
    <row r="24" spans="1:41" s="30" customFormat="1" ht="14.4" hidden="1" x14ac:dyDescent="0.3">
      <c r="A24" s="24"/>
      <c r="B24" s="24"/>
      <c r="C24" s="25"/>
      <c r="D24" s="25"/>
      <c r="E24" s="25"/>
      <c r="F24" s="25"/>
      <c r="G24" s="25"/>
      <c r="H24" s="26"/>
      <c r="I24" s="26"/>
      <c r="J24" s="25"/>
      <c r="K24" s="27"/>
      <c r="L24" s="26"/>
      <c r="M24" s="25"/>
      <c r="N24" s="25"/>
      <c r="O24" s="25"/>
      <c r="P24" s="25"/>
      <c r="Q24" s="25"/>
      <c r="R24" s="25"/>
      <c r="S24" s="26"/>
      <c r="T24" s="25"/>
      <c r="U24" s="25"/>
      <c r="V24" s="25"/>
      <c r="W24" s="26"/>
      <c r="X24" s="26"/>
      <c r="Y24" s="25"/>
      <c r="Z24" s="28"/>
      <c r="AA24" s="25"/>
      <c r="AB24" s="26"/>
      <c r="AC24" s="26"/>
      <c r="AD24" s="26"/>
      <c r="AE24" s="26"/>
      <c r="AF24" s="29"/>
      <c r="AG24" s="26"/>
      <c r="AH24" s="26"/>
      <c r="AI24" s="26"/>
      <c r="AJ24" s="26"/>
      <c r="AK24" s="26"/>
      <c r="AL24" s="26"/>
      <c r="AM24" s="26"/>
      <c r="AN24" s="26"/>
      <c r="AO24" s="26"/>
    </row>
    <row r="25" spans="1:41" s="30" customFormat="1" ht="14.4" hidden="1" x14ac:dyDescent="0.3">
      <c r="A25" s="24"/>
      <c r="B25" s="24"/>
      <c r="C25" s="25"/>
      <c r="D25" s="25"/>
      <c r="E25" s="25"/>
      <c r="F25" s="25"/>
      <c r="G25" s="25"/>
      <c r="H25" s="26"/>
      <c r="I25" s="26"/>
      <c r="J25" s="25"/>
      <c r="K25" s="27"/>
      <c r="L25" s="26"/>
      <c r="M25" s="25"/>
      <c r="N25" s="25"/>
      <c r="O25" s="25"/>
      <c r="P25" s="25"/>
      <c r="Q25" s="25"/>
      <c r="R25" s="25"/>
      <c r="S25" s="26"/>
      <c r="T25" s="25"/>
      <c r="U25" s="25"/>
      <c r="V25" s="25"/>
      <c r="W25" s="26"/>
      <c r="X25" s="26"/>
      <c r="Y25" s="25"/>
      <c r="Z25" s="28"/>
      <c r="AA25" s="25"/>
      <c r="AB25" s="26"/>
      <c r="AC25" s="26"/>
      <c r="AD25" s="26"/>
      <c r="AE25" s="26"/>
      <c r="AF25" s="29"/>
      <c r="AG25" s="26"/>
      <c r="AH25" s="26"/>
      <c r="AI25" s="26"/>
      <c r="AJ25" s="26"/>
      <c r="AK25" s="26"/>
      <c r="AL25" s="26"/>
      <c r="AM25" s="26"/>
      <c r="AN25" s="26"/>
      <c r="AO25" s="26"/>
    </row>
    <row r="26" spans="1:41" s="30" customFormat="1" ht="14.4" hidden="1" x14ac:dyDescent="0.3">
      <c r="A26" s="24"/>
      <c r="B26" s="24"/>
      <c r="C26" s="25"/>
      <c r="D26" s="25"/>
      <c r="E26" s="25"/>
      <c r="F26" s="25"/>
      <c r="G26" s="25"/>
      <c r="H26" s="26"/>
      <c r="I26" s="26"/>
      <c r="J26" s="25"/>
      <c r="K26" s="27"/>
      <c r="L26" s="26"/>
      <c r="M26" s="25"/>
      <c r="N26" s="25"/>
      <c r="O26" s="25"/>
      <c r="P26" s="25"/>
      <c r="Q26" s="25"/>
      <c r="R26" s="25"/>
      <c r="S26" s="26"/>
      <c r="T26" s="25"/>
      <c r="U26" s="25"/>
      <c r="V26" s="25"/>
      <c r="W26" s="26"/>
      <c r="X26" s="26"/>
      <c r="Y26" s="25"/>
      <c r="Z26" s="28"/>
      <c r="AA26" s="25"/>
      <c r="AB26" s="26"/>
      <c r="AC26" s="26"/>
      <c r="AD26" s="26"/>
      <c r="AE26" s="26"/>
      <c r="AF26" s="29"/>
      <c r="AG26" s="26"/>
      <c r="AH26" s="26"/>
      <c r="AI26" s="26"/>
      <c r="AJ26" s="26"/>
      <c r="AK26" s="26"/>
      <c r="AL26" s="26"/>
      <c r="AM26" s="26"/>
      <c r="AN26" s="26"/>
      <c r="AO26" s="26"/>
    </row>
    <row r="27" spans="1:41" ht="13.8" customHeight="1" x14ac:dyDescent="0.3">
      <c r="A27" s="16">
        <f t="shared" ref="A27" si="29">1+A23</f>
        <v>7</v>
      </c>
      <c r="B27" s="17"/>
      <c r="C27" s="14"/>
      <c r="D27" s="14"/>
      <c r="E27" s="15"/>
      <c r="F27" s="48"/>
      <c r="G27" s="17">
        <f>+E27</f>
        <v>0</v>
      </c>
      <c r="H27" s="20">
        <f t="shared" ref="H27" si="30">+AL27+AM27</f>
        <v>0</v>
      </c>
      <c r="I27" s="20">
        <f t="shared" ref="I27" si="31">+AC27+AD27</f>
        <v>0</v>
      </c>
      <c r="J27" s="14"/>
      <c r="K27" s="21">
        <f t="shared" ref="K27" si="32">+AF27</f>
        <v>0</v>
      </c>
      <c r="L27" s="20">
        <f t="shared" ref="L27" si="33">+AL27</f>
        <v>0</v>
      </c>
      <c r="M27" s="19" t="s">
        <v>55</v>
      </c>
      <c r="N27" s="15"/>
      <c r="O27" s="14"/>
      <c r="P27" s="15"/>
      <c r="Q27" s="19" t="s">
        <v>0</v>
      </c>
      <c r="R27" s="19"/>
      <c r="S27" s="20" t="str">
        <f t="shared" ref="S27" si="34">(RIGHT(O27,7))</f>
        <v/>
      </c>
      <c r="T27" s="15"/>
      <c r="U27" s="19" t="s">
        <v>53</v>
      </c>
      <c r="V27" s="19" t="s">
        <v>2</v>
      </c>
      <c r="W27" s="20">
        <f t="shared" ref="W27" si="35">+AK27</f>
        <v>0</v>
      </c>
      <c r="X27" s="20">
        <f t="shared" ref="X27" si="36">+AL27</f>
        <v>0</v>
      </c>
      <c r="Y27" s="18" t="s">
        <v>3</v>
      </c>
      <c r="Z27" s="22">
        <f t="shared" ref="Z27" si="37">+G27</f>
        <v>0</v>
      </c>
      <c r="AA27" s="18"/>
      <c r="AB27" s="20">
        <f t="shared" ref="AB27" si="38">(AC27*100)/18</f>
        <v>0</v>
      </c>
      <c r="AC27" s="49"/>
      <c r="AD27" s="49"/>
      <c r="AE27" s="20">
        <f t="shared" ref="AE27" si="39">+AB27+AC27+AD27</f>
        <v>0</v>
      </c>
      <c r="AF27" s="51"/>
      <c r="AG27" s="20">
        <f>+AB27*AF27</f>
        <v>0</v>
      </c>
      <c r="AH27" s="20">
        <f>+AC27*AF27</f>
        <v>0</v>
      </c>
      <c r="AI27" s="20">
        <f>+AD27*AF27</f>
        <v>0</v>
      </c>
      <c r="AJ27" s="20">
        <f>+AE27*AF27</f>
        <v>0</v>
      </c>
      <c r="AK27" s="20">
        <f t="shared" ref="AK27" si="40">+ROUND(AG27,2)</f>
        <v>0</v>
      </c>
      <c r="AL27" s="20">
        <f t="shared" ref="AL27" si="41">+ROUND(AH27,2)</f>
        <v>0</v>
      </c>
      <c r="AM27" s="20">
        <f>+ROUND(AI27,2)</f>
        <v>0</v>
      </c>
      <c r="AN27" s="20">
        <f t="shared" ref="AN27" si="42">+ROUND(AJ27,2)</f>
        <v>0</v>
      </c>
      <c r="AO27" s="20">
        <f>+AK27+AL27-AN27+AM27</f>
        <v>0</v>
      </c>
    </row>
    <row r="28" spans="1:41" s="30" customFormat="1" ht="14.4" hidden="1" x14ac:dyDescent="0.3">
      <c r="A28" s="24"/>
      <c r="B28" s="24"/>
      <c r="C28" s="25"/>
      <c r="D28" s="25"/>
      <c r="E28" s="25"/>
      <c r="F28" s="25"/>
      <c r="G28" s="25"/>
      <c r="H28" s="26"/>
      <c r="I28" s="26"/>
      <c r="J28" s="25"/>
      <c r="K28" s="27"/>
      <c r="L28" s="26"/>
      <c r="M28" s="25"/>
      <c r="N28" s="25"/>
      <c r="O28" s="25"/>
      <c r="P28" s="25"/>
      <c r="Q28" s="25"/>
      <c r="R28" s="25"/>
      <c r="S28" s="26"/>
      <c r="T28" s="25"/>
      <c r="U28" s="25"/>
      <c r="V28" s="25"/>
      <c r="W28" s="26"/>
      <c r="X28" s="26"/>
      <c r="Y28" s="25"/>
      <c r="Z28" s="28"/>
      <c r="AA28" s="25"/>
      <c r="AB28" s="26"/>
      <c r="AC28" s="26"/>
      <c r="AD28" s="26"/>
      <c r="AE28" s="26"/>
      <c r="AF28" s="29"/>
      <c r="AG28" s="26"/>
      <c r="AH28" s="26"/>
      <c r="AI28" s="26"/>
      <c r="AJ28" s="26"/>
      <c r="AK28" s="26"/>
      <c r="AL28" s="26"/>
      <c r="AM28" s="26"/>
      <c r="AN28" s="26"/>
      <c r="AO28" s="26"/>
    </row>
    <row r="29" spans="1:41" s="30" customFormat="1" ht="14.4" hidden="1" x14ac:dyDescent="0.3">
      <c r="A29" s="24"/>
      <c r="B29" s="24"/>
      <c r="C29" s="25"/>
      <c r="D29" s="25"/>
      <c r="E29" s="25"/>
      <c r="F29" s="25"/>
      <c r="G29" s="25"/>
      <c r="H29" s="26"/>
      <c r="I29" s="26"/>
      <c r="J29" s="25"/>
      <c r="K29" s="27"/>
      <c r="L29" s="26"/>
      <c r="M29" s="25"/>
      <c r="N29" s="25"/>
      <c r="O29" s="25"/>
      <c r="P29" s="25"/>
      <c r="Q29" s="25"/>
      <c r="R29" s="25"/>
      <c r="S29" s="26"/>
      <c r="T29" s="25"/>
      <c r="U29" s="25"/>
      <c r="V29" s="25"/>
      <c r="W29" s="26"/>
      <c r="X29" s="26"/>
      <c r="Y29" s="25"/>
      <c r="Z29" s="28"/>
      <c r="AA29" s="25"/>
      <c r="AB29" s="26"/>
      <c r="AC29" s="26"/>
      <c r="AD29" s="26"/>
      <c r="AE29" s="26"/>
      <c r="AF29" s="29"/>
      <c r="AG29" s="26"/>
      <c r="AH29" s="26"/>
      <c r="AI29" s="26"/>
      <c r="AJ29" s="26"/>
      <c r="AK29" s="26"/>
      <c r="AL29" s="26"/>
      <c r="AM29" s="26"/>
      <c r="AN29" s="26"/>
      <c r="AO29" s="26"/>
    </row>
    <row r="30" spans="1:41" s="30" customFormat="1" ht="14.4" hidden="1" x14ac:dyDescent="0.3">
      <c r="A30" s="24"/>
      <c r="B30" s="24"/>
      <c r="C30" s="25"/>
      <c r="D30" s="25"/>
      <c r="E30" s="25"/>
      <c r="F30" s="25"/>
      <c r="G30" s="25"/>
      <c r="H30" s="26"/>
      <c r="I30" s="26"/>
      <c r="J30" s="25"/>
      <c r="K30" s="27"/>
      <c r="L30" s="26"/>
      <c r="M30" s="25"/>
      <c r="N30" s="25"/>
      <c r="O30" s="25"/>
      <c r="P30" s="25"/>
      <c r="Q30" s="25"/>
      <c r="R30" s="25"/>
      <c r="S30" s="26"/>
      <c r="T30" s="25"/>
      <c r="U30" s="25"/>
      <c r="V30" s="25"/>
      <c r="W30" s="26"/>
      <c r="X30" s="26"/>
      <c r="Y30" s="25"/>
      <c r="Z30" s="28"/>
      <c r="AA30" s="25"/>
      <c r="AB30" s="26"/>
      <c r="AC30" s="26"/>
      <c r="AD30" s="26"/>
      <c r="AE30" s="26"/>
      <c r="AF30" s="29"/>
      <c r="AG30" s="26"/>
      <c r="AH30" s="26"/>
      <c r="AI30" s="26"/>
      <c r="AJ30" s="26"/>
      <c r="AK30" s="26"/>
      <c r="AL30" s="26"/>
      <c r="AM30" s="26"/>
      <c r="AN30" s="26"/>
      <c r="AO30" s="26"/>
    </row>
    <row r="31" spans="1:41" ht="13.8" customHeight="1" x14ac:dyDescent="0.3">
      <c r="A31" s="16">
        <f t="shared" ref="A31" si="43">1+A27</f>
        <v>8</v>
      </c>
      <c r="B31" s="17"/>
      <c r="C31" s="14"/>
      <c r="D31" s="14"/>
      <c r="E31" s="15"/>
      <c r="F31" s="48"/>
      <c r="G31" s="17">
        <f>+E31</f>
        <v>0</v>
      </c>
      <c r="H31" s="20">
        <f t="shared" ref="H31" si="44">+AL31+AM31</f>
        <v>0</v>
      </c>
      <c r="I31" s="20">
        <f t="shared" ref="I31" si="45">+AC31+AD31</f>
        <v>0</v>
      </c>
      <c r="J31" s="14"/>
      <c r="K31" s="21">
        <f t="shared" ref="K31" si="46">+AF31</f>
        <v>0</v>
      </c>
      <c r="L31" s="20">
        <f t="shared" ref="L31" si="47">+AL31</f>
        <v>0</v>
      </c>
      <c r="M31" s="19" t="s">
        <v>55</v>
      </c>
      <c r="N31" s="15"/>
      <c r="O31" s="14"/>
      <c r="P31" s="15"/>
      <c r="Q31" s="19" t="s">
        <v>0</v>
      </c>
      <c r="R31" s="19"/>
      <c r="S31" s="20" t="str">
        <f t="shared" ref="S31" si="48">(RIGHT(O31,7))</f>
        <v/>
      </c>
      <c r="T31" s="15"/>
      <c r="U31" s="19" t="s">
        <v>53</v>
      </c>
      <c r="V31" s="19" t="s">
        <v>2</v>
      </c>
      <c r="W31" s="20">
        <f t="shared" ref="W31" si="49">+AK31</f>
        <v>0</v>
      </c>
      <c r="X31" s="20">
        <f t="shared" ref="X31" si="50">+AL31</f>
        <v>0</v>
      </c>
      <c r="Y31" s="18" t="s">
        <v>3</v>
      </c>
      <c r="Z31" s="22">
        <f t="shared" ref="Z31" si="51">+G31</f>
        <v>0</v>
      </c>
      <c r="AA31" s="18"/>
      <c r="AB31" s="20">
        <f t="shared" ref="AB31" si="52">(AC31*100)/18</f>
        <v>0</v>
      </c>
      <c r="AC31" s="49"/>
      <c r="AD31" s="49"/>
      <c r="AE31" s="20">
        <f t="shared" ref="AE31" si="53">+AB31+AC31+AD31</f>
        <v>0</v>
      </c>
      <c r="AF31" s="51"/>
      <c r="AG31" s="20">
        <f>+AB31*AF31</f>
        <v>0</v>
      </c>
      <c r="AH31" s="20">
        <f>+AC31*AF31</f>
        <v>0</v>
      </c>
      <c r="AI31" s="20">
        <f>+AD31*AF31</f>
        <v>0</v>
      </c>
      <c r="AJ31" s="20">
        <f>+AE31*AF31</f>
        <v>0</v>
      </c>
      <c r="AK31" s="20">
        <f t="shared" ref="AK31" si="54">+ROUND(AG31,2)</f>
        <v>0</v>
      </c>
      <c r="AL31" s="20">
        <f t="shared" ref="AL31" si="55">+ROUND(AH31,2)</f>
        <v>0</v>
      </c>
      <c r="AM31" s="20">
        <f>+ROUND(AI31,2)</f>
        <v>0</v>
      </c>
      <c r="AN31" s="20">
        <f t="shared" ref="AN31" si="56">+ROUND(AJ31,2)</f>
        <v>0</v>
      </c>
      <c r="AO31" s="20">
        <f>+AK31+AL31-AN31+AM31</f>
        <v>0</v>
      </c>
    </row>
    <row r="32" spans="1:41" s="30" customFormat="1" ht="14.4" hidden="1" x14ac:dyDescent="0.3">
      <c r="A32" s="24"/>
      <c r="B32" s="24"/>
      <c r="C32" s="25"/>
      <c r="D32" s="25"/>
      <c r="E32" s="25"/>
      <c r="F32" s="25"/>
      <c r="G32" s="25"/>
      <c r="H32" s="26"/>
      <c r="I32" s="26"/>
      <c r="J32" s="25"/>
      <c r="K32" s="27"/>
      <c r="L32" s="26"/>
      <c r="M32" s="25"/>
      <c r="N32" s="25"/>
      <c r="O32" s="25"/>
      <c r="P32" s="25"/>
      <c r="Q32" s="25"/>
      <c r="R32" s="25"/>
      <c r="S32" s="26"/>
      <c r="T32" s="25"/>
      <c r="U32" s="25"/>
      <c r="V32" s="25"/>
      <c r="W32" s="26"/>
      <c r="X32" s="26"/>
      <c r="Y32" s="25"/>
      <c r="Z32" s="28"/>
      <c r="AA32" s="25"/>
      <c r="AB32" s="26"/>
      <c r="AC32" s="26"/>
      <c r="AD32" s="26"/>
      <c r="AE32" s="26"/>
      <c r="AF32" s="29"/>
      <c r="AG32" s="26"/>
      <c r="AH32" s="26"/>
      <c r="AI32" s="26"/>
      <c r="AJ32" s="26"/>
      <c r="AK32" s="26"/>
      <c r="AL32" s="26"/>
      <c r="AM32" s="26"/>
      <c r="AN32" s="26"/>
      <c r="AO32" s="26"/>
    </row>
    <row r="33" spans="1:41" s="30" customFormat="1" ht="14.4" hidden="1" x14ac:dyDescent="0.3">
      <c r="A33" s="24"/>
      <c r="B33" s="24"/>
      <c r="C33" s="25"/>
      <c r="D33" s="25"/>
      <c r="E33" s="25"/>
      <c r="F33" s="25"/>
      <c r="G33" s="25"/>
      <c r="H33" s="26"/>
      <c r="I33" s="26"/>
      <c r="J33" s="25"/>
      <c r="K33" s="27"/>
      <c r="L33" s="26"/>
      <c r="M33" s="25"/>
      <c r="N33" s="25"/>
      <c r="O33" s="25"/>
      <c r="P33" s="25"/>
      <c r="Q33" s="25"/>
      <c r="R33" s="25"/>
      <c r="S33" s="26"/>
      <c r="T33" s="25"/>
      <c r="U33" s="25"/>
      <c r="V33" s="25"/>
      <c r="W33" s="26"/>
      <c r="X33" s="26"/>
      <c r="Y33" s="25"/>
      <c r="Z33" s="28"/>
      <c r="AA33" s="25"/>
      <c r="AB33" s="26"/>
      <c r="AC33" s="26"/>
      <c r="AD33" s="26"/>
      <c r="AE33" s="26"/>
      <c r="AF33" s="29"/>
      <c r="AG33" s="26"/>
      <c r="AH33" s="26"/>
      <c r="AI33" s="26"/>
      <c r="AJ33" s="26"/>
      <c r="AK33" s="26"/>
      <c r="AL33" s="26"/>
      <c r="AM33" s="26"/>
      <c r="AN33" s="26"/>
      <c r="AO33" s="26"/>
    </row>
    <row r="34" spans="1:41" s="30" customFormat="1" ht="14.4" hidden="1" x14ac:dyDescent="0.3">
      <c r="A34" s="24"/>
      <c r="B34" s="24"/>
      <c r="C34" s="25"/>
      <c r="D34" s="25"/>
      <c r="E34" s="25"/>
      <c r="F34" s="25"/>
      <c r="G34" s="25"/>
      <c r="H34" s="26"/>
      <c r="I34" s="26"/>
      <c r="J34" s="25"/>
      <c r="K34" s="27"/>
      <c r="L34" s="26"/>
      <c r="M34" s="25"/>
      <c r="N34" s="25"/>
      <c r="O34" s="25"/>
      <c r="P34" s="25"/>
      <c r="Q34" s="25"/>
      <c r="R34" s="25"/>
      <c r="S34" s="26"/>
      <c r="T34" s="25"/>
      <c r="U34" s="25"/>
      <c r="V34" s="25"/>
      <c r="W34" s="26"/>
      <c r="X34" s="26"/>
      <c r="Y34" s="25"/>
      <c r="Z34" s="28"/>
      <c r="AA34" s="25"/>
      <c r="AB34" s="26"/>
      <c r="AC34" s="26"/>
      <c r="AD34" s="26"/>
      <c r="AE34" s="26"/>
      <c r="AF34" s="29"/>
      <c r="AG34" s="26"/>
      <c r="AH34" s="26"/>
      <c r="AI34" s="26"/>
      <c r="AJ34" s="26"/>
      <c r="AK34" s="26"/>
      <c r="AL34" s="26"/>
      <c r="AM34" s="26"/>
      <c r="AN34" s="26"/>
      <c r="AO34" s="26"/>
    </row>
    <row r="35" spans="1:41" ht="13.8" customHeight="1" x14ac:dyDescent="0.3">
      <c r="A35" s="16">
        <f t="shared" ref="A35" si="57">1+A31</f>
        <v>9</v>
      </c>
      <c r="B35" s="17"/>
      <c r="C35" s="14"/>
      <c r="D35" s="14"/>
      <c r="E35" s="15"/>
      <c r="F35" s="48"/>
      <c r="G35" s="17">
        <f>+E35</f>
        <v>0</v>
      </c>
      <c r="H35" s="20">
        <f t="shared" ref="H35" si="58">+AL35+AM35</f>
        <v>0</v>
      </c>
      <c r="I35" s="20">
        <f t="shared" ref="I35" si="59">+AC35+AD35</f>
        <v>0</v>
      </c>
      <c r="J35" s="14"/>
      <c r="K35" s="21">
        <f t="shared" ref="K35" si="60">+AF35</f>
        <v>0</v>
      </c>
      <c r="L35" s="20">
        <f t="shared" ref="L35" si="61">+AL35</f>
        <v>0</v>
      </c>
      <c r="M35" s="19" t="s">
        <v>55</v>
      </c>
      <c r="N35" s="15"/>
      <c r="O35" s="14"/>
      <c r="P35" s="15"/>
      <c r="Q35" s="19" t="s">
        <v>0</v>
      </c>
      <c r="R35" s="19"/>
      <c r="S35" s="20" t="str">
        <f t="shared" ref="S35" si="62">(RIGHT(O35,7))</f>
        <v/>
      </c>
      <c r="T35" s="15"/>
      <c r="U35" s="19" t="s">
        <v>53</v>
      </c>
      <c r="V35" s="19" t="s">
        <v>2</v>
      </c>
      <c r="W35" s="20">
        <f t="shared" ref="W35" si="63">+AK35</f>
        <v>0</v>
      </c>
      <c r="X35" s="20">
        <f t="shared" ref="X35" si="64">+AL35</f>
        <v>0</v>
      </c>
      <c r="Y35" s="18" t="s">
        <v>3</v>
      </c>
      <c r="Z35" s="22">
        <f t="shared" ref="Z35" si="65">+G35</f>
        <v>0</v>
      </c>
      <c r="AA35" s="18"/>
      <c r="AB35" s="20">
        <f t="shared" ref="AB35" si="66">(AC35*100)/18</f>
        <v>0</v>
      </c>
      <c r="AC35" s="49"/>
      <c r="AD35" s="49"/>
      <c r="AE35" s="20">
        <f t="shared" ref="AE35" si="67">+AB35+AC35+AD35</f>
        <v>0</v>
      </c>
      <c r="AF35" s="51"/>
      <c r="AG35" s="20">
        <f>+AB35*AF35</f>
        <v>0</v>
      </c>
      <c r="AH35" s="20">
        <f>+AC35*AF35</f>
        <v>0</v>
      </c>
      <c r="AI35" s="20">
        <f>+AD35*AF35</f>
        <v>0</v>
      </c>
      <c r="AJ35" s="20">
        <f>+AE35*AF35</f>
        <v>0</v>
      </c>
      <c r="AK35" s="20">
        <f t="shared" ref="AK35" si="68">+ROUND(AG35,2)</f>
        <v>0</v>
      </c>
      <c r="AL35" s="20">
        <f t="shared" ref="AL35" si="69">+ROUND(AH35,2)</f>
        <v>0</v>
      </c>
      <c r="AM35" s="20">
        <f>+ROUND(AI35,2)</f>
        <v>0</v>
      </c>
      <c r="AN35" s="20">
        <f t="shared" ref="AN35" si="70">+ROUND(AJ35,2)</f>
        <v>0</v>
      </c>
      <c r="AO35" s="20">
        <f>+AK35+AL35-AN35+AM35</f>
        <v>0</v>
      </c>
    </row>
    <row r="36" spans="1:41" s="30" customFormat="1" ht="14.4" hidden="1" x14ac:dyDescent="0.3">
      <c r="A36" s="24"/>
      <c r="B36" s="24"/>
      <c r="C36" s="25"/>
      <c r="D36" s="25"/>
      <c r="E36" s="25"/>
      <c r="F36" s="25"/>
      <c r="G36" s="25"/>
      <c r="H36" s="26"/>
      <c r="I36" s="26"/>
      <c r="J36" s="25"/>
      <c r="K36" s="27"/>
      <c r="L36" s="26"/>
      <c r="M36" s="25"/>
      <c r="N36" s="25"/>
      <c r="O36" s="25"/>
      <c r="P36" s="25"/>
      <c r="Q36" s="25"/>
      <c r="R36" s="25"/>
      <c r="S36" s="26"/>
      <c r="T36" s="25"/>
      <c r="U36" s="25"/>
      <c r="V36" s="25"/>
      <c r="W36" s="26"/>
      <c r="X36" s="26"/>
      <c r="Y36" s="25"/>
      <c r="Z36" s="28"/>
      <c r="AA36" s="25"/>
      <c r="AB36" s="26"/>
      <c r="AC36" s="26"/>
      <c r="AD36" s="26"/>
      <c r="AE36" s="26"/>
      <c r="AF36" s="29"/>
      <c r="AG36" s="26"/>
      <c r="AH36" s="26"/>
      <c r="AI36" s="26"/>
      <c r="AJ36" s="26"/>
      <c r="AK36" s="26"/>
      <c r="AL36" s="26"/>
      <c r="AM36" s="26"/>
      <c r="AN36" s="26"/>
      <c r="AO36" s="26"/>
    </row>
    <row r="37" spans="1:41" s="30" customFormat="1" ht="14.4" hidden="1" x14ac:dyDescent="0.3">
      <c r="A37" s="24"/>
      <c r="B37" s="24"/>
      <c r="C37" s="25"/>
      <c r="D37" s="25"/>
      <c r="E37" s="25"/>
      <c r="F37" s="25"/>
      <c r="G37" s="25"/>
      <c r="H37" s="26"/>
      <c r="I37" s="26"/>
      <c r="J37" s="25"/>
      <c r="K37" s="27"/>
      <c r="L37" s="26"/>
      <c r="M37" s="25"/>
      <c r="N37" s="25"/>
      <c r="O37" s="25"/>
      <c r="P37" s="25"/>
      <c r="Q37" s="25"/>
      <c r="R37" s="25"/>
      <c r="S37" s="26"/>
      <c r="T37" s="25"/>
      <c r="U37" s="25"/>
      <c r="V37" s="25"/>
      <c r="W37" s="26"/>
      <c r="X37" s="26"/>
      <c r="Y37" s="25"/>
      <c r="Z37" s="28"/>
      <c r="AA37" s="25"/>
      <c r="AB37" s="26"/>
      <c r="AC37" s="26"/>
      <c r="AD37" s="26"/>
      <c r="AE37" s="26"/>
      <c r="AF37" s="29"/>
      <c r="AG37" s="26"/>
      <c r="AH37" s="26"/>
      <c r="AI37" s="26"/>
      <c r="AJ37" s="26"/>
      <c r="AK37" s="26"/>
      <c r="AL37" s="26"/>
      <c r="AM37" s="26"/>
      <c r="AN37" s="26"/>
      <c r="AO37" s="26"/>
    </row>
    <row r="38" spans="1:41" s="30" customFormat="1" ht="14.4" hidden="1" x14ac:dyDescent="0.3">
      <c r="A38" s="24"/>
      <c r="B38" s="24"/>
      <c r="C38" s="25"/>
      <c r="D38" s="25"/>
      <c r="E38" s="25"/>
      <c r="F38" s="25"/>
      <c r="G38" s="25"/>
      <c r="H38" s="26"/>
      <c r="I38" s="26"/>
      <c r="J38" s="25"/>
      <c r="K38" s="27"/>
      <c r="L38" s="26"/>
      <c r="M38" s="25"/>
      <c r="N38" s="25"/>
      <c r="O38" s="25"/>
      <c r="P38" s="25"/>
      <c r="Q38" s="25"/>
      <c r="R38" s="25"/>
      <c r="S38" s="26"/>
      <c r="T38" s="25"/>
      <c r="U38" s="25"/>
      <c r="V38" s="25"/>
      <c r="W38" s="26"/>
      <c r="X38" s="26"/>
      <c r="Y38" s="25"/>
      <c r="Z38" s="28"/>
      <c r="AA38" s="25"/>
      <c r="AB38" s="26"/>
      <c r="AC38" s="26"/>
      <c r="AD38" s="26"/>
      <c r="AE38" s="26"/>
      <c r="AF38" s="29"/>
      <c r="AG38" s="26"/>
      <c r="AH38" s="26"/>
      <c r="AI38" s="26"/>
      <c r="AJ38" s="26"/>
      <c r="AK38" s="26"/>
      <c r="AL38" s="26"/>
      <c r="AM38" s="26"/>
      <c r="AN38" s="26"/>
      <c r="AO38" s="26"/>
    </row>
    <row r="39" spans="1:41" ht="13.8" customHeight="1" x14ac:dyDescent="0.3">
      <c r="A39" s="16">
        <f t="shared" ref="A39" si="71">1+A35</f>
        <v>10</v>
      </c>
      <c r="B39" s="17"/>
      <c r="C39" s="14"/>
      <c r="D39" s="14"/>
      <c r="E39" s="15"/>
      <c r="F39" s="48"/>
      <c r="G39" s="17">
        <f>+E39</f>
        <v>0</v>
      </c>
      <c r="H39" s="20">
        <f t="shared" ref="H39" si="72">+AL39+AM39</f>
        <v>0</v>
      </c>
      <c r="I39" s="20">
        <f t="shared" ref="I39" si="73">+AC39+AD39</f>
        <v>0</v>
      </c>
      <c r="J39" s="14"/>
      <c r="K39" s="21">
        <f t="shared" ref="K39" si="74">+AF39</f>
        <v>0</v>
      </c>
      <c r="L39" s="20">
        <f t="shared" ref="L39" si="75">+AL39</f>
        <v>0</v>
      </c>
      <c r="M39" s="19" t="s">
        <v>55</v>
      </c>
      <c r="N39" s="15"/>
      <c r="O39" s="14"/>
      <c r="P39" s="15"/>
      <c r="Q39" s="19" t="s">
        <v>0</v>
      </c>
      <c r="R39" s="19"/>
      <c r="S39" s="20" t="str">
        <f t="shared" ref="S39" si="76">(RIGHT(O39,7))</f>
        <v/>
      </c>
      <c r="T39" s="15"/>
      <c r="U39" s="19" t="s">
        <v>53</v>
      </c>
      <c r="V39" s="19" t="s">
        <v>2</v>
      </c>
      <c r="W39" s="20">
        <f t="shared" ref="W39" si="77">+AK39</f>
        <v>0</v>
      </c>
      <c r="X39" s="20">
        <f t="shared" ref="X39" si="78">+AL39</f>
        <v>0</v>
      </c>
      <c r="Y39" s="18" t="s">
        <v>3</v>
      </c>
      <c r="Z39" s="22">
        <f t="shared" ref="Z39" si="79">+G39</f>
        <v>0</v>
      </c>
      <c r="AA39" s="18"/>
      <c r="AB39" s="20">
        <f t="shared" ref="AB39" si="80">(AC39*100)/18</f>
        <v>0</v>
      </c>
      <c r="AC39" s="49"/>
      <c r="AD39" s="49"/>
      <c r="AE39" s="20">
        <f t="shared" ref="AE39" si="81">+AB39+AC39+AD39</f>
        <v>0</v>
      </c>
      <c r="AF39" s="51"/>
      <c r="AG39" s="20">
        <f>+AB39*AF39</f>
        <v>0</v>
      </c>
      <c r="AH39" s="20">
        <f>+AC39*AF39</f>
        <v>0</v>
      </c>
      <c r="AI39" s="20">
        <f>+AD39*AF39</f>
        <v>0</v>
      </c>
      <c r="AJ39" s="20">
        <f>+AE39*AF39</f>
        <v>0</v>
      </c>
      <c r="AK39" s="20">
        <f t="shared" ref="AK39" si="82">+ROUND(AG39,2)</f>
        <v>0</v>
      </c>
      <c r="AL39" s="20">
        <f t="shared" ref="AL39" si="83">+ROUND(AH39,2)</f>
        <v>0</v>
      </c>
      <c r="AM39" s="20">
        <f>+ROUND(AI39,2)</f>
        <v>0</v>
      </c>
      <c r="AN39" s="20">
        <f t="shared" ref="AN39" si="84">+ROUND(AJ39,2)</f>
        <v>0</v>
      </c>
      <c r="AO39" s="20">
        <f>+AK39+AL39-AN39+AM39</f>
        <v>0</v>
      </c>
    </row>
    <row r="40" spans="1:41" s="30" customFormat="1" ht="14.4" hidden="1" x14ac:dyDescent="0.3">
      <c r="A40" s="24"/>
      <c r="B40" s="24"/>
      <c r="C40" s="25"/>
      <c r="D40" s="25"/>
      <c r="E40" s="25"/>
      <c r="F40" s="25"/>
      <c r="G40" s="25"/>
      <c r="H40" s="26"/>
      <c r="I40" s="26"/>
      <c r="J40" s="25"/>
      <c r="K40" s="27"/>
      <c r="L40" s="26"/>
      <c r="M40" s="25"/>
      <c r="N40" s="25"/>
      <c r="O40" s="25"/>
      <c r="P40" s="25"/>
      <c r="Q40" s="25"/>
      <c r="R40" s="25"/>
      <c r="S40" s="26"/>
      <c r="T40" s="25"/>
      <c r="U40" s="25"/>
      <c r="V40" s="25"/>
      <c r="W40" s="26"/>
      <c r="X40" s="26"/>
      <c r="Y40" s="25"/>
      <c r="Z40" s="28"/>
      <c r="AA40" s="25"/>
      <c r="AB40" s="26"/>
      <c r="AC40" s="26"/>
      <c r="AD40" s="26"/>
      <c r="AE40" s="26"/>
      <c r="AF40" s="29"/>
      <c r="AG40" s="26"/>
      <c r="AH40" s="26"/>
      <c r="AI40" s="26"/>
      <c r="AJ40" s="26"/>
      <c r="AK40" s="26"/>
      <c r="AL40" s="26"/>
      <c r="AM40" s="26"/>
      <c r="AN40" s="26"/>
      <c r="AO40" s="26"/>
    </row>
    <row r="41" spans="1:41" s="30" customFormat="1" ht="14.4" hidden="1" x14ac:dyDescent="0.3">
      <c r="A41" s="24"/>
      <c r="B41" s="24"/>
      <c r="C41" s="25"/>
      <c r="D41" s="25"/>
      <c r="E41" s="25"/>
      <c r="F41" s="25"/>
      <c r="G41" s="25"/>
      <c r="H41" s="26"/>
      <c r="I41" s="26"/>
      <c r="J41" s="25"/>
      <c r="K41" s="27"/>
      <c r="L41" s="26"/>
      <c r="M41" s="25"/>
      <c r="N41" s="25"/>
      <c r="O41" s="25"/>
      <c r="P41" s="25"/>
      <c r="Q41" s="25"/>
      <c r="R41" s="25"/>
      <c r="S41" s="26"/>
      <c r="T41" s="25"/>
      <c r="U41" s="25"/>
      <c r="V41" s="25"/>
      <c r="W41" s="26"/>
      <c r="X41" s="26"/>
      <c r="Y41" s="25"/>
      <c r="Z41" s="28"/>
      <c r="AA41" s="25"/>
      <c r="AB41" s="26"/>
      <c r="AC41" s="26"/>
      <c r="AD41" s="26"/>
      <c r="AE41" s="26"/>
      <c r="AF41" s="29"/>
      <c r="AG41" s="26"/>
      <c r="AH41" s="26"/>
      <c r="AI41" s="26"/>
      <c r="AJ41" s="26"/>
      <c r="AK41" s="26"/>
      <c r="AL41" s="26"/>
      <c r="AM41" s="26"/>
      <c r="AN41" s="26"/>
      <c r="AO41" s="26"/>
    </row>
    <row r="42" spans="1:41" s="30" customFormat="1" ht="14.4" hidden="1" x14ac:dyDescent="0.3">
      <c r="A42" s="24"/>
      <c r="B42" s="24"/>
      <c r="C42" s="25"/>
      <c r="D42" s="25"/>
      <c r="E42" s="25"/>
      <c r="F42" s="25"/>
      <c r="G42" s="25"/>
      <c r="H42" s="26"/>
      <c r="I42" s="26"/>
      <c r="J42" s="25"/>
      <c r="K42" s="27"/>
      <c r="L42" s="26"/>
      <c r="M42" s="25"/>
      <c r="N42" s="25"/>
      <c r="O42" s="25"/>
      <c r="P42" s="25"/>
      <c r="Q42" s="25"/>
      <c r="R42" s="25"/>
      <c r="S42" s="26"/>
      <c r="T42" s="25"/>
      <c r="U42" s="25"/>
      <c r="V42" s="25"/>
      <c r="W42" s="26"/>
      <c r="X42" s="26"/>
      <c r="Y42" s="25"/>
      <c r="Z42" s="28"/>
      <c r="AA42" s="25"/>
      <c r="AB42" s="26"/>
      <c r="AC42" s="26"/>
      <c r="AD42" s="26"/>
      <c r="AE42" s="26"/>
      <c r="AF42" s="29"/>
      <c r="AG42" s="26"/>
      <c r="AH42" s="26"/>
      <c r="AI42" s="26"/>
      <c r="AJ42" s="26"/>
      <c r="AK42" s="26"/>
      <c r="AL42" s="26"/>
      <c r="AM42" s="26"/>
      <c r="AN42" s="26"/>
      <c r="AO42" s="26"/>
    </row>
    <row r="43" spans="1:41" ht="13.8" customHeight="1" x14ac:dyDescent="0.3">
      <c r="A43" s="16">
        <f t="shared" ref="A43" si="85">1+A39</f>
        <v>11</v>
      </c>
      <c r="B43" s="17"/>
      <c r="C43" s="14"/>
      <c r="D43" s="14"/>
      <c r="E43" s="15"/>
      <c r="F43" s="48"/>
      <c r="G43" s="17">
        <f>+E43</f>
        <v>0</v>
      </c>
      <c r="H43" s="20">
        <f t="shared" ref="H43" si="86">+AL43+AM43</f>
        <v>0</v>
      </c>
      <c r="I43" s="20">
        <f t="shared" ref="I43" si="87">+AC43+AD43</f>
        <v>0</v>
      </c>
      <c r="J43" s="14"/>
      <c r="K43" s="21">
        <f t="shared" ref="K43" si="88">+AF43</f>
        <v>0</v>
      </c>
      <c r="L43" s="20">
        <f t="shared" ref="L43" si="89">+AL43</f>
        <v>0</v>
      </c>
      <c r="M43" s="19" t="s">
        <v>55</v>
      </c>
      <c r="N43" s="15"/>
      <c r="O43" s="14"/>
      <c r="P43" s="15"/>
      <c r="Q43" s="19" t="s">
        <v>0</v>
      </c>
      <c r="R43" s="19"/>
      <c r="S43" s="20" t="str">
        <f t="shared" ref="S43" si="90">(RIGHT(O43,7))</f>
        <v/>
      </c>
      <c r="T43" s="15"/>
      <c r="U43" s="19" t="s">
        <v>53</v>
      </c>
      <c r="V43" s="19" t="s">
        <v>2</v>
      </c>
      <c r="W43" s="20">
        <f t="shared" ref="W43" si="91">+AK43</f>
        <v>0</v>
      </c>
      <c r="X43" s="20">
        <f t="shared" ref="X43" si="92">+AL43</f>
        <v>0</v>
      </c>
      <c r="Y43" s="18" t="s">
        <v>3</v>
      </c>
      <c r="Z43" s="22">
        <f t="shared" ref="Z43" si="93">+G43</f>
        <v>0</v>
      </c>
      <c r="AA43" s="18"/>
      <c r="AB43" s="20">
        <f t="shared" ref="AB43" si="94">(AC43*100)/18</f>
        <v>0</v>
      </c>
      <c r="AC43" s="49"/>
      <c r="AD43" s="49"/>
      <c r="AE43" s="20">
        <f t="shared" ref="AE43" si="95">+AB43+AC43+AD43</f>
        <v>0</v>
      </c>
      <c r="AF43" s="51"/>
      <c r="AG43" s="20">
        <f>+AB43*AF43</f>
        <v>0</v>
      </c>
      <c r="AH43" s="20">
        <f>+AC43*AF43</f>
        <v>0</v>
      </c>
      <c r="AI43" s="20">
        <f>+AD43*AF43</f>
        <v>0</v>
      </c>
      <c r="AJ43" s="20">
        <f>+AE43*AF43</f>
        <v>0</v>
      </c>
      <c r="AK43" s="20">
        <f t="shared" ref="AK43" si="96">+ROUND(AG43,2)</f>
        <v>0</v>
      </c>
      <c r="AL43" s="20">
        <f t="shared" ref="AL43" si="97">+ROUND(AH43,2)</f>
        <v>0</v>
      </c>
      <c r="AM43" s="20">
        <f>+ROUND(AI43,2)</f>
        <v>0</v>
      </c>
      <c r="AN43" s="20">
        <f t="shared" ref="AN43" si="98">+ROUND(AJ43,2)</f>
        <v>0</v>
      </c>
      <c r="AO43" s="20">
        <f>+AK43+AL43-AN43+AM43</f>
        <v>0</v>
      </c>
    </row>
    <row r="44" spans="1:41" s="30" customFormat="1" ht="14.4" hidden="1" x14ac:dyDescent="0.3">
      <c r="A44" s="24"/>
      <c r="B44" s="24"/>
      <c r="C44" s="25"/>
      <c r="D44" s="25"/>
      <c r="E44" s="25"/>
      <c r="F44" s="25"/>
      <c r="G44" s="25"/>
      <c r="H44" s="26"/>
      <c r="I44" s="26"/>
      <c r="J44" s="25"/>
      <c r="K44" s="27"/>
      <c r="L44" s="26"/>
      <c r="M44" s="25"/>
      <c r="N44" s="25"/>
      <c r="O44" s="25"/>
      <c r="P44" s="25"/>
      <c r="Q44" s="25"/>
      <c r="R44" s="25"/>
      <c r="S44" s="26"/>
      <c r="T44" s="25"/>
      <c r="U44" s="25"/>
      <c r="V44" s="25"/>
      <c r="W44" s="26"/>
      <c r="X44" s="26"/>
      <c r="Y44" s="25"/>
      <c r="Z44" s="28"/>
      <c r="AA44" s="25"/>
      <c r="AB44" s="26"/>
      <c r="AC44" s="26"/>
      <c r="AD44" s="26"/>
      <c r="AE44" s="26"/>
      <c r="AF44" s="29"/>
      <c r="AG44" s="26"/>
      <c r="AH44" s="26"/>
      <c r="AI44" s="26"/>
      <c r="AJ44" s="26"/>
      <c r="AK44" s="26"/>
      <c r="AL44" s="26"/>
      <c r="AM44" s="26"/>
      <c r="AN44" s="26"/>
      <c r="AO44" s="26"/>
    </row>
    <row r="45" spans="1:41" s="30" customFormat="1" ht="14.4" hidden="1" x14ac:dyDescent="0.3">
      <c r="A45" s="24"/>
      <c r="B45" s="24"/>
      <c r="C45" s="25"/>
      <c r="D45" s="25"/>
      <c r="E45" s="25"/>
      <c r="F45" s="25"/>
      <c r="G45" s="25"/>
      <c r="H45" s="26"/>
      <c r="I45" s="26"/>
      <c r="J45" s="25"/>
      <c r="K45" s="27"/>
      <c r="L45" s="26"/>
      <c r="M45" s="25"/>
      <c r="N45" s="25"/>
      <c r="O45" s="25"/>
      <c r="P45" s="25"/>
      <c r="Q45" s="25"/>
      <c r="R45" s="25"/>
      <c r="S45" s="26"/>
      <c r="T45" s="25"/>
      <c r="U45" s="25"/>
      <c r="V45" s="25"/>
      <c r="W45" s="26"/>
      <c r="X45" s="26"/>
      <c r="Y45" s="25"/>
      <c r="Z45" s="28"/>
      <c r="AA45" s="25"/>
      <c r="AB45" s="26"/>
      <c r="AC45" s="26"/>
      <c r="AD45" s="26"/>
      <c r="AE45" s="26"/>
      <c r="AF45" s="29"/>
      <c r="AG45" s="26"/>
      <c r="AH45" s="26"/>
      <c r="AI45" s="26"/>
      <c r="AJ45" s="26"/>
      <c r="AK45" s="26"/>
      <c r="AL45" s="26"/>
      <c r="AM45" s="26"/>
      <c r="AN45" s="26"/>
      <c r="AO45" s="26"/>
    </row>
    <row r="46" spans="1:41" s="30" customFormat="1" ht="14.4" hidden="1" x14ac:dyDescent="0.3">
      <c r="A46" s="24"/>
      <c r="B46" s="24"/>
      <c r="C46" s="25"/>
      <c r="D46" s="25"/>
      <c r="E46" s="25"/>
      <c r="F46" s="25"/>
      <c r="G46" s="25"/>
      <c r="H46" s="26"/>
      <c r="I46" s="26"/>
      <c r="J46" s="25"/>
      <c r="K46" s="27"/>
      <c r="L46" s="26"/>
      <c r="M46" s="25"/>
      <c r="N46" s="25"/>
      <c r="O46" s="25"/>
      <c r="P46" s="25"/>
      <c r="Q46" s="25"/>
      <c r="R46" s="25"/>
      <c r="S46" s="26"/>
      <c r="T46" s="25"/>
      <c r="U46" s="25"/>
      <c r="V46" s="25"/>
      <c r="W46" s="26"/>
      <c r="X46" s="26"/>
      <c r="Y46" s="25"/>
      <c r="Z46" s="28"/>
      <c r="AA46" s="25"/>
      <c r="AB46" s="26"/>
      <c r="AC46" s="26"/>
      <c r="AD46" s="26"/>
      <c r="AE46" s="26"/>
      <c r="AF46" s="29"/>
      <c r="AG46" s="26"/>
      <c r="AH46" s="26"/>
      <c r="AI46" s="26"/>
      <c r="AJ46" s="26"/>
      <c r="AK46" s="26"/>
      <c r="AL46" s="26"/>
      <c r="AM46" s="26"/>
      <c r="AN46" s="26"/>
      <c r="AO46" s="26"/>
    </row>
    <row r="47" spans="1:41" ht="13.8" customHeight="1" x14ac:dyDescent="0.3">
      <c r="A47" s="16">
        <f t="shared" ref="A47" si="99">1+A43</f>
        <v>12</v>
      </c>
      <c r="B47" s="17"/>
      <c r="C47" s="14"/>
      <c r="D47" s="14"/>
      <c r="E47" s="15"/>
      <c r="F47" s="48"/>
      <c r="G47" s="17">
        <f>+E47</f>
        <v>0</v>
      </c>
      <c r="H47" s="20">
        <f t="shared" ref="H47" si="100">+AL47+AM47</f>
        <v>0</v>
      </c>
      <c r="I47" s="20">
        <f t="shared" ref="I47" si="101">+AC47+AD47</f>
        <v>0</v>
      </c>
      <c r="J47" s="14"/>
      <c r="K47" s="21">
        <f t="shared" ref="K47" si="102">+AF47</f>
        <v>0</v>
      </c>
      <c r="L47" s="20">
        <f t="shared" ref="L47" si="103">+AL47</f>
        <v>0</v>
      </c>
      <c r="M47" s="19" t="s">
        <v>55</v>
      </c>
      <c r="N47" s="15"/>
      <c r="O47" s="14"/>
      <c r="P47" s="15"/>
      <c r="Q47" s="19" t="s">
        <v>0</v>
      </c>
      <c r="R47" s="19"/>
      <c r="S47" s="20" t="str">
        <f t="shared" ref="S47" si="104">(RIGHT(O47,7))</f>
        <v/>
      </c>
      <c r="T47" s="15"/>
      <c r="U47" s="19" t="s">
        <v>53</v>
      </c>
      <c r="V47" s="19" t="s">
        <v>2</v>
      </c>
      <c r="W47" s="20">
        <f t="shared" ref="W47" si="105">+AK47</f>
        <v>0</v>
      </c>
      <c r="X47" s="20">
        <f t="shared" ref="X47" si="106">+AL47</f>
        <v>0</v>
      </c>
      <c r="Y47" s="18" t="s">
        <v>3</v>
      </c>
      <c r="Z47" s="22">
        <f t="shared" ref="Z47" si="107">+G47</f>
        <v>0</v>
      </c>
      <c r="AA47" s="18"/>
      <c r="AB47" s="20">
        <f t="shared" ref="AB47" si="108">(AC47*100)/18</f>
        <v>0</v>
      </c>
      <c r="AC47" s="49"/>
      <c r="AD47" s="49"/>
      <c r="AE47" s="20">
        <f t="shared" ref="AE47" si="109">+AB47+AC47+AD47</f>
        <v>0</v>
      </c>
      <c r="AF47" s="51"/>
      <c r="AG47" s="20">
        <f>+AB47*AF47</f>
        <v>0</v>
      </c>
      <c r="AH47" s="20">
        <f>+AC47*AF47</f>
        <v>0</v>
      </c>
      <c r="AI47" s="20">
        <f>+AD47*AF47</f>
        <v>0</v>
      </c>
      <c r="AJ47" s="20">
        <f>+AE47*AF47</f>
        <v>0</v>
      </c>
      <c r="AK47" s="20">
        <f t="shared" ref="AK47" si="110">+ROUND(AG47,2)</f>
        <v>0</v>
      </c>
      <c r="AL47" s="20">
        <f t="shared" ref="AL47" si="111">+ROUND(AH47,2)</f>
        <v>0</v>
      </c>
      <c r="AM47" s="20">
        <f>+ROUND(AI47,2)</f>
        <v>0</v>
      </c>
      <c r="AN47" s="20">
        <f t="shared" ref="AN47" si="112">+ROUND(AJ47,2)</f>
        <v>0</v>
      </c>
      <c r="AO47" s="20">
        <f>+AK47+AL47-AN47+AM47</f>
        <v>0</v>
      </c>
    </row>
    <row r="48" spans="1:41" s="30" customFormat="1" ht="14.4" hidden="1" x14ac:dyDescent="0.3">
      <c r="A48" s="24"/>
      <c r="B48" s="24"/>
      <c r="C48" s="25"/>
      <c r="D48" s="25"/>
      <c r="E48" s="25"/>
      <c r="F48" s="25"/>
      <c r="G48" s="25"/>
      <c r="H48" s="26"/>
      <c r="I48" s="26"/>
      <c r="J48" s="25"/>
      <c r="K48" s="27"/>
      <c r="L48" s="26"/>
      <c r="M48" s="25"/>
      <c r="N48" s="25"/>
      <c r="O48" s="25"/>
      <c r="P48" s="25"/>
      <c r="Q48" s="25"/>
      <c r="R48" s="25"/>
      <c r="S48" s="26"/>
      <c r="T48" s="25"/>
      <c r="U48" s="25"/>
      <c r="V48" s="25"/>
      <c r="W48" s="26"/>
      <c r="X48" s="26"/>
      <c r="Y48" s="25"/>
      <c r="Z48" s="28"/>
      <c r="AA48" s="25"/>
      <c r="AB48" s="26"/>
      <c r="AC48" s="26"/>
      <c r="AD48" s="26"/>
      <c r="AE48" s="26"/>
      <c r="AF48" s="29"/>
      <c r="AG48" s="26"/>
      <c r="AH48" s="26"/>
      <c r="AI48" s="26"/>
      <c r="AJ48" s="26"/>
      <c r="AK48" s="26"/>
      <c r="AL48" s="26"/>
      <c r="AM48" s="26"/>
      <c r="AN48" s="26"/>
      <c r="AO48" s="26"/>
    </row>
    <row r="49" spans="1:41" s="30" customFormat="1" ht="14.4" hidden="1" x14ac:dyDescent="0.3">
      <c r="A49" s="24"/>
      <c r="B49" s="24"/>
      <c r="C49" s="25"/>
      <c r="D49" s="25"/>
      <c r="E49" s="25"/>
      <c r="F49" s="25"/>
      <c r="G49" s="25"/>
      <c r="H49" s="26"/>
      <c r="I49" s="26"/>
      <c r="J49" s="25"/>
      <c r="K49" s="27"/>
      <c r="L49" s="26"/>
      <c r="M49" s="25"/>
      <c r="N49" s="25"/>
      <c r="O49" s="25"/>
      <c r="P49" s="25"/>
      <c r="Q49" s="25"/>
      <c r="R49" s="25"/>
      <c r="S49" s="26"/>
      <c r="T49" s="25"/>
      <c r="U49" s="25"/>
      <c r="V49" s="25"/>
      <c r="W49" s="26"/>
      <c r="X49" s="26"/>
      <c r="Y49" s="25"/>
      <c r="Z49" s="28"/>
      <c r="AA49" s="25"/>
      <c r="AB49" s="26"/>
      <c r="AC49" s="26"/>
      <c r="AD49" s="26"/>
      <c r="AE49" s="26"/>
      <c r="AF49" s="29"/>
      <c r="AG49" s="26"/>
      <c r="AH49" s="26"/>
      <c r="AI49" s="26"/>
      <c r="AJ49" s="26"/>
      <c r="AK49" s="26"/>
      <c r="AL49" s="26"/>
      <c r="AM49" s="26"/>
      <c r="AN49" s="26"/>
      <c r="AO49" s="26"/>
    </row>
    <row r="50" spans="1:41" s="30" customFormat="1" ht="14.4" hidden="1" x14ac:dyDescent="0.3">
      <c r="A50" s="24"/>
      <c r="B50" s="24"/>
      <c r="C50" s="25"/>
      <c r="D50" s="25"/>
      <c r="E50" s="25"/>
      <c r="F50" s="25"/>
      <c r="G50" s="25"/>
      <c r="H50" s="26"/>
      <c r="I50" s="26"/>
      <c r="J50" s="25"/>
      <c r="K50" s="27"/>
      <c r="L50" s="26"/>
      <c r="M50" s="25"/>
      <c r="N50" s="25"/>
      <c r="O50" s="25"/>
      <c r="P50" s="25"/>
      <c r="Q50" s="25"/>
      <c r="R50" s="25"/>
      <c r="S50" s="26"/>
      <c r="T50" s="25"/>
      <c r="U50" s="25"/>
      <c r="V50" s="25"/>
      <c r="W50" s="26"/>
      <c r="X50" s="26"/>
      <c r="Y50" s="25"/>
      <c r="Z50" s="28"/>
      <c r="AA50" s="25"/>
      <c r="AB50" s="26"/>
      <c r="AC50" s="26"/>
      <c r="AD50" s="26"/>
      <c r="AE50" s="26"/>
      <c r="AF50" s="29"/>
      <c r="AG50" s="26"/>
      <c r="AH50" s="26"/>
      <c r="AI50" s="26"/>
      <c r="AJ50" s="26"/>
      <c r="AK50" s="26"/>
      <c r="AL50" s="26"/>
      <c r="AM50" s="26"/>
      <c r="AN50" s="26"/>
      <c r="AO50" s="26"/>
    </row>
    <row r="51" spans="1:41" ht="13.8" customHeight="1" x14ac:dyDescent="0.3">
      <c r="A51" s="16">
        <f t="shared" ref="A51" si="113">1+A47</f>
        <v>13</v>
      </c>
      <c r="B51" s="17"/>
      <c r="C51" s="14"/>
      <c r="D51" s="14"/>
      <c r="E51" s="15"/>
      <c r="F51" s="48"/>
      <c r="G51" s="17">
        <f>+E51</f>
        <v>0</v>
      </c>
      <c r="H51" s="20">
        <f t="shared" ref="H51" si="114">+AL51+AM51</f>
        <v>0</v>
      </c>
      <c r="I51" s="20">
        <f t="shared" ref="I51" si="115">+AC51+AD51</f>
        <v>0</v>
      </c>
      <c r="J51" s="14"/>
      <c r="K51" s="21">
        <f t="shared" ref="K51" si="116">+AF51</f>
        <v>0</v>
      </c>
      <c r="L51" s="20">
        <f t="shared" ref="L51" si="117">+AL51</f>
        <v>0</v>
      </c>
      <c r="M51" s="19" t="s">
        <v>55</v>
      </c>
      <c r="N51" s="15"/>
      <c r="O51" s="14"/>
      <c r="P51" s="15"/>
      <c r="Q51" s="19" t="s">
        <v>0</v>
      </c>
      <c r="R51" s="19"/>
      <c r="S51" s="20" t="str">
        <f t="shared" ref="S51" si="118">(RIGHT(O51,7))</f>
        <v/>
      </c>
      <c r="T51" s="15"/>
      <c r="U51" s="19" t="s">
        <v>53</v>
      </c>
      <c r="V51" s="19" t="s">
        <v>2</v>
      </c>
      <c r="W51" s="20">
        <f t="shared" ref="W51" si="119">+AK51</f>
        <v>0</v>
      </c>
      <c r="X51" s="20">
        <f t="shared" ref="X51" si="120">+AL51</f>
        <v>0</v>
      </c>
      <c r="Y51" s="18" t="s">
        <v>3</v>
      </c>
      <c r="Z51" s="22">
        <f t="shared" ref="Z51" si="121">+G51</f>
        <v>0</v>
      </c>
      <c r="AA51" s="18"/>
      <c r="AB51" s="20">
        <f t="shared" ref="AB51" si="122">(AC51*100)/18</f>
        <v>0</v>
      </c>
      <c r="AC51" s="49"/>
      <c r="AD51" s="49"/>
      <c r="AE51" s="20">
        <f t="shared" ref="AE51" si="123">+AB51+AC51+AD51</f>
        <v>0</v>
      </c>
      <c r="AF51" s="51"/>
      <c r="AG51" s="20">
        <f>+AB51*AF51</f>
        <v>0</v>
      </c>
      <c r="AH51" s="20">
        <f>+AC51*AF51</f>
        <v>0</v>
      </c>
      <c r="AI51" s="20">
        <f>+AD51*AF51</f>
        <v>0</v>
      </c>
      <c r="AJ51" s="20">
        <f>+AE51*AF51</f>
        <v>0</v>
      </c>
      <c r="AK51" s="20">
        <f t="shared" ref="AK51" si="124">+ROUND(AG51,2)</f>
        <v>0</v>
      </c>
      <c r="AL51" s="20">
        <f t="shared" ref="AL51" si="125">+ROUND(AH51,2)</f>
        <v>0</v>
      </c>
      <c r="AM51" s="20">
        <f>+ROUND(AI51,2)</f>
        <v>0</v>
      </c>
      <c r="AN51" s="20">
        <f t="shared" ref="AN51" si="126">+ROUND(AJ51,2)</f>
        <v>0</v>
      </c>
      <c r="AO51" s="20">
        <f>+AK51+AL51-AN51+AM51</f>
        <v>0</v>
      </c>
    </row>
    <row r="52" spans="1:41" s="30" customFormat="1" ht="14.4" hidden="1" x14ac:dyDescent="0.3">
      <c r="A52" s="24"/>
      <c r="B52" s="24"/>
      <c r="C52" s="25"/>
      <c r="D52" s="25"/>
      <c r="E52" s="25"/>
      <c r="F52" s="25"/>
      <c r="G52" s="25"/>
      <c r="H52" s="26"/>
      <c r="I52" s="26"/>
      <c r="J52" s="25"/>
      <c r="K52" s="27"/>
      <c r="L52" s="26"/>
      <c r="M52" s="25"/>
      <c r="N52" s="25"/>
      <c r="O52" s="25"/>
      <c r="P52" s="25"/>
      <c r="Q52" s="25"/>
      <c r="R52" s="25"/>
      <c r="S52" s="26"/>
      <c r="T52" s="25"/>
      <c r="U52" s="25"/>
      <c r="V52" s="25"/>
      <c r="W52" s="26"/>
      <c r="X52" s="26"/>
      <c r="Y52" s="25"/>
      <c r="Z52" s="28"/>
      <c r="AA52" s="25"/>
      <c r="AB52" s="26"/>
      <c r="AC52" s="26"/>
      <c r="AD52" s="26"/>
      <c r="AE52" s="26"/>
      <c r="AF52" s="29"/>
      <c r="AG52" s="26"/>
      <c r="AH52" s="26"/>
      <c r="AI52" s="26"/>
      <c r="AJ52" s="26"/>
      <c r="AK52" s="26"/>
      <c r="AL52" s="26"/>
      <c r="AM52" s="26"/>
      <c r="AN52" s="26"/>
      <c r="AO52" s="26"/>
    </row>
    <row r="53" spans="1:41" s="30" customFormat="1" ht="14.4" hidden="1" x14ac:dyDescent="0.3">
      <c r="A53" s="24"/>
      <c r="B53" s="24"/>
      <c r="C53" s="25"/>
      <c r="D53" s="25"/>
      <c r="E53" s="25"/>
      <c r="F53" s="25"/>
      <c r="G53" s="25"/>
      <c r="H53" s="26"/>
      <c r="I53" s="26"/>
      <c r="J53" s="25"/>
      <c r="K53" s="27"/>
      <c r="L53" s="26"/>
      <c r="M53" s="25"/>
      <c r="N53" s="25"/>
      <c r="O53" s="25"/>
      <c r="P53" s="25"/>
      <c r="Q53" s="25"/>
      <c r="R53" s="25"/>
      <c r="S53" s="26"/>
      <c r="T53" s="25"/>
      <c r="U53" s="25"/>
      <c r="V53" s="25"/>
      <c r="W53" s="26"/>
      <c r="X53" s="26"/>
      <c r="Y53" s="25"/>
      <c r="Z53" s="28"/>
      <c r="AA53" s="25"/>
      <c r="AB53" s="26"/>
      <c r="AC53" s="26"/>
      <c r="AD53" s="26"/>
      <c r="AE53" s="26"/>
      <c r="AF53" s="29"/>
      <c r="AG53" s="26"/>
      <c r="AH53" s="26"/>
      <c r="AI53" s="26"/>
      <c r="AJ53" s="26"/>
      <c r="AK53" s="26"/>
      <c r="AL53" s="26"/>
      <c r="AM53" s="26"/>
      <c r="AN53" s="26"/>
      <c r="AO53" s="26"/>
    </row>
    <row r="54" spans="1:41" s="30" customFormat="1" ht="14.4" hidden="1" x14ac:dyDescent="0.3">
      <c r="A54" s="24"/>
      <c r="B54" s="24"/>
      <c r="C54" s="25"/>
      <c r="D54" s="25"/>
      <c r="E54" s="25"/>
      <c r="F54" s="25"/>
      <c r="G54" s="25"/>
      <c r="H54" s="26"/>
      <c r="I54" s="26"/>
      <c r="J54" s="25"/>
      <c r="K54" s="27"/>
      <c r="L54" s="26"/>
      <c r="M54" s="25"/>
      <c r="N54" s="25"/>
      <c r="O54" s="25"/>
      <c r="P54" s="25"/>
      <c r="Q54" s="25"/>
      <c r="R54" s="25"/>
      <c r="S54" s="26"/>
      <c r="T54" s="25"/>
      <c r="U54" s="25"/>
      <c r="V54" s="25"/>
      <c r="W54" s="26"/>
      <c r="X54" s="26"/>
      <c r="Y54" s="25"/>
      <c r="Z54" s="28"/>
      <c r="AA54" s="25"/>
      <c r="AB54" s="26"/>
      <c r="AC54" s="26"/>
      <c r="AD54" s="26"/>
      <c r="AE54" s="26"/>
      <c r="AF54" s="29"/>
      <c r="AG54" s="26"/>
      <c r="AH54" s="26"/>
      <c r="AI54" s="26"/>
      <c r="AJ54" s="26"/>
      <c r="AK54" s="26"/>
      <c r="AL54" s="26"/>
      <c r="AM54" s="26"/>
      <c r="AN54" s="26"/>
      <c r="AO54" s="26"/>
    </row>
    <row r="55" spans="1:41" ht="13.8" customHeight="1" x14ac:dyDescent="0.3">
      <c r="A55" s="16">
        <f t="shared" ref="A55" si="127">1+A51</f>
        <v>14</v>
      </c>
      <c r="B55" s="17"/>
      <c r="C55" s="14"/>
      <c r="D55" s="14"/>
      <c r="E55" s="15"/>
      <c r="F55" s="48"/>
      <c r="G55" s="17">
        <f>+E55</f>
        <v>0</v>
      </c>
      <c r="H55" s="20">
        <f t="shared" ref="H55" si="128">+AL55+AM55</f>
        <v>0</v>
      </c>
      <c r="I55" s="20">
        <f t="shared" ref="I55" si="129">+AC55+AD55</f>
        <v>0</v>
      </c>
      <c r="J55" s="14"/>
      <c r="K55" s="21">
        <f t="shared" ref="K55" si="130">+AF55</f>
        <v>0</v>
      </c>
      <c r="L55" s="20">
        <f t="shared" ref="L55" si="131">+AL55</f>
        <v>0</v>
      </c>
      <c r="M55" s="19" t="s">
        <v>55</v>
      </c>
      <c r="N55" s="15"/>
      <c r="O55" s="14"/>
      <c r="P55" s="15"/>
      <c r="Q55" s="19" t="s">
        <v>0</v>
      </c>
      <c r="R55" s="19"/>
      <c r="S55" s="20" t="str">
        <f t="shared" ref="S55" si="132">(RIGHT(O55,7))</f>
        <v/>
      </c>
      <c r="T55" s="15"/>
      <c r="U55" s="19" t="s">
        <v>53</v>
      </c>
      <c r="V55" s="19" t="s">
        <v>2</v>
      </c>
      <c r="W55" s="20">
        <f t="shared" ref="W55" si="133">+AK55</f>
        <v>0</v>
      </c>
      <c r="X55" s="20">
        <f t="shared" ref="X55" si="134">+AL55</f>
        <v>0</v>
      </c>
      <c r="Y55" s="18" t="s">
        <v>3</v>
      </c>
      <c r="Z55" s="22">
        <f t="shared" ref="Z55" si="135">+G55</f>
        <v>0</v>
      </c>
      <c r="AA55" s="18"/>
      <c r="AB55" s="20">
        <f t="shared" ref="AB55" si="136">(AC55*100)/18</f>
        <v>0</v>
      </c>
      <c r="AC55" s="49"/>
      <c r="AD55" s="49"/>
      <c r="AE55" s="20">
        <f t="shared" ref="AE55" si="137">+AB55+AC55+AD55</f>
        <v>0</v>
      </c>
      <c r="AF55" s="51"/>
      <c r="AG55" s="20">
        <f>+AB55*AF55</f>
        <v>0</v>
      </c>
      <c r="AH55" s="20">
        <f>+AC55*AF55</f>
        <v>0</v>
      </c>
      <c r="AI55" s="20">
        <f>+AD55*AF55</f>
        <v>0</v>
      </c>
      <c r="AJ55" s="20">
        <f>+AE55*AF55</f>
        <v>0</v>
      </c>
      <c r="AK55" s="20">
        <f t="shared" ref="AK55" si="138">+ROUND(AG55,2)</f>
        <v>0</v>
      </c>
      <c r="AL55" s="20">
        <f t="shared" ref="AL55" si="139">+ROUND(AH55,2)</f>
        <v>0</v>
      </c>
      <c r="AM55" s="20">
        <f>+ROUND(AI55,2)</f>
        <v>0</v>
      </c>
      <c r="AN55" s="20">
        <f t="shared" ref="AN55" si="140">+ROUND(AJ55,2)</f>
        <v>0</v>
      </c>
      <c r="AO55" s="20">
        <f>+AK55+AL55-AN55+AM55</f>
        <v>0</v>
      </c>
    </row>
    <row r="56" spans="1:41" s="30" customFormat="1" ht="14.4" hidden="1" x14ac:dyDescent="0.3">
      <c r="A56" s="24"/>
      <c r="B56" s="24"/>
      <c r="C56" s="25"/>
      <c r="D56" s="25"/>
      <c r="E56" s="25"/>
      <c r="F56" s="25"/>
      <c r="G56" s="25"/>
      <c r="H56" s="26"/>
      <c r="I56" s="26"/>
      <c r="J56" s="25"/>
      <c r="K56" s="27"/>
      <c r="L56" s="26"/>
      <c r="M56" s="25"/>
      <c r="N56" s="25"/>
      <c r="O56" s="25"/>
      <c r="P56" s="25"/>
      <c r="Q56" s="25"/>
      <c r="R56" s="25"/>
      <c r="S56" s="26"/>
      <c r="T56" s="25"/>
      <c r="U56" s="25"/>
      <c r="V56" s="25"/>
      <c r="W56" s="26"/>
      <c r="X56" s="26"/>
      <c r="Y56" s="25"/>
      <c r="Z56" s="28"/>
      <c r="AA56" s="25"/>
      <c r="AB56" s="26"/>
      <c r="AC56" s="26"/>
      <c r="AD56" s="26"/>
      <c r="AE56" s="26"/>
      <c r="AF56" s="29"/>
      <c r="AG56" s="26"/>
      <c r="AH56" s="26"/>
      <c r="AI56" s="26"/>
      <c r="AJ56" s="26"/>
      <c r="AK56" s="26"/>
      <c r="AL56" s="26"/>
      <c r="AM56" s="26"/>
      <c r="AN56" s="26"/>
      <c r="AO56" s="26"/>
    </row>
    <row r="57" spans="1:41" s="30" customFormat="1" ht="14.4" hidden="1" x14ac:dyDescent="0.3">
      <c r="A57" s="24"/>
      <c r="B57" s="24"/>
      <c r="C57" s="25"/>
      <c r="D57" s="25"/>
      <c r="E57" s="25"/>
      <c r="F57" s="25"/>
      <c r="G57" s="25"/>
      <c r="H57" s="26"/>
      <c r="I57" s="26"/>
      <c r="J57" s="25"/>
      <c r="K57" s="27"/>
      <c r="L57" s="26"/>
      <c r="M57" s="25"/>
      <c r="N57" s="25"/>
      <c r="O57" s="25"/>
      <c r="P57" s="25"/>
      <c r="Q57" s="25"/>
      <c r="R57" s="25"/>
      <c r="S57" s="26"/>
      <c r="T57" s="25"/>
      <c r="U57" s="25"/>
      <c r="V57" s="25"/>
      <c r="W57" s="26"/>
      <c r="X57" s="26"/>
      <c r="Y57" s="25"/>
      <c r="Z57" s="28"/>
      <c r="AA57" s="25"/>
      <c r="AB57" s="26"/>
      <c r="AC57" s="26"/>
      <c r="AD57" s="26"/>
      <c r="AE57" s="26"/>
      <c r="AF57" s="29"/>
      <c r="AG57" s="26"/>
      <c r="AH57" s="26"/>
      <c r="AI57" s="26"/>
      <c r="AJ57" s="26"/>
      <c r="AK57" s="26"/>
      <c r="AL57" s="26"/>
      <c r="AM57" s="26"/>
      <c r="AN57" s="26"/>
      <c r="AO57" s="26"/>
    </row>
    <row r="58" spans="1:41" s="30" customFormat="1" ht="14.4" hidden="1" x14ac:dyDescent="0.3">
      <c r="A58" s="24"/>
      <c r="B58" s="24"/>
      <c r="C58" s="25"/>
      <c r="D58" s="25"/>
      <c r="E58" s="25"/>
      <c r="F58" s="25"/>
      <c r="G58" s="25"/>
      <c r="H58" s="26"/>
      <c r="I58" s="26"/>
      <c r="J58" s="25"/>
      <c r="K58" s="27"/>
      <c r="L58" s="26"/>
      <c r="M58" s="25"/>
      <c r="N58" s="25"/>
      <c r="O58" s="25"/>
      <c r="P58" s="25"/>
      <c r="Q58" s="25"/>
      <c r="R58" s="25"/>
      <c r="S58" s="26"/>
      <c r="T58" s="25"/>
      <c r="U58" s="25"/>
      <c r="V58" s="25"/>
      <c r="W58" s="26"/>
      <c r="X58" s="26"/>
      <c r="Y58" s="25"/>
      <c r="Z58" s="28"/>
      <c r="AA58" s="25"/>
      <c r="AB58" s="26"/>
      <c r="AC58" s="26"/>
      <c r="AD58" s="26"/>
      <c r="AE58" s="26"/>
      <c r="AF58" s="29"/>
      <c r="AG58" s="26"/>
      <c r="AH58" s="26"/>
      <c r="AI58" s="26"/>
      <c r="AJ58" s="26"/>
      <c r="AK58" s="26"/>
      <c r="AL58" s="26"/>
      <c r="AM58" s="26"/>
      <c r="AN58" s="26"/>
      <c r="AO58" s="26"/>
    </row>
    <row r="59" spans="1:41" ht="13.8" customHeight="1" x14ac:dyDescent="0.3">
      <c r="A59" s="16">
        <f t="shared" ref="A59" si="141">1+A55</f>
        <v>15</v>
      </c>
      <c r="B59" s="17"/>
      <c r="C59" s="14"/>
      <c r="D59" s="14"/>
      <c r="E59" s="15"/>
      <c r="F59" s="48"/>
      <c r="G59" s="17">
        <f>+E59</f>
        <v>0</v>
      </c>
      <c r="H59" s="20">
        <f t="shared" ref="H59" si="142">+AL59+AM59</f>
        <v>0</v>
      </c>
      <c r="I59" s="20">
        <f t="shared" ref="I59" si="143">+AC59+AD59</f>
        <v>0</v>
      </c>
      <c r="J59" s="14"/>
      <c r="K59" s="21">
        <f t="shared" ref="K59" si="144">+AF59</f>
        <v>0</v>
      </c>
      <c r="L59" s="20">
        <f t="shared" ref="L59" si="145">+AL59</f>
        <v>0</v>
      </c>
      <c r="M59" s="19" t="s">
        <v>55</v>
      </c>
      <c r="N59" s="15"/>
      <c r="O59" s="14"/>
      <c r="P59" s="15"/>
      <c r="Q59" s="19" t="s">
        <v>0</v>
      </c>
      <c r="R59" s="19"/>
      <c r="S59" s="20" t="str">
        <f t="shared" ref="S59" si="146">(RIGHT(O59,7))</f>
        <v/>
      </c>
      <c r="T59" s="15"/>
      <c r="U59" s="19" t="s">
        <v>53</v>
      </c>
      <c r="V59" s="19" t="s">
        <v>2</v>
      </c>
      <c r="W59" s="20">
        <f t="shared" ref="W59" si="147">+AK59</f>
        <v>0</v>
      </c>
      <c r="X59" s="20">
        <f t="shared" ref="X59" si="148">+AL59</f>
        <v>0</v>
      </c>
      <c r="Y59" s="18" t="s">
        <v>3</v>
      </c>
      <c r="Z59" s="22">
        <f t="shared" ref="Z59" si="149">+G59</f>
        <v>0</v>
      </c>
      <c r="AA59" s="18"/>
      <c r="AB59" s="20">
        <f t="shared" ref="AB59" si="150">(AC59*100)/18</f>
        <v>0</v>
      </c>
      <c r="AC59" s="49"/>
      <c r="AD59" s="49"/>
      <c r="AE59" s="20">
        <f t="shared" ref="AE59" si="151">+AB59+AC59+AD59</f>
        <v>0</v>
      </c>
      <c r="AF59" s="51"/>
      <c r="AG59" s="20">
        <f>+AB59*AF59</f>
        <v>0</v>
      </c>
      <c r="AH59" s="20">
        <f>+AC59*AF59</f>
        <v>0</v>
      </c>
      <c r="AI59" s="20">
        <f>+AD59*AF59</f>
        <v>0</v>
      </c>
      <c r="AJ59" s="20">
        <f>+AE59*AF59</f>
        <v>0</v>
      </c>
      <c r="AK59" s="20">
        <f t="shared" ref="AK59" si="152">+ROUND(AG59,2)</f>
        <v>0</v>
      </c>
      <c r="AL59" s="20">
        <f t="shared" ref="AL59" si="153">+ROUND(AH59,2)</f>
        <v>0</v>
      </c>
      <c r="AM59" s="20">
        <f>+ROUND(AI59,2)</f>
        <v>0</v>
      </c>
      <c r="AN59" s="20">
        <f t="shared" ref="AN59" si="154">+ROUND(AJ59,2)</f>
        <v>0</v>
      </c>
      <c r="AO59" s="20">
        <f>+AK59+AL59-AN59+AM59</f>
        <v>0</v>
      </c>
    </row>
    <row r="60" spans="1:41" s="30" customFormat="1" ht="14.4" hidden="1" x14ac:dyDescent="0.3">
      <c r="A60" s="24"/>
      <c r="B60" s="24"/>
      <c r="C60" s="25"/>
      <c r="D60" s="25"/>
      <c r="E60" s="25"/>
      <c r="F60" s="25"/>
      <c r="G60" s="25"/>
      <c r="H60" s="26"/>
      <c r="I60" s="26"/>
      <c r="J60" s="25"/>
      <c r="K60" s="27"/>
      <c r="L60" s="26"/>
      <c r="M60" s="25"/>
      <c r="N60" s="25"/>
      <c r="O60" s="25"/>
      <c r="P60" s="25"/>
      <c r="Q60" s="25"/>
      <c r="R60" s="25"/>
      <c r="S60" s="26"/>
      <c r="T60" s="25"/>
      <c r="U60" s="25"/>
      <c r="V60" s="25"/>
      <c r="W60" s="26"/>
      <c r="X60" s="26"/>
      <c r="Y60" s="25"/>
      <c r="Z60" s="28"/>
      <c r="AA60" s="25"/>
      <c r="AB60" s="26"/>
      <c r="AC60" s="26"/>
      <c r="AD60" s="26"/>
      <c r="AE60" s="26"/>
      <c r="AF60" s="29"/>
      <c r="AG60" s="26"/>
      <c r="AH60" s="26"/>
      <c r="AI60" s="26"/>
      <c r="AJ60" s="26"/>
      <c r="AK60" s="26"/>
      <c r="AL60" s="26"/>
      <c r="AM60" s="26"/>
      <c r="AN60" s="26"/>
      <c r="AO60" s="26"/>
    </row>
    <row r="61" spans="1:41" s="30" customFormat="1" ht="14.4" hidden="1" x14ac:dyDescent="0.3">
      <c r="A61" s="24"/>
      <c r="B61" s="24"/>
      <c r="C61" s="25"/>
      <c r="D61" s="25"/>
      <c r="E61" s="25"/>
      <c r="F61" s="25"/>
      <c r="G61" s="25"/>
      <c r="H61" s="26"/>
      <c r="I61" s="26"/>
      <c r="J61" s="25"/>
      <c r="K61" s="27"/>
      <c r="L61" s="26"/>
      <c r="M61" s="25"/>
      <c r="N61" s="25"/>
      <c r="O61" s="25"/>
      <c r="P61" s="25"/>
      <c r="Q61" s="25"/>
      <c r="R61" s="25"/>
      <c r="S61" s="26"/>
      <c r="T61" s="25"/>
      <c r="U61" s="25"/>
      <c r="V61" s="25"/>
      <c r="W61" s="26"/>
      <c r="X61" s="26"/>
      <c r="Y61" s="25"/>
      <c r="Z61" s="28"/>
      <c r="AA61" s="25"/>
      <c r="AB61" s="26"/>
      <c r="AC61" s="26"/>
      <c r="AD61" s="26"/>
      <c r="AE61" s="26"/>
      <c r="AF61" s="29"/>
      <c r="AG61" s="26"/>
      <c r="AH61" s="26"/>
      <c r="AI61" s="26"/>
      <c r="AJ61" s="26"/>
      <c r="AK61" s="26"/>
      <c r="AL61" s="26"/>
      <c r="AM61" s="26"/>
      <c r="AN61" s="26"/>
      <c r="AO61" s="26"/>
    </row>
    <row r="62" spans="1:41" s="30" customFormat="1" ht="14.4" hidden="1" x14ac:dyDescent="0.3">
      <c r="A62" s="24"/>
      <c r="B62" s="24"/>
      <c r="C62" s="25"/>
      <c r="D62" s="25"/>
      <c r="E62" s="25"/>
      <c r="F62" s="25"/>
      <c r="G62" s="25"/>
      <c r="H62" s="26"/>
      <c r="I62" s="26"/>
      <c r="J62" s="25"/>
      <c r="K62" s="27"/>
      <c r="L62" s="26"/>
      <c r="M62" s="25"/>
      <c r="N62" s="25"/>
      <c r="O62" s="25"/>
      <c r="P62" s="25"/>
      <c r="Q62" s="25"/>
      <c r="R62" s="25"/>
      <c r="S62" s="26"/>
      <c r="T62" s="25"/>
      <c r="U62" s="25"/>
      <c r="V62" s="25"/>
      <c r="W62" s="26"/>
      <c r="X62" s="26"/>
      <c r="Y62" s="25"/>
      <c r="Z62" s="28"/>
      <c r="AA62" s="25"/>
      <c r="AB62" s="26"/>
      <c r="AC62" s="26"/>
      <c r="AD62" s="26"/>
      <c r="AE62" s="26"/>
      <c r="AF62" s="29"/>
      <c r="AG62" s="26"/>
      <c r="AH62" s="26"/>
      <c r="AI62" s="26"/>
      <c r="AJ62" s="26"/>
      <c r="AK62" s="26"/>
      <c r="AL62" s="26"/>
      <c r="AM62" s="26"/>
      <c r="AN62" s="26"/>
      <c r="AO62" s="26"/>
    </row>
    <row r="63" spans="1:41" ht="13.8" customHeight="1" x14ac:dyDescent="0.3">
      <c r="A63" s="16">
        <f t="shared" ref="A63" si="155">1+A59</f>
        <v>16</v>
      </c>
      <c r="B63" s="17"/>
      <c r="C63" s="14"/>
      <c r="D63" s="14"/>
      <c r="E63" s="15"/>
      <c r="F63" s="48"/>
      <c r="G63" s="17">
        <f>+E63</f>
        <v>0</v>
      </c>
      <c r="H63" s="20">
        <f t="shared" ref="H63" si="156">+AL63+AM63</f>
        <v>0</v>
      </c>
      <c r="I63" s="20">
        <f t="shared" ref="I63" si="157">+AC63+AD63</f>
        <v>0</v>
      </c>
      <c r="J63" s="14"/>
      <c r="K63" s="21">
        <f t="shared" ref="K63" si="158">+AF63</f>
        <v>0</v>
      </c>
      <c r="L63" s="20">
        <f t="shared" ref="L63" si="159">+AL63</f>
        <v>0</v>
      </c>
      <c r="M63" s="19" t="s">
        <v>55</v>
      </c>
      <c r="N63" s="15"/>
      <c r="O63" s="14"/>
      <c r="P63" s="15"/>
      <c r="Q63" s="19" t="s">
        <v>0</v>
      </c>
      <c r="R63" s="19"/>
      <c r="S63" s="20" t="str">
        <f t="shared" ref="S63" si="160">(RIGHT(O63,7))</f>
        <v/>
      </c>
      <c r="T63" s="15"/>
      <c r="U63" s="19" t="s">
        <v>53</v>
      </c>
      <c r="V63" s="19" t="s">
        <v>2</v>
      </c>
      <c r="W63" s="20">
        <f t="shared" ref="W63" si="161">+AK63</f>
        <v>0</v>
      </c>
      <c r="X63" s="20">
        <f t="shared" ref="X63" si="162">+AL63</f>
        <v>0</v>
      </c>
      <c r="Y63" s="18" t="s">
        <v>3</v>
      </c>
      <c r="Z63" s="22">
        <f t="shared" ref="Z63" si="163">+G63</f>
        <v>0</v>
      </c>
      <c r="AA63" s="18"/>
      <c r="AB63" s="20">
        <f t="shared" ref="AB63" si="164">(AC63*100)/18</f>
        <v>0</v>
      </c>
      <c r="AC63" s="49"/>
      <c r="AD63" s="49"/>
      <c r="AE63" s="20">
        <f t="shared" ref="AE63" si="165">+AB63+AC63+AD63</f>
        <v>0</v>
      </c>
      <c r="AF63" s="51"/>
      <c r="AG63" s="20">
        <f>+AB63*AF63</f>
        <v>0</v>
      </c>
      <c r="AH63" s="20">
        <f>+AC63*AF63</f>
        <v>0</v>
      </c>
      <c r="AI63" s="20">
        <f>+AD63*AF63</f>
        <v>0</v>
      </c>
      <c r="AJ63" s="20">
        <f>+AE63*AF63</f>
        <v>0</v>
      </c>
      <c r="AK63" s="20">
        <f t="shared" ref="AK63" si="166">+ROUND(AG63,2)</f>
        <v>0</v>
      </c>
      <c r="AL63" s="20">
        <f t="shared" ref="AL63" si="167">+ROUND(AH63,2)</f>
        <v>0</v>
      </c>
      <c r="AM63" s="20">
        <f>+ROUND(AI63,2)</f>
        <v>0</v>
      </c>
      <c r="AN63" s="20">
        <f t="shared" ref="AN63" si="168">+ROUND(AJ63,2)</f>
        <v>0</v>
      </c>
      <c r="AO63" s="20">
        <f>+AK63+AL63-AN63+AM63</f>
        <v>0</v>
      </c>
    </row>
    <row r="64" spans="1:41" s="30" customFormat="1" ht="14.4" hidden="1" x14ac:dyDescent="0.3">
      <c r="A64" s="24"/>
      <c r="B64" s="24"/>
      <c r="C64" s="25"/>
      <c r="D64" s="25"/>
      <c r="E64" s="25"/>
      <c r="F64" s="25"/>
      <c r="G64" s="25"/>
      <c r="H64" s="26"/>
      <c r="I64" s="26"/>
      <c r="J64" s="25"/>
      <c r="K64" s="27"/>
      <c r="L64" s="26"/>
      <c r="M64" s="25"/>
      <c r="N64" s="25"/>
      <c r="O64" s="25"/>
      <c r="P64" s="25"/>
      <c r="Q64" s="25"/>
      <c r="R64" s="25"/>
      <c r="S64" s="26"/>
      <c r="T64" s="25"/>
      <c r="U64" s="25"/>
      <c r="V64" s="25"/>
      <c r="W64" s="26"/>
      <c r="X64" s="26"/>
      <c r="Y64" s="25"/>
      <c r="Z64" s="28"/>
      <c r="AA64" s="25"/>
      <c r="AB64" s="26"/>
      <c r="AC64" s="26"/>
      <c r="AD64" s="26"/>
      <c r="AE64" s="26"/>
      <c r="AF64" s="29"/>
      <c r="AG64" s="26"/>
      <c r="AH64" s="26"/>
      <c r="AI64" s="26"/>
      <c r="AJ64" s="26"/>
      <c r="AK64" s="26"/>
      <c r="AL64" s="26"/>
      <c r="AM64" s="26"/>
      <c r="AN64" s="26"/>
      <c r="AO64" s="26"/>
    </row>
    <row r="65" spans="1:41" s="30" customFormat="1" ht="14.4" hidden="1" x14ac:dyDescent="0.3">
      <c r="A65" s="24"/>
      <c r="B65" s="24"/>
      <c r="C65" s="25"/>
      <c r="D65" s="25"/>
      <c r="E65" s="25"/>
      <c r="F65" s="25"/>
      <c r="G65" s="25"/>
      <c r="H65" s="26"/>
      <c r="I65" s="26"/>
      <c r="J65" s="25"/>
      <c r="K65" s="27"/>
      <c r="L65" s="26"/>
      <c r="M65" s="25"/>
      <c r="N65" s="25"/>
      <c r="O65" s="25"/>
      <c r="P65" s="25"/>
      <c r="Q65" s="25"/>
      <c r="R65" s="25"/>
      <c r="S65" s="26"/>
      <c r="T65" s="25"/>
      <c r="U65" s="25"/>
      <c r="V65" s="25"/>
      <c r="W65" s="26"/>
      <c r="X65" s="26"/>
      <c r="Y65" s="25"/>
      <c r="Z65" s="28"/>
      <c r="AA65" s="25"/>
      <c r="AB65" s="26"/>
      <c r="AC65" s="26"/>
      <c r="AD65" s="26"/>
      <c r="AE65" s="26"/>
      <c r="AF65" s="29"/>
      <c r="AG65" s="26"/>
      <c r="AH65" s="26"/>
      <c r="AI65" s="26"/>
      <c r="AJ65" s="26"/>
      <c r="AK65" s="26"/>
      <c r="AL65" s="26"/>
      <c r="AM65" s="26"/>
      <c r="AN65" s="26"/>
      <c r="AO65" s="26"/>
    </row>
    <row r="66" spans="1:41" s="30" customFormat="1" ht="14.4" hidden="1" x14ac:dyDescent="0.3">
      <c r="A66" s="24"/>
      <c r="B66" s="24"/>
      <c r="C66" s="25"/>
      <c r="D66" s="25"/>
      <c r="E66" s="25"/>
      <c r="F66" s="25"/>
      <c r="G66" s="25"/>
      <c r="H66" s="26"/>
      <c r="I66" s="26"/>
      <c r="J66" s="25"/>
      <c r="K66" s="27"/>
      <c r="L66" s="26"/>
      <c r="M66" s="25"/>
      <c r="N66" s="25"/>
      <c r="O66" s="25"/>
      <c r="P66" s="25"/>
      <c r="Q66" s="25"/>
      <c r="R66" s="25"/>
      <c r="S66" s="26"/>
      <c r="T66" s="25"/>
      <c r="U66" s="25"/>
      <c r="V66" s="25"/>
      <c r="W66" s="26"/>
      <c r="X66" s="26"/>
      <c r="Y66" s="25"/>
      <c r="Z66" s="28"/>
      <c r="AA66" s="25"/>
      <c r="AB66" s="26"/>
      <c r="AC66" s="26"/>
      <c r="AD66" s="26"/>
      <c r="AE66" s="26"/>
      <c r="AF66" s="29"/>
      <c r="AG66" s="26"/>
      <c r="AH66" s="26"/>
      <c r="AI66" s="26"/>
      <c r="AJ66" s="26"/>
      <c r="AK66" s="26"/>
      <c r="AL66" s="26"/>
      <c r="AM66" s="26"/>
      <c r="AN66" s="26"/>
      <c r="AO66" s="26"/>
    </row>
    <row r="67" spans="1:41" ht="13.8" customHeight="1" x14ac:dyDescent="0.3">
      <c r="A67" s="16">
        <f t="shared" ref="A67" si="169">1+A63</f>
        <v>17</v>
      </c>
      <c r="B67" s="17"/>
      <c r="C67" s="14"/>
      <c r="D67" s="14"/>
      <c r="E67" s="15"/>
      <c r="F67" s="48"/>
      <c r="G67" s="17">
        <f>+E67</f>
        <v>0</v>
      </c>
      <c r="H67" s="20">
        <f t="shared" ref="H67" si="170">+AL67+AM67</f>
        <v>0</v>
      </c>
      <c r="I67" s="20">
        <f t="shared" ref="I67" si="171">+AC67+AD67</f>
        <v>0</v>
      </c>
      <c r="J67" s="14"/>
      <c r="K67" s="21">
        <f t="shared" ref="K67" si="172">+AF67</f>
        <v>0</v>
      </c>
      <c r="L67" s="20">
        <f t="shared" ref="L67" si="173">+AL67</f>
        <v>0</v>
      </c>
      <c r="M67" s="19" t="s">
        <v>55</v>
      </c>
      <c r="N67" s="15"/>
      <c r="O67" s="14"/>
      <c r="P67" s="15"/>
      <c r="Q67" s="19" t="s">
        <v>0</v>
      </c>
      <c r="R67" s="19"/>
      <c r="S67" s="20" t="str">
        <f t="shared" ref="S67" si="174">(RIGHT(O67,7))</f>
        <v/>
      </c>
      <c r="T67" s="15"/>
      <c r="U67" s="19" t="s">
        <v>53</v>
      </c>
      <c r="V67" s="19" t="s">
        <v>2</v>
      </c>
      <c r="W67" s="20">
        <f t="shared" ref="W67" si="175">+AK67</f>
        <v>0</v>
      </c>
      <c r="X67" s="20">
        <f t="shared" ref="X67" si="176">+AL67</f>
        <v>0</v>
      </c>
      <c r="Y67" s="18" t="s">
        <v>3</v>
      </c>
      <c r="Z67" s="22">
        <f t="shared" ref="Z67" si="177">+G67</f>
        <v>0</v>
      </c>
      <c r="AA67" s="18"/>
      <c r="AB67" s="20">
        <f t="shared" ref="AB67" si="178">(AC67*100)/18</f>
        <v>0</v>
      </c>
      <c r="AC67" s="49"/>
      <c r="AD67" s="49"/>
      <c r="AE67" s="20">
        <f t="shared" ref="AE67" si="179">+AB67+AC67+AD67</f>
        <v>0</v>
      </c>
      <c r="AF67" s="51"/>
      <c r="AG67" s="20">
        <f>+AB67*AF67</f>
        <v>0</v>
      </c>
      <c r="AH67" s="20">
        <f>+AC67*AF67</f>
        <v>0</v>
      </c>
      <c r="AI67" s="20">
        <f>+AD67*AF67</f>
        <v>0</v>
      </c>
      <c r="AJ67" s="20">
        <f>+AE67*AF67</f>
        <v>0</v>
      </c>
      <c r="AK67" s="20">
        <f t="shared" ref="AK67" si="180">+ROUND(AG67,2)</f>
        <v>0</v>
      </c>
      <c r="AL67" s="20">
        <f t="shared" ref="AL67" si="181">+ROUND(AH67,2)</f>
        <v>0</v>
      </c>
      <c r="AM67" s="20">
        <f>+ROUND(AI67,2)</f>
        <v>0</v>
      </c>
      <c r="AN67" s="20">
        <f t="shared" ref="AN67" si="182">+ROUND(AJ67,2)</f>
        <v>0</v>
      </c>
      <c r="AO67" s="20">
        <f>+AK67+AL67-AN67+AM67</f>
        <v>0</v>
      </c>
    </row>
    <row r="68" spans="1:41" s="30" customFormat="1" ht="14.4" hidden="1" x14ac:dyDescent="0.3">
      <c r="A68" s="24"/>
      <c r="B68" s="24"/>
      <c r="C68" s="25"/>
      <c r="D68" s="25"/>
      <c r="E68" s="25"/>
      <c r="F68" s="25"/>
      <c r="G68" s="25"/>
      <c r="H68" s="26"/>
      <c r="I68" s="26"/>
      <c r="J68" s="25"/>
      <c r="K68" s="27"/>
      <c r="L68" s="26"/>
      <c r="M68" s="25"/>
      <c r="N68" s="25"/>
      <c r="O68" s="25"/>
      <c r="P68" s="25"/>
      <c r="Q68" s="25"/>
      <c r="R68" s="25"/>
      <c r="S68" s="26"/>
      <c r="T68" s="25"/>
      <c r="U68" s="25"/>
      <c r="V68" s="25"/>
      <c r="W68" s="26"/>
      <c r="X68" s="26"/>
      <c r="Y68" s="25"/>
      <c r="Z68" s="28"/>
      <c r="AA68" s="25"/>
      <c r="AB68" s="26"/>
      <c r="AC68" s="26"/>
      <c r="AD68" s="26"/>
      <c r="AE68" s="26"/>
      <c r="AF68" s="29"/>
      <c r="AG68" s="26"/>
      <c r="AH68" s="26"/>
      <c r="AI68" s="26"/>
      <c r="AJ68" s="26"/>
      <c r="AK68" s="26"/>
      <c r="AL68" s="26"/>
      <c r="AM68" s="26"/>
      <c r="AN68" s="26"/>
      <c r="AO68" s="26"/>
    </row>
    <row r="69" spans="1:41" s="30" customFormat="1" ht="14.4" hidden="1" x14ac:dyDescent="0.3">
      <c r="A69" s="24"/>
      <c r="B69" s="24"/>
      <c r="C69" s="25"/>
      <c r="D69" s="25"/>
      <c r="E69" s="25"/>
      <c r="F69" s="25"/>
      <c r="G69" s="25"/>
      <c r="H69" s="26"/>
      <c r="I69" s="26"/>
      <c r="J69" s="25"/>
      <c r="K69" s="27"/>
      <c r="L69" s="26"/>
      <c r="M69" s="25"/>
      <c r="N69" s="25"/>
      <c r="O69" s="25"/>
      <c r="P69" s="25"/>
      <c r="Q69" s="25"/>
      <c r="R69" s="25"/>
      <c r="S69" s="26"/>
      <c r="T69" s="25"/>
      <c r="U69" s="25"/>
      <c r="V69" s="25"/>
      <c r="W69" s="26"/>
      <c r="X69" s="26"/>
      <c r="Y69" s="25"/>
      <c r="Z69" s="28"/>
      <c r="AA69" s="25"/>
      <c r="AB69" s="26"/>
      <c r="AC69" s="26"/>
      <c r="AD69" s="26"/>
      <c r="AE69" s="26"/>
      <c r="AF69" s="29"/>
      <c r="AG69" s="26"/>
      <c r="AH69" s="26"/>
      <c r="AI69" s="26"/>
      <c r="AJ69" s="26"/>
      <c r="AK69" s="26"/>
      <c r="AL69" s="26"/>
      <c r="AM69" s="26"/>
      <c r="AN69" s="26"/>
      <c r="AO69" s="26"/>
    </row>
    <row r="70" spans="1:41" s="30" customFormat="1" ht="14.4" hidden="1" x14ac:dyDescent="0.3">
      <c r="A70" s="24"/>
      <c r="B70" s="24"/>
      <c r="C70" s="25"/>
      <c r="D70" s="25"/>
      <c r="E70" s="25"/>
      <c r="F70" s="25"/>
      <c r="G70" s="25"/>
      <c r="H70" s="26"/>
      <c r="I70" s="26"/>
      <c r="J70" s="25"/>
      <c r="K70" s="27"/>
      <c r="L70" s="26"/>
      <c r="M70" s="25"/>
      <c r="N70" s="25"/>
      <c r="O70" s="25"/>
      <c r="P70" s="25"/>
      <c r="Q70" s="25"/>
      <c r="R70" s="25"/>
      <c r="S70" s="26"/>
      <c r="T70" s="25"/>
      <c r="U70" s="25"/>
      <c r="V70" s="25"/>
      <c r="W70" s="26"/>
      <c r="X70" s="26"/>
      <c r="Y70" s="25"/>
      <c r="Z70" s="28"/>
      <c r="AA70" s="25"/>
      <c r="AB70" s="26"/>
      <c r="AC70" s="26"/>
      <c r="AD70" s="26"/>
      <c r="AE70" s="26"/>
      <c r="AF70" s="29"/>
      <c r="AG70" s="26"/>
      <c r="AH70" s="26"/>
      <c r="AI70" s="26"/>
      <c r="AJ70" s="26"/>
      <c r="AK70" s="26"/>
      <c r="AL70" s="26"/>
      <c r="AM70" s="26"/>
      <c r="AN70" s="26"/>
      <c r="AO70" s="26"/>
    </row>
    <row r="71" spans="1:41" ht="13.8" customHeight="1" x14ac:dyDescent="0.3">
      <c r="A71" s="16">
        <f t="shared" ref="A71" si="183">1+A67</f>
        <v>18</v>
      </c>
      <c r="B71" s="17"/>
      <c r="C71" s="14"/>
      <c r="D71" s="14"/>
      <c r="E71" s="15"/>
      <c r="F71" s="48"/>
      <c r="G71" s="17">
        <f>+E71</f>
        <v>0</v>
      </c>
      <c r="H71" s="20">
        <f t="shared" ref="H71" si="184">+AL71+AM71</f>
        <v>0</v>
      </c>
      <c r="I71" s="20">
        <f t="shared" ref="I71" si="185">+AC71+AD71</f>
        <v>0</v>
      </c>
      <c r="J71" s="14"/>
      <c r="K71" s="21">
        <f t="shared" ref="K71" si="186">+AF71</f>
        <v>0</v>
      </c>
      <c r="L71" s="20">
        <f t="shared" ref="L71" si="187">+AL71</f>
        <v>0</v>
      </c>
      <c r="M71" s="19" t="s">
        <v>55</v>
      </c>
      <c r="N71" s="15"/>
      <c r="O71" s="14"/>
      <c r="P71" s="15"/>
      <c r="Q71" s="19" t="s">
        <v>0</v>
      </c>
      <c r="R71" s="19"/>
      <c r="S71" s="20" t="str">
        <f t="shared" ref="S71" si="188">(RIGHT(O71,7))</f>
        <v/>
      </c>
      <c r="T71" s="15"/>
      <c r="U71" s="19" t="s">
        <v>53</v>
      </c>
      <c r="V71" s="19" t="s">
        <v>2</v>
      </c>
      <c r="W71" s="20">
        <f t="shared" ref="W71" si="189">+AK71</f>
        <v>0</v>
      </c>
      <c r="X71" s="20">
        <f t="shared" ref="X71" si="190">+AL71</f>
        <v>0</v>
      </c>
      <c r="Y71" s="18" t="s">
        <v>3</v>
      </c>
      <c r="Z71" s="22">
        <f t="shared" ref="Z71" si="191">+G71</f>
        <v>0</v>
      </c>
      <c r="AA71" s="18"/>
      <c r="AB71" s="20">
        <f t="shared" ref="AB71" si="192">(AC71*100)/18</f>
        <v>0</v>
      </c>
      <c r="AC71" s="49"/>
      <c r="AD71" s="49"/>
      <c r="AE71" s="20">
        <f t="shared" ref="AE71" si="193">+AB71+AC71+AD71</f>
        <v>0</v>
      </c>
      <c r="AF71" s="51"/>
      <c r="AG71" s="20">
        <f>+AB71*AF71</f>
        <v>0</v>
      </c>
      <c r="AH71" s="20">
        <f>+AC71*AF71</f>
        <v>0</v>
      </c>
      <c r="AI71" s="20">
        <f>+AD71*AF71</f>
        <v>0</v>
      </c>
      <c r="AJ71" s="20">
        <f>+AE71*AF71</f>
        <v>0</v>
      </c>
      <c r="AK71" s="20">
        <f t="shared" ref="AK71" si="194">+ROUND(AG71,2)</f>
        <v>0</v>
      </c>
      <c r="AL71" s="20">
        <f t="shared" ref="AL71" si="195">+ROUND(AH71,2)</f>
        <v>0</v>
      </c>
      <c r="AM71" s="20">
        <f>+ROUND(AI71,2)</f>
        <v>0</v>
      </c>
      <c r="AN71" s="20">
        <f t="shared" ref="AN71" si="196">+ROUND(AJ71,2)</f>
        <v>0</v>
      </c>
      <c r="AO71" s="20">
        <f>+AK71+AL71-AN71+AM71</f>
        <v>0</v>
      </c>
    </row>
    <row r="72" spans="1:41" s="30" customFormat="1" ht="14.4" hidden="1" x14ac:dyDescent="0.3">
      <c r="A72" s="24"/>
      <c r="B72" s="24"/>
      <c r="C72" s="25"/>
      <c r="D72" s="25"/>
      <c r="E72" s="25"/>
      <c r="F72" s="25"/>
      <c r="G72" s="25"/>
      <c r="H72" s="26"/>
      <c r="I72" s="26"/>
      <c r="J72" s="25"/>
      <c r="K72" s="27"/>
      <c r="L72" s="26"/>
      <c r="M72" s="25"/>
      <c r="N72" s="25"/>
      <c r="O72" s="25"/>
      <c r="P72" s="25"/>
      <c r="Q72" s="25"/>
      <c r="R72" s="25"/>
      <c r="S72" s="26"/>
      <c r="T72" s="25"/>
      <c r="U72" s="25"/>
      <c r="V72" s="25"/>
      <c r="W72" s="26"/>
      <c r="X72" s="26"/>
      <c r="Y72" s="25"/>
      <c r="Z72" s="28"/>
      <c r="AA72" s="25"/>
      <c r="AB72" s="26"/>
      <c r="AC72" s="26"/>
      <c r="AD72" s="26"/>
      <c r="AE72" s="26"/>
      <c r="AF72" s="29"/>
      <c r="AG72" s="26"/>
      <c r="AH72" s="26"/>
      <c r="AI72" s="26"/>
      <c r="AJ72" s="26"/>
      <c r="AK72" s="26"/>
      <c r="AL72" s="26"/>
      <c r="AM72" s="26"/>
      <c r="AN72" s="26"/>
      <c r="AO72" s="26"/>
    </row>
    <row r="73" spans="1:41" s="30" customFormat="1" ht="14.4" hidden="1" x14ac:dyDescent="0.3">
      <c r="A73" s="24"/>
      <c r="B73" s="24"/>
      <c r="C73" s="25"/>
      <c r="D73" s="25"/>
      <c r="E73" s="25"/>
      <c r="F73" s="25"/>
      <c r="G73" s="25"/>
      <c r="H73" s="26"/>
      <c r="I73" s="26"/>
      <c r="J73" s="25"/>
      <c r="K73" s="27"/>
      <c r="L73" s="26"/>
      <c r="M73" s="25"/>
      <c r="N73" s="25"/>
      <c r="O73" s="25"/>
      <c r="P73" s="25"/>
      <c r="Q73" s="25"/>
      <c r="R73" s="25"/>
      <c r="S73" s="26"/>
      <c r="T73" s="25"/>
      <c r="U73" s="25"/>
      <c r="V73" s="25"/>
      <c r="W73" s="26"/>
      <c r="X73" s="26"/>
      <c r="Y73" s="25"/>
      <c r="Z73" s="28"/>
      <c r="AA73" s="25"/>
      <c r="AB73" s="26"/>
      <c r="AC73" s="26"/>
      <c r="AD73" s="26"/>
      <c r="AE73" s="26"/>
      <c r="AF73" s="29"/>
      <c r="AG73" s="26"/>
      <c r="AH73" s="26"/>
      <c r="AI73" s="26"/>
      <c r="AJ73" s="26"/>
      <c r="AK73" s="26"/>
      <c r="AL73" s="26"/>
      <c r="AM73" s="26"/>
      <c r="AN73" s="26"/>
      <c r="AO73" s="26"/>
    </row>
    <row r="74" spans="1:41" s="30" customFormat="1" ht="14.4" hidden="1" x14ac:dyDescent="0.3">
      <c r="A74" s="24"/>
      <c r="B74" s="24"/>
      <c r="C74" s="25"/>
      <c r="D74" s="25"/>
      <c r="E74" s="25"/>
      <c r="F74" s="25"/>
      <c r="G74" s="25"/>
      <c r="H74" s="26"/>
      <c r="I74" s="26"/>
      <c r="J74" s="25"/>
      <c r="K74" s="27"/>
      <c r="L74" s="26"/>
      <c r="M74" s="25"/>
      <c r="N74" s="25"/>
      <c r="O74" s="25"/>
      <c r="P74" s="25"/>
      <c r="Q74" s="25"/>
      <c r="R74" s="25"/>
      <c r="S74" s="26"/>
      <c r="T74" s="25"/>
      <c r="U74" s="25"/>
      <c r="V74" s="25"/>
      <c r="W74" s="26"/>
      <c r="X74" s="26"/>
      <c r="Y74" s="25"/>
      <c r="Z74" s="28"/>
      <c r="AA74" s="25"/>
      <c r="AB74" s="26"/>
      <c r="AC74" s="26"/>
      <c r="AD74" s="26"/>
      <c r="AE74" s="26"/>
      <c r="AF74" s="29"/>
      <c r="AG74" s="26"/>
      <c r="AH74" s="26"/>
      <c r="AI74" s="26"/>
      <c r="AJ74" s="26"/>
      <c r="AK74" s="26"/>
      <c r="AL74" s="26"/>
      <c r="AM74" s="26"/>
      <c r="AN74" s="26"/>
      <c r="AO74" s="26"/>
    </row>
    <row r="75" spans="1:41" ht="13.8" customHeight="1" x14ac:dyDescent="0.3">
      <c r="A75" s="16">
        <f t="shared" ref="A75" si="197">1+A71</f>
        <v>19</v>
      </c>
      <c r="B75" s="17"/>
      <c r="C75" s="14"/>
      <c r="D75" s="14"/>
      <c r="E75" s="15"/>
      <c r="F75" s="48"/>
      <c r="G75" s="17">
        <f>+E75</f>
        <v>0</v>
      </c>
      <c r="H75" s="20">
        <f t="shared" ref="H75" si="198">+AL75+AM75</f>
        <v>0</v>
      </c>
      <c r="I75" s="20">
        <f t="shared" ref="I75" si="199">+AC75+AD75</f>
        <v>0</v>
      </c>
      <c r="J75" s="14"/>
      <c r="K75" s="21">
        <f t="shared" ref="K75" si="200">+AF75</f>
        <v>0</v>
      </c>
      <c r="L75" s="20">
        <f t="shared" ref="L75" si="201">+AL75</f>
        <v>0</v>
      </c>
      <c r="M75" s="19" t="s">
        <v>55</v>
      </c>
      <c r="N75" s="15"/>
      <c r="O75" s="14"/>
      <c r="P75" s="15"/>
      <c r="Q75" s="19" t="s">
        <v>0</v>
      </c>
      <c r="R75" s="19"/>
      <c r="S75" s="20" t="str">
        <f t="shared" ref="S75" si="202">(RIGHT(O75,7))</f>
        <v/>
      </c>
      <c r="T75" s="15"/>
      <c r="U75" s="19" t="s">
        <v>53</v>
      </c>
      <c r="V75" s="19" t="s">
        <v>2</v>
      </c>
      <c r="W75" s="20">
        <f t="shared" ref="W75" si="203">+AK75</f>
        <v>0</v>
      </c>
      <c r="X75" s="20">
        <f t="shared" ref="X75" si="204">+AL75</f>
        <v>0</v>
      </c>
      <c r="Y75" s="18" t="s">
        <v>3</v>
      </c>
      <c r="Z75" s="22">
        <f t="shared" ref="Z75" si="205">+G75</f>
        <v>0</v>
      </c>
      <c r="AA75" s="18"/>
      <c r="AB75" s="20">
        <f t="shared" ref="AB75" si="206">(AC75*100)/18</f>
        <v>0</v>
      </c>
      <c r="AC75" s="49"/>
      <c r="AD75" s="49"/>
      <c r="AE75" s="20">
        <f t="shared" ref="AE75" si="207">+AB75+AC75+AD75</f>
        <v>0</v>
      </c>
      <c r="AF75" s="51"/>
      <c r="AG75" s="20">
        <f>+AB75*AF75</f>
        <v>0</v>
      </c>
      <c r="AH75" s="20">
        <f>+AC75*AF75</f>
        <v>0</v>
      </c>
      <c r="AI75" s="20">
        <f>+AD75*AF75</f>
        <v>0</v>
      </c>
      <c r="AJ75" s="20">
        <f>+AE75*AF75</f>
        <v>0</v>
      </c>
      <c r="AK75" s="20">
        <f t="shared" ref="AK75" si="208">+ROUND(AG75,2)</f>
        <v>0</v>
      </c>
      <c r="AL75" s="20">
        <f t="shared" ref="AL75" si="209">+ROUND(AH75,2)</f>
        <v>0</v>
      </c>
      <c r="AM75" s="20">
        <f>+ROUND(AI75,2)</f>
        <v>0</v>
      </c>
      <c r="AN75" s="20">
        <f t="shared" ref="AN75" si="210">+ROUND(AJ75,2)</f>
        <v>0</v>
      </c>
      <c r="AO75" s="20">
        <f>+AK75+AL75-AN75+AM75</f>
        <v>0</v>
      </c>
    </row>
    <row r="76" spans="1:41" s="30" customFormat="1" ht="14.4" hidden="1" x14ac:dyDescent="0.3">
      <c r="A76" s="24"/>
      <c r="B76" s="24"/>
      <c r="C76" s="25"/>
      <c r="D76" s="25"/>
      <c r="E76" s="25"/>
      <c r="F76" s="25"/>
      <c r="G76" s="25"/>
      <c r="H76" s="26"/>
      <c r="I76" s="26"/>
      <c r="J76" s="25"/>
      <c r="K76" s="27"/>
      <c r="L76" s="26"/>
      <c r="M76" s="25"/>
      <c r="N76" s="25"/>
      <c r="O76" s="25"/>
      <c r="P76" s="25"/>
      <c r="Q76" s="25"/>
      <c r="R76" s="25"/>
      <c r="S76" s="26"/>
      <c r="T76" s="25"/>
      <c r="U76" s="25"/>
      <c r="V76" s="25"/>
      <c r="W76" s="26"/>
      <c r="X76" s="26"/>
      <c r="Y76" s="25"/>
      <c r="Z76" s="28"/>
      <c r="AA76" s="25"/>
      <c r="AB76" s="26"/>
      <c r="AC76" s="26"/>
      <c r="AD76" s="26"/>
      <c r="AE76" s="26"/>
      <c r="AF76" s="29"/>
      <c r="AG76" s="26"/>
      <c r="AH76" s="26"/>
      <c r="AI76" s="26"/>
      <c r="AJ76" s="26"/>
      <c r="AK76" s="26"/>
      <c r="AL76" s="26"/>
      <c r="AM76" s="26"/>
      <c r="AN76" s="26"/>
      <c r="AO76" s="26"/>
    </row>
    <row r="77" spans="1:41" s="30" customFormat="1" ht="14.4" hidden="1" x14ac:dyDescent="0.3">
      <c r="A77" s="24"/>
      <c r="B77" s="24"/>
      <c r="C77" s="25"/>
      <c r="D77" s="25"/>
      <c r="E77" s="25"/>
      <c r="F77" s="25"/>
      <c r="G77" s="25"/>
      <c r="H77" s="26"/>
      <c r="I77" s="26"/>
      <c r="J77" s="25"/>
      <c r="K77" s="27"/>
      <c r="L77" s="26"/>
      <c r="M77" s="25"/>
      <c r="N77" s="25"/>
      <c r="O77" s="25"/>
      <c r="P77" s="25"/>
      <c r="Q77" s="25"/>
      <c r="R77" s="25"/>
      <c r="S77" s="26"/>
      <c r="T77" s="25"/>
      <c r="U77" s="25"/>
      <c r="V77" s="25"/>
      <c r="W77" s="26"/>
      <c r="X77" s="26"/>
      <c r="Y77" s="25"/>
      <c r="Z77" s="28"/>
      <c r="AA77" s="25"/>
      <c r="AB77" s="26"/>
      <c r="AC77" s="26"/>
      <c r="AD77" s="26"/>
      <c r="AE77" s="26"/>
      <c r="AF77" s="29"/>
      <c r="AG77" s="26"/>
      <c r="AH77" s="26"/>
      <c r="AI77" s="26"/>
      <c r="AJ77" s="26"/>
      <c r="AK77" s="26"/>
      <c r="AL77" s="26"/>
      <c r="AM77" s="26"/>
      <c r="AN77" s="26"/>
      <c r="AO77" s="26"/>
    </row>
    <row r="78" spans="1:41" s="30" customFormat="1" ht="14.4" hidden="1" x14ac:dyDescent="0.3">
      <c r="A78" s="24"/>
      <c r="B78" s="24"/>
      <c r="C78" s="25"/>
      <c r="D78" s="25"/>
      <c r="E78" s="25"/>
      <c r="F78" s="25"/>
      <c r="G78" s="25"/>
      <c r="H78" s="26"/>
      <c r="I78" s="26"/>
      <c r="J78" s="25"/>
      <c r="K78" s="27"/>
      <c r="L78" s="26"/>
      <c r="M78" s="25"/>
      <c r="N78" s="25"/>
      <c r="O78" s="25"/>
      <c r="P78" s="25"/>
      <c r="Q78" s="25"/>
      <c r="R78" s="25"/>
      <c r="S78" s="26"/>
      <c r="T78" s="25"/>
      <c r="U78" s="25"/>
      <c r="V78" s="25"/>
      <c r="W78" s="26"/>
      <c r="X78" s="26"/>
      <c r="Y78" s="25"/>
      <c r="Z78" s="28"/>
      <c r="AA78" s="25"/>
      <c r="AB78" s="26"/>
      <c r="AC78" s="26"/>
      <c r="AD78" s="26"/>
      <c r="AE78" s="26"/>
      <c r="AF78" s="29"/>
      <c r="AG78" s="26"/>
      <c r="AH78" s="26"/>
      <c r="AI78" s="26"/>
      <c r="AJ78" s="26"/>
      <c r="AK78" s="26"/>
      <c r="AL78" s="26"/>
      <c r="AM78" s="26"/>
      <c r="AN78" s="26"/>
      <c r="AO78" s="26"/>
    </row>
    <row r="79" spans="1:41" ht="13.8" customHeight="1" x14ac:dyDescent="0.3">
      <c r="A79" s="16">
        <f t="shared" ref="A79" si="211">1+A75</f>
        <v>20</v>
      </c>
      <c r="B79" s="17"/>
      <c r="C79" s="14"/>
      <c r="D79" s="14"/>
      <c r="E79" s="15"/>
      <c r="F79" s="48"/>
      <c r="G79" s="17">
        <f>+E79</f>
        <v>0</v>
      </c>
      <c r="H79" s="20">
        <f t="shared" ref="H79" si="212">+AL79+AM79</f>
        <v>0</v>
      </c>
      <c r="I79" s="20">
        <f t="shared" ref="I79" si="213">+AC79+AD79</f>
        <v>0</v>
      </c>
      <c r="J79" s="14"/>
      <c r="K79" s="21">
        <f t="shared" ref="K79" si="214">+AF79</f>
        <v>0</v>
      </c>
      <c r="L79" s="20">
        <f t="shared" ref="L79" si="215">+AL79</f>
        <v>0</v>
      </c>
      <c r="M79" s="19" t="s">
        <v>55</v>
      </c>
      <c r="N79" s="15"/>
      <c r="O79" s="14"/>
      <c r="P79" s="15"/>
      <c r="Q79" s="19" t="s">
        <v>0</v>
      </c>
      <c r="R79" s="19"/>
      <c r="S79" s="20" t="str">
        <f t="shared" ref="S79" si="216">(RIGHT(O79,7))</f>
        <v/>
      </c>
      <c r="T79" s="15"/>
      <c r="U79" s="19" t="s">
        <v>53</v>
      </c>
      <c r="V79" s="19" t="s">
        <v>2</v>
      </c>
      <c r="W79" s="20">
        <f t="shared" ref="W79" si="217">+AK79</f>
        <v>0</v>
      </c>
      <c r="X79" s="20">
        <f t="shared" ref="X79" si="218">+AL79</f>
        <v>0</v>
      </c>
      <c r="Y79" s="18" t="s">
        <v>3</v>
      </c>
      <c r="Z79" s="22">
        <f t="shared" ref="Z79" si="219">+G79</f>
        <v>0</v>
      </c>
      <c r="AA79" s="18"/>
      <c r="AB79" s="20">
        <f t="shared" ref="AB79" si="220">(AC79*100)/18</f>
        <v>0</v>
      </c>
      <c r="AC79" s="49"/>
      <c r="AD79" s="49"/>
      <c r="AE79" s="20">
        <f t="shared" ref="AE79" si="221">+AB79+AC79+AD79</f>
        <v>0</v>
      </c>
      <c r="AF79" s="51"/>
      <c r="AG79" s="20">
        <f>+AB79*AF79</f>
        <v>0</v>
      </c>
      <c r="AH79" s="20">
        <f>+AC79*AF79</f>
        <v>0</v>
      </c>
      <c r="AI79" s="20">
        <f>+AD79*AF79</f>
        <v>0</v>
      </c>
      <c r="AJ79" s="20">
        <f>+AE79*AF79</f>
        <v>0</v>
      </c>
      <c r="AK79" s="20">
        <f t="shared" ref="AK79" si="222">+ROUND(AG79,2)</f>
        <v>0</v>
      </c>
      <c r="AL79" s="20">
        <f t="shared" ref="AL79" si="223">+ROUND(AH79,2)</f>
        <v>0</v>
      </c>
      <c r="AM79" s="20">
        <f>+ROUND(AI79,2)</f>
        <v>0</v>
      </c>
      <c r="AN79" s="20">
        <f t="shared" ref="AN79" si="224">+ROUND(AJ79,2)</f>
        <v>0</v>
      </c>
      <c r="AO79" s="20">
        <f>+AK79+AL79-AN79+AM79</f>
        <v>0</v>
      </c>
    </row>
    <row r="80" spans="1:41" s="30" customFormat="1" ht="14.4" hidden="1" x14ac:dyDescent="0.3">
      <c r="A80" s="24"/>
      <c r="B80" s="24"/>
      <c r="C80" s="25"/>
      <c r="D80" s="25"/>
      <c r="E80" s="25"/>
      <c r="F80" s="25"/>
      <c r="G80" s="25"/>
      <c r="H80" s="26"/>
      <c r="I80" s="26"/>
      <c r="J80" s="25"/>
      <c r="K80" s="27"/>
      <c r="L80" s="26"/>
      <c r="M80" s="25"/>
      <c r="N80" s="25"/>
      <c r="O80" s="25"/>
      <c r="P80" s="25"/>
      <c r="Q80" s="25"/>
      <c r="R80" s="25"/>
      <c r="S80" s="26"/>
      <c r="T80" s="25"/>
      <c r="U80" s="25"/>
      <c r="V80" s="25"/>
      <c r="W80" s="26"/>
      <c r="X80" s="26"/>
      <c r="Y80" s="25"/>
      <c r="Z80" s="28"/>
      <c r="AA80" s="25"/>
      <c r="AB80" s="26"/>
      <c r="AC80" s="26"/>
      <c r="AD80" s="26"/>
      <c r="AE80" s="26"/>
      <c r="AF80" s="29"/>
      <c r="AG80" s="26"/>
      <c r="AH80" s="26"/>
      <c r="AI80" s="26"/>
      <c r="AJ80" s="26"/>
      <c r="AK80" s="26"/>
      <c r="AL80" s="26"/>
      <c r="AM80" s="26"/>
      <c r="AN80" s="26"/>
      <c r="AO80" s="26"/>
    </row>
    <row r="81" spans="1:41" s="30" customFormat="1" ht="14.4" hidden="1" x14ac:dyDescent="0.3">
      <c r="A81" s="24"/>
      <c r="B81" s="24"/>
      <c r="C81" s="25"/>
      <c r="D81" s="25"/>
      <c r="E81" s="25"/>
      <c r="F81" s="25"/>
      <c r="G81" s="25"/>
      <c r="H81" s="26"/>
      <c r="I81" s="26"/>
      <c r="J81" s="25"/>
      <c r="K81" s="27"/>
      <c r="L81" s="26"/>
      <c r="M81" s="25"/>
      <c r="N81" s="25"/>
      <c r="O81" s="25"/>
      <c r="P81" s="25"/>
      <c r="Q81" s="25"/>
      <c r="R81" s="25"/>
      <c r="S81" s="26"/>
      <c r="T81" s="25"/>
      <c r="U81" s="25"/>
      <c r="V81" s="25"/>
      <c r="W81" s="26"/>
      <c r="X81" s="26"/>
      <c r="Y81" s="25"/>
      <c r="Z81" s="28"/>
      <c r="AA81" s="25"/>
      <c r="AB81" s="26"/>
      <c r="AC81" s="26"/>
      <c r="AD81" s="26"/>
      <c r="AE81" s="26"/>
      <c r="AF81" s="29"/>
      <c r="AG81" s="26"/>
      <c r="AH81" s="26"/>
      <c r="AI81" s="26"/>
      <c r="AJ81" s="26"/>
      <c r="AK81" s="26"/>
      <c r="AL81" s="26"/>
      <c r="AM81" s="26"/>
      <c r="AN81" s="26"/>
      <c r="AO81" s="26"/>
    </row>
    <row r="82" spans="1:41" s="30" customFormat="1" ht="14.4" hidden="1" x14ac:dyDescent="0.3">
      <c r="A82" s="24"/>
      <c r="B82" s="24"/>
      <c r="C82" s="25"/>
      <c r="D82" s="25"/>
      <c r="E82" s="25"/>
      <c r="F82" s="25"/>
      <c r="G82" s="25"/>
      <c r="H82" s="26"/>
      <c r="I82" s="26"/>
      <c r="J82" s="25"/>
      <c r="K82" s="27"/>
      <c r="L82" s="26"/>
      <c r="M82" s="25"/>
      <c r="N82" s="25"/>
      <c r="O82" s="25"/>
      <c r="P82" s="25"/>
      <c r="Q82" s="25"/>
      <c r="R82" s="25"/>
      <c r="S82" s="26"/>
      <c r="T82" s="25"/>
      <c r="U82" s="25"/>
      <c r="V82" s="25"/>
      <c r="W82" s="26"/>
      <c r="X82" s="26"/>
      <c r="Y82" s="25"/>
      <c r="Z82" s="28"/>
      <c r="AA82" s="25"/>
      <c r="AB82" s="26"/>
      <c r="AC82" s="26"/>
      <c r="AD82" s="26"/>
      <c r="AE82" s="26"/>
      <c r="AF82" s="29"/>
      <c r="AG82" s="26"/>
      <c r="AH82" s="26"/>
      <c r="AI82" s="26"/>
      <c r="AJ82" s="26"/>
      <c r="AK82" s="26"/>
      <c r="AL82" s="26"/>
      <c r="AM82" s="26"/>
      <c r="AN82" s="26"/>
      <c r="AO82" s="26"/>
    </row>
    <row r="83" spans="1:41" ht="13.8" customHeight="1" x14ac:dyDescent="0.3">
      <c r="A83" s="16">
        <f t="shared" ref="A83" si="225">1+A79</f>
        <v>21</v>
      </c>
      <c r="B83" s="17"/>
      <c r="C83" s="14"/>
      <c r="D83" s="14"/>
      <c r="E83" s="15"/>
      <c r="F83" s="48"/>
      <c r="G83" s="17">
        <f>+E83</f>
        <v>0</v>
      </c>
      <c r="H83" s="20">
        <f t="shared" ref="H83" si="226">+AL83+AM83</f>
        <v>0</v>
      </c>
      <c r="I83" s="20">
        <f t="shared" ref="I83" si="227">+AC83+AD83</f>
        <v>0</v>
      </c>
      <c r="J83" s="14"/>
      <c r="K83" s="21">
        <f t="shared" ref="K83" si="228">+AF83</f>
        <v>0</v>
      </c>
      <c r="L83" s="20">
        <f t="shared" ref="L83" si="229">+AL83</f>
        <v>0</v>
      </c>
      <c r="M83" s="19" t="s">
        <v>55</v>
      </c>
      <c r="N83" s="15"/>
      <c r="O83" s="14"/>
      <c r="P83" s="15"/>
      <c r="Q83" s="19" t="s">
        <v>0</v>
      </c>
      <c r="R83" s="19"/>
      <c r="S83" s="20" t="str">
        <f t="shared" ref="S83" si="230">(RIGHT(O83,7))</f>
        <v/>
      </c>
      <c r="T83" s="15"/>
      <c r="U83" s="19" t="s">
        <v>53</v>
      </c>
      <c r="V83" s="19" t="s">
        <v>2</v>
      </c>
      <c r="W83" s="20">
        <f t="shared" ref="W83" si="231">+AK83</f>
        <v>0</v>
      </c>
      <c r="X83" s="20">
        <f t="shared" ref="X83" si="232">+AL83</f>
        <v>0</v>
      </c>
      <c r="Y83" s="18" t="s">
        <v>3</v>
      </c>
      <c r="Z83" s="22">
        <f t="shared" ref="Z83" si="233">+G83</f>
        <v>0</v>
      </c>
      <c r="AA83" s="18"/>
      <c r="AB83" s="20">
        <f t="shared" ref="AB83" si="234">(AC83*100)/18</f>
        <v>0</v>
      </c>
      <c r="AC83" s="49"/>
      <c r="AD83" s="49"/>
      <c r="AE83" s="20">
        <f t="shared" ref="AE83" si="235">+AB83+AC83+AD83</f>
        <v>0</v>
      </c>
      <c r="AF83" s="51"/>
      <c r="AG83" s="20">
        <f>+AB83*AF83</f>
        <v>0</v>
      </c>
      <c r="AH83" s="20">
        <f>+AC83*AF83</f>
        <v>0</v>
      </c>
      <c r="AI83" s="20">
        <f>+AD83*AF83</f>
        <v>0</v>
      </c>
      <c r="AJ83" s="20">
        <f>+AE83*AF83</f>
        <v>0</v>
      </c>
      <c r="AK83" s="20">
        <f t="shared" ref="AK83" si="236">+ROUND(AG83,2)</f>
        <v>0</v>
      </c>
      <c r="AL83" s="20">
        <f t="shared" ref="AL83" si="237">+ROUND(AH83,2)</f>
        <v>0</v>
      </c>
      <c r="AM83" s="20">
        <f>+ROUND(AI83,2)</f>
        <v>0</v>
      </c>
      <c r="AN83" s="20">
        <f t="shared" ref="AN83" si="238">+ROUND(AJ83,2)</f>
        <v>0</v>
      </c>
      <c r="AO83" s="20">
        <f>+AK83+AL83-AN83+AM83</f>
        <v>0</v>
      </c>
    </row>
    <row r="84" spans="1:41" s="30" customFormat="1" ht="14.4" hidden="1" x14ac:dyDescent="0.3">
      <c r="A84" s="24"/>
      <c r="B84" s="24"/>
      <c r="C84" s="25"/>
      <c r="D84" s="25"/>
      <c r="E84" s="25"/>
      <c r="F84" s="25"/>
      <c r="G84" s="25"/>
      <c r="H84" s="26"/>
      <c r="I84" s="26"/>
      <c r="J84" s="25"/>
      <c r="K84" s="27"/>
      <c r="L84" s="26"/>
      <c r="M84" s="25"/>
      <c r="N84" s="25"/>
      <c r="O84" s="25"/>
      <c r="P84" s="25"/>
      <c r="Q84" s="25"/>
      <c r="R84" s="25"/>
      <c r="S84" s="26"/>
      <c r="T84" s="25"/>
      <c r="U84" s="25"/>
      <c r="V84" s="25"/>
      <c r="W84" s="26"/>
      <c r="X84" s="26"/>
      <c r="Y84" s="25"/>
      <c r="Z84" s="28"/>
      <c r="AA84" s="25"/>
      <c r="AB84" s="26"/>
      <c r="AC84" s="26"/>
      <c r="AD84" s="26"/>
      <c r="AE84" s="26"/>
      <c r="AF84" s="29"/>
      <c r="AG84" s="26"/>
      <c r="AH84" s="26"/>
      <c r="AI84" s="26"/>
      <c r="AJ84" s="26"/>
      <c r="AK84" s="26"/>
      <c r="AL84" s="26"/>
      <c r="AM84" s="26"/>
      <c r="AN84" s="26"/>
      <c r="AO84" s="26"/>
    </row>
    <row r="85" spans="1:41" s="30" customFormat="1" ht="14.4" hidden="1" x14ac:dyDescent="0.3">
      <c r="A85" s="24"/>
      <c r="B85" s="24"/>
      <c r="C85" s="25"/>
      <c r="D85" s="25"/>
      <c r="E85" s="25"/>
      <c r="F85" s="25"/>
      <c r="G85" s="25"/>
      <c r="H85" s="26"/>
      <c r="I85" s="26"/>
      <c r="J85" s="25"/>
      <c r="K85" s="27"/>
      <c r="L85" s="26"/>
      <c r="M85" s="25"/>
      <c r="N85" s="25"/>
      <c r="O85" s="25"/>
      <c r="P85" s="25"/>
      <c r="Q85" s="25"/>
      <c r="R85" s="25"/>
      <c r="S85" s="26"/>
      <c r="T85" s="25"/>
      <c r="U85" s="25"/>
      <c r="V85" s="25"/>
      <c r="W85" s="26"/>
      <c r="X85" s="26"/>
      <c r="Y85" s="25"/>
      <c r="Z85" s="28"/>
      <c r="AA85" s="25"/>
      <c r="AB85" s="26"/>
      <c r="AC85" s="26"/>
      <c r="AD85" s="26"/>
      <c r="AE85" s="26"/>
      <c r="AF85" s="29"/>
      <c r="AG85" s="26"/>
      <c r="AH85" s="26"/>
      <c r="AI85" s="26"/>
      <c r="AJ85" s="26"/>
      <c r="AK85" s="26"/>
      <c r="AL85" s="26"/>
      <c r="AM85" s="26"/>
      <c r="AN85" s="26"/>
      <c r="AO85" s="26"/>
    </row>
    <row r="86" spans="1:41" s="30" customFormat="1" ht="14.4" hidden="1" x14ac:dyDescent="0.3">
      <c r="A86" s="24"/>
      <c r="B86" s="24"/>
      <c r="C86" s="25"/>
      <c r="D86" s="25"/>
      <c r="E86" s="25"/>
      <c r="F86" s="25"/>
      <c r="G86" s="25"/>
      <c r="H86" s="26"/>
      <c r="I86" s="26"/>
      <c r="J86" s="25"/>
      <c r="K86" s="27"/>
      <c r="L86" s="26"/>
      <c r="M86" s="25"/>
      <c r="N86" s="25"/>
      <c r="O86" s="25"/>
      <c r="P86" s="25"/>
      <c r="Q86" s="25"/>
      <c r="R86" s="25"/>
      <c r="S86" s="26"/>
      <c r="T86" s="25"/>
      <c r="U86" s="25"/>
      <c r="V86" s="25"/>
      <c r="W86" s="26"/>
      <c r="X86" s="26"/>
      <c r="Y86" s="25"/>
      <c r="Z86" s="28"/>
      <c r="AA86" s="25"/>
      <c r="AB86" s="26"/>
      <c r="AC86" s="26"/>
      <c r="AD86" s="26"/>
      <c r="AE86" s="26"/>
      <c r="AF86" s="29"/>
      <c r="AG86" s="26"/>
      <c r="AH86" s="26"/>
      <c r="AI86" s="26"/>
      <c r="AJ86" s="26"/>
      <c r="AK86" s="26"/>
      <c r="AL86" s="26"/>
      <c r="AM86" s="26"/>
      <c r="AN86" s="26"/>
      <c r="AO86" s="26"/>
    </row>
    <row r="87" spans="1:41" ht="13.8" customHeight="1" x14ac:dyDescent="0.3">
      <c r="A87" s="16">
        <f t="shared" ref="A87" si="239">1+A83</f>
        <v>22</v>
      </c>
      <c r="B87" s="17"/>
      <c r="C87" s="14"/>
      <c r="D87" s="14"/>
      <c r="E87" s="15"/>
      <c r="F87" s="48"/>
      <c r="G87" s="17">
        <f>+E87</f>
        <v>0</v>
      </c>
      <c r="H87" s="20">
        <f t="shared" ref="H87" si="240">+AL87+AM87</f>
        <v>0</v>
      </c>
      <c r="I87" s="20">
        <f t="shared" ref="I87" si="241">+AC87+AD87</f>
        <v>0</v>
      </c>
      <c r="J87" s="14"/>
      <c r="K87" s="21">
        <f t="shared" ref="K87" si="242">+AF87</f>
        <v>0</v>
      </c>
      <c r="L87" s="20">
        <f t="shared" ref="L87" si="243">+AL87</f>
        <v>0</v>
      </c>
      <c r="M87" s="19" t="s">
        <v>55</v>
      </c>
      <c r="N87" s="15"/>
      <c r="O87" s="14"/>
      <c r="P87" s="15"/>
      <c r="Q87" s="19" t="s">
        <v>0</v>
      </c>
      <c r="R87" s="19"/>
      <c r="S87" s="20" t="str">
        <f t="shared" ref="S87" si="244">(RIGHT(O87,7))</f>
        <v/>
      </c>
      <c r="T87" s="15"/>
      <c r="U87" s="19" t="s">
        <v>53</v>
      </c>
      <c r="V87" s="19" t="s">
        <v>2</v>
      </c>
      <c r="W87" s="20">
        <f t="shared" ref="W87" si="245">+AK87</f>
        <v>0</v>
      </c>
      <c r="X87" s="20">
        <f t="shared" ref="X87" si="246">+AL87</f>
        <v>0</v>
      </c>
      <c r="Y87" s="18" t="s">
        <v>3</v>
      </c>
      <c r="Z87" s="22">
        <f t="shared" ref="Z87" si="247">+G87</f>
        <v>0</v>
      </c>
      <c r="AA87" s="18"/>
      <c r="AB87" s="20">
        <f t="shared" ref="AB87" si="248">(AC87*100)/18</f>
        <v>0</v>
      </c>
      <c r="AC87" s="49"/>
      <c r="AD87" s="49"/>
      <c r="AE87" s="20">
        <f t="shared" ref="AE87" si="249">+AB87+AC87+AD87</f>
        <v>0</v>
      </c>
      <c r="AF87" s="51"/>
      <c r="AG87" s="20">
        <f>+AB87*AF87</f>
        <v>0</v>
      </c>
      <c r="AH87" s="20">
        <f>+AC87*AF87</f>
        <v>0</v>
      </c>
      <c r="AI87" s="20">
        <f>+AD87*AF87</f>
        <v>0</v>
      </c>
      <c r="AJ87" s="20">
        <f>+AE87*AF87</f>
        <v>0</v>
      </c>
      <c r="AK87" s="20">
        <f t="shared" ref="AK87" si="250">+ROUND(AG87,2)</f>
        <v>0</v>
      </c>
      <c r="AL87" s="20">
        <f t="shared" ref="AL87" si="251">+ROUND(AH87,2)</f>
        <v>0</v>
      </c>
      <c r="AM87" s="20">
        <f>+ROUND(AI87,2)</f>
        <v>0</v>
      </c>
      <c r="AN87" s="20">
        <f t="shared" ref="AN87" si="252">+ROUND(AJ87,2)</f>
        <v>0</v>
      </c>
      <c r="AO87" s="20">
        <f>+AK87+AL87-AN87+AM87</f>
        <v>0</v>
      </c>
    </row>
    <row r="88" spans="1:41" s="30" customFormat="1" ht="14.4" hidden="1" x14ac:dyDescent="0.3">
      <c r="A88" s="24"/>
      <c r="B88" s="24"/>
      <c r="C88" s="25"/>
      <c r="D88" s="25"/>
      <c r="E88" s="25"/>
      <c r="F88" s="25"/>
      <c r="G88" s="25"/>
      <c r="H88" s="26"/>
      <c r="I88" s="26"/>
      <c r="J88" s="25"/>
      <c r="K88" s="27"/>
      <c r="L88" s="26"/>
      <c r="M88" s="25"/>
      <c r="N88" s="25"/>
      <c r="O88" s="25"/>
      <c r="P88" s="25"/>
      <c r="Q88" s="25"/>
      <c r="R88" s="25"/>
      <c r="S88" s="26"/>
      <c r="T88" s="25"/>
      <c r="U88" s="25"/>
      <c r="V88" s="25"/>
      <c r="W88" s="26"/>
      <c r="X88" s="26"/>
      <c r="Y88" s="25"/>
      <c r="Z88" s="28"/>
      <c r="AA88" s="25"/>
      <c r="AB88" s="26"/>
      <c r="AC88" s="26"/>
      <c r="AD88" s="26"/>
      <c r="AE88" s="26"/>
      <c r="AF88" s="29"/>
      <c r="AG88" s="26"/>
      <c r="AH88" s="26"/>
      <c r="AI88" s="26"/>
      <c r="AJ88" s="26"/>
      <c r="AK88" s="26"/>
      <c r="AL88" s="26"/>
      <c r="AM88" s="26"/>
      <c r="AN88" s="26"/>
      <c r="AO88" s="26"/>
    </row>
    <row r="89" spans="1:41" s="30" customFormat="1" ht="14.4" hidden="1" x14ac:dyDescent="0.3">
      <c r="A89" s="24"/>
      <c r="B89" s="24"/>
      <c r="C89" s="25"/>
      <c r="D89" s="25"/>
      <c r="E89" s="25"/>
      <c r="F89" s="25"/>
      <c r="G89" s="25"/>
      <c r="H89" s="26"/>
      <c r="I89" s="26"/>
      <c r="J89" s="25"/>
      <c r="K89" s="27"/>
      <c r="L89" s="26"/>
      <c r="M89" s="25"/>
      <c r="N89" s="25"/>
      <c r="O89" s="25"/>
      <c r="P89" s="25"/>
      <c r="Q89" s="25"/>
      <c r="R89" s="25"/>
      <c r="S89" s="26"/>
      <c r="T89" s="25"/>
      <c r="U89" s="25"/>
      <c r="V89" s="25"/>
      <c r="W89" s="26"/>
      <c r="X89" s="26"/>
      <c r="Y89" s="25"/>
      <c r="Z89" s="28"/>
      <c r="AA89" s="25"/>
      <c r="AB89" s="26"/>
      <c r="AC89" s="26"/>
      <c r="AD89" s="26"/>
      <c r="AE89" s="26"/>
      <c r="AF89" s="29"/>
      <c r="AG89" s="26"/>
      <c r="AH89" s="26"/>
      <c r="AI89" s="26"/>
      <c r="AJ89" s="26"/>
      <c r="AK89" s="26"/>
      <c r="AL89" s="26"/>
      <c r="AM89" s="26"/>
      <c r="AN89" s="26"/>
      <c r="AO89" s="26"/>
    </row>
    <row r="90" spans="1:41" s="30" customFormat="1" ht="14.4" hidden="1" x14ac:dyDescent="0.3">
      <c r="A90" s="24"/>
      <c r="B90" s="24"/>
      <c r="C90" s="25"/>
      <c r="D90" s="25"/>
      <c r="E90" s="25"/>
      <c r="F90" s="25"/>
      <c r="G90" s="25"/>
      <c r="H90" s="26"/>
      <c r="I90" s="26"/>
      <c r="J90" s="25"/>
      <c r="K90" s="27"/>
      <c r="L90" s="26"/>
      <c r="M90" s="25"/>
      <c r="N90" s="25"/>
      <c r="O90" s="25"/>
      <c r="P90" s="25"/>
      <c r="Q90" s="25"/>
      <c r="R90" s="25"/>
      <c r="S90" s="26"/>
      <c r="T90" s="25"/>
      <c r="U90" s="25"/>
      <c r="V90" s="25"/>
      <c r="W90" s="26"/>
      <c r="X90" s="26"/>
      <c r="Y90" s="25"/>
      <c r="Z90" s="28"/>
      <c r="AA90" s="25"/>
      <c r="AB90" s="26"/>
      <c r="AC90" s="26"/>
      <c r="AD90" s="26"/>
      <c r="AE90" s="26"/>
      <c r="AF90" s="29"/>
      <c r="AG90" s="26"/>
      <c r="AH90" s="26"/>
      <c r="AI90" s="26"/>
      <c r="AJ90" s="26"/>
      <c r="AK90" s="26"/>
      <c r="AL90" s="26"/>
      <c r="AM90" s="26"/>
      <c r="AN90" s="26"/>
      <c r="AO90" s="26"/>
    </row>
    <row r="91" spans="1:41" ht="13.8" customHeight="1" x14ac:dyDescent="0.3">
      <c r="A91" s="16">
        <f t="shared" ref="A91" si="253">1+A87</f>
        <v>23</v>
      </c>
      <c r="B91" s="17"/>
      <c r="C91" s="14"/>
      <c r="D91" s="14"/>
      <c r="E91" s="15"/>
      <c r="F91" s="48"/>
      <c r="G91" s="17">
        <f>+E91</f>
        <v>0</v>
      </c>
      <c r="H91" s="20">
        <f t="shared" ref="H91" si="254">+AL91+AM91</f>
        <v>0</v>
      </c>
      <c r="I91" s="20">
        <f t="shared" ref="I91" si="255">+AC91+AD91</f>
        <v>0</v>
      </c>
      <c r="J91" s="14"/>
      <c r="K91" s="21">
        <f t="shared" ref="K91" si="256">+AF91</f>
        <v>0</v>
      </c>
      <c r="L91" s="20">
        <f t="shared" ref="L91" si="257">+AL91</f>
        <v>0</v>
      </c>
      <c r="M91" s="19" t="s">
        <v>55</v>
      </c>
      <c r="N91" s="15"/>
      <c r="O91" s="14"/>
      <c r="P91" s="15"/>
      <c r="Q91" s="19" t="s">
        <v>0</v>
      </c>
      <c r="R91" s="19"/>
      <c r="S91" s="20" t="str">
        <f t="shared" ref="S91" si="258">(RIGHT(O91,7))</f>
        <v/>
      </c>
      <c r="T91" s="15"/>
      <c r="U91" s="19" t="s">
        <v>53</v>
      </c>
      <c r="V91" s="19" t="s">
        <v>2</v>
      </c>
      <c r="W91" s="20">
        <f t="shared" ref="W91" si="259">+AK91</f>
        <v>0</v>
      </c>
      <c r="X91" s="20">
        <f t="shared" ref="X91" si="260">+AL91</f>
        <v>0</v>
      </c>
      <c r="Y91" s="18" t="s">
        <v>3</v>
      </c>
      <c r="Z91" s="22">
        <f t="shared" ref="Z91" si="261">+G91</f>
        <v>0</v>
      </c>
      <c r="AA91" s="18"/>
      <c r="AB91" s="20">
        <f t="shared" ref="AB91" si="262">(AC91*100)/18</f>
        <v>0</v>
      </c>
      <c r="AC91" s="49"/>
      <c r="AD91" s="49"/>
      <c r="AE91" s="20">
        <f t="shared" ref="AE91" si="263">+AB91+AC91+AD91</f>
        <v>0</v>
      </c>
      <c r="AF91" s="51"/>
      <c r="AG91" s="20">
        <f>+AB91*AF91</f>
        <v>0</v>
      </c>
      <c r="AH91" s="20">
        <f>+AC91*AF91</f>
        <v>0</v>
      </c>
      <c r="AI91" s="20">
        <f>+AD91*AF91</f>
        <v>0</v>
      </c>
      <c r="AJ91" s="20">
        <f>+AE91*AF91</f>
        <v>0</v>
      </c>
      <c r="AK91" s="20">
        <f t="shared" ref="AK91" si="264">+ROUND(AG91,2)</f>
        <v>0</v>
      </c>
      <c r="AL91" s="20">
        <f t="shared" ref="AL91" si="265">+ROUND(AH91,2)</f>
        <v>0</v>
      </c>
      <c r="AM91" s="20">
        <f>+ROUND(AI91,2)</f>
        <v>0</v>
      </c>
      <c r="AN91" s="20">
        <f t="shared" ref="AN91" si="266">+ROUND(AJ91,2)</f>
        <v>0</v>
      </c>
      <c r="AO91" s="20">
        <f>+AK91+AL91-AN91+AM91</f>
        <v>0</v>
      </c>
    </row>
    <row r="92" spans="1:41" s="30" customFormat="1" ht="14.4" hidden="1" x14ac:dyDescent="0.3">
      <c r="A92" s="24"/>
      <c r="B92" s="24"/>
      <c r="C92" s="25"/>
      <c r="D92" s="25"/>
      <c r="E92" s="25"/>
      <c r="F92" s="25"/>
      <c r="G92" s="25"/>
      <c r="H92" s="26"/>
      <c r="I92" s="26"/>
      <c r="J92" s="25"/>
      <c r="K92" s="27"/>
      <c r="L92" s="26"/>
      <c r="M92" s="25"/>
      <c r="N92" s="25"/>
      <c r="O92" s="25"/>
      <c r="P92" s="25"/>
      <c r="Q92" s="25"/>
      <c r="R92" s="25"/>
      <c r="S92" s="26"/>
      <c r="T92" s="25"/>
      <c r="U92" s="25"/>
      <c r="V92" s="25"/>
      <c r="W92" s="26"/>
      <c r="X92" s="26"/>
      <c r="Y92" s="25"/>
      <c r="Z92" s="28"/>
      <c r="AA92" s="25"/>
      <c r="AB92" s="26"/>
      <c r="AC92" s="26"/>
      <c r="AD92" s="26"/>
      <c r="AE92" s="26"/>
      <c r="AF92" s="29"/>
      <c r="AG92" s="26"/>
      <c r="AH92" s="26"/>
      <c r="AI92" s="26"/>
      <c r="AJ92" s="26"/>
      <c r="AK92" s="26"/>
      <c r="AL92" s="26"/>
      <c r="AM92" s="26"/>
      <c r="AN92" s="26"/>
      <c r="AO92" s="26"/>
    </row>
    <row r="93" spans="1:41" s="30" customFormat="1" ht="14.4" hidden="1" x14ac:dyDescent="0.3">
      <c r="A93" s="24"/>
      <c r="B93" s="24"/>
      <c r="C93" s="25"/>
      <c r="D93" s="25"/>
      <c r="E93" s="25"/>
      <c r="F93" s="25"/>
      <c r="G93" s="25"/>
      <c r="H93" s="26"/>
      <c r="I93" s="26"/>
      <c r="J93" s="25"/>
      <c r="K93" s="27"/>
      <c r="L93" s="26"/>
      <c r="M93" s="25"/>
      <c r="N93" s="25"/>
      <c r="O93" s="25"/>
      <c r="P93" s="25"/>
      <c r="Q93" s="25"/>
      <c r="R93" s="25"/>
      <c r="S93" s="26"/>
      <c r="T93" s="25"/>
      <c r="U93" s="25"/>
      <c r="V93" s="25"/>
      <c r="W93" s="26"/>
      <c r="X93" s="26"/>
      <c r="Y93" s="25"/>
      <c r="Z93" s="28"/>
      <c r="AA93" s="25"/>
      <c r="AB93" s="26"/>
      <c r="AC93" s="26"/>
      <c r="AD93" s="26"/>
      <c r="AE93" s="26"/>
      <c r="AF93" s="29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s="30" customFormat="1" ht="14.4" hidden="1" x14ac:dyDescent="0.3">
      <c r="A94" s="24"/>
      <c r="B94" s="24"/>
      <c r="C94" s="25"/>
      <c r="D94" s="25"/>
      <c r="E94" s="25"/>
      <c r="F94" s="25"/>
      <c r="G94" s="25"/>
      <c r="H94" s="26"/>
      <c r="I94" s="26"/>
      <c r="J94" s="25"/>
      <c r="K94" s="27"/>
      <c r="L94" s="26"/>
      <c r="M94" s="25"/>
      <c r="N94" s="25"/>
      <c r="O94" s="25"/>
      <c r="P94" s="25"/>
      <c r="Q94" s="25"/>
      <c r="R94" s="25"/>
      <c r="S94" s="26"/>
      <c r="T94" s="25"/>
      <c r="U94" s="25"/>
      <c r="V94" s="25"/>
      <c r="W94" s="26"/>
      <c r="X94" s="26"/>
      <c r="Y94" s="25"/>
      <c r="Z94" s="28"/>
      <c r="AA94" s="25"/>
      <c r="AB94" s="26"/>
      <c r="AC94" s="26"/>
      <c r="AD94" s="26"/>
      <c r="AE94" s="26"/>
      <c r="AF94" s="29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3.8" customHeight="1" x14ac:dyDescent="0.3">
      <c r="A95" s="16">
        <f t="shared" ref="A95" si="267">1+A91</f>
        <v>24</v>
      </c>
      <c r="B95" s="17"/>
      <c r="C95" s="14"/>
      <c r="D95" s="14"/>
      <c r="E95" s="15"/>
      <c r="F95" s="48"/>
      <c r="G95" s="17">
        <f>+E95</f>
        <v>0</v>
      </c>
      <c r="H95" s="20">
        <f t="shared" ref="H95" si="268">+AL95+AM95</f>
        <v>0</v>
      </c>
      <c r="I95" s="20">
        <f t="shared" ref="I95" si="269">+AC95+AD95</f>
        <v>0</v>
      </c>
      <c r="J95" s="14"/>
      <c r="K95" s="21">
        <f t="shared" ref="K95" si="270">+AF95</f>
        <v>0</v>
      </c>
      <c r="L95" s="20">
        <f t="shared" ref="L95" si="271">+AL95</f>
        <v>0</v>
      </c>
      <c r="M95" s="19" t="s">
        <v>55</v>
      </c>
      <c r="N95" s="15"/>
      <c r="O95" s="14"/>
      <c r="P95" s="15"/>
      <c r="Q95" s="19" t="s">
        <v>0</v>
      </c>
      <c r="R95" s="19"/>
      <c r="S95" s="20" t="str">
        <f t="shared" ref="S95" si="272">(RIGHT(O95,7))</f>
        <v/>
      </c>
      <c r="T95" s="15"/>
      <c r="U95" s="19" t="s">
        <v>53</v>
      </c>
      <c r="V95" s="19" t="s">
        <v>2</v>
      </c>
      <c r="W95" s="20">
        <f t="shared" ref="W95" si="273">+AK95</f>
        <v>0</v>
      </c>
      <c r="X95" s="20">
        <f t="shared" ref="X95" si="274">+AL95</f>
        <v>0</v>
      </c>
      <c r="Y95" s="18" t="s">
        <v>3</v>
      </c>
      <c r="Z95" s="22">
        <f t="shared" ref="Z95" si="275">+G95</f>
        <v>0</v>
      </c>
      <c r="AA95" s="18"/>
      <c r="AB95" s="20">
        <f t="shared" ref="AB95" si="276">(AC95*100)/18</f>
        <v>0</v>
      </c>
      <c r="AC95" s="49"/>
      <c r="AD95" s="49"/>
      <c r="AE95" s="20">
        <f t="shared" ref="AE95" si="277">+AB95+AC95+AD95</f>
        <v>0</v>
      </c>
      <c r="AF95" s="51"/>
      <c r="AG95" s="20">
        <f>+AB95*AF95</f>
        <v>0</v>
      </c>
      <c r="AH95" s="20">
        <f>+AC95*AF95</f>
        <v>0</v>
      </c>
      <c r="AI95" s="20">
        <f>+AD95*AF95</f>
        <v>0</v>
      </c>
      <c r="AJ95" s="20">
        <f>+AE95*AF95</f>
        <v>0</v>
      </c>
      <c r="AK95" s="20">
        <f t="shared" ref="AK95" si="278">+ROUND(AG95,2)</f>
        <v>0</v>
      </c>
      <c r="AL95" s="20">
        <f t="shared" ref="AL95" si="279">+ROUND(AH95,2)</f>
        <v>0</v>
      </c>
      <c r="AM95" s="20">
        <f>+ROUND(AI95,2)</f>
        <v>0</v>
      </c>
      <c r="AN95" s="20">
        <f t="shared" ref="AN95" si="280">+ROUND(AJ95,2)</f>
        <v>0</v>
      </c>
      <c r="AO95" s="20">
        <f>+AK95+AL95-AN95+AM95</f>
        <v>0</v>
      </c>
    </row>
    <row r="96" spans="1:41" s="30" customFormat="1" ht="14.4" hidden="1" x14ac:dyDescent="0.3">
      <c r="A96" s="24"/>
      <c r="B96" s="24"/>
      <c r="C96" s="25"/>
      <c r="D96" s="25"/>
      <c r="E96" s="25"/>
      <c r="F96" s="25"/>
      <c r="G96" s="25"/>
      <c r="H96" s="26"/>
      <c r="I96" s="26"/>
      <c r="J96" s="25"/>
      <c r="K96" s="27"/>
      <c r="L96" s="26"/>
      <c r="M96" s="25"/>
      <c r="N96" s="25"/>
      <c r="O96" s="25"/>
      <c r="P96" s="25"/>
      <c r="Q96" s="25"/>
      <c r="R96" s="25"/>
      <c r="S96" s="26"/>
      <c r="T96" s="25"/>
      <c r="U96" s="25"/>
      <c r="V96" s="25"/>
      <c r="W96" s="26"/>
      <c r="X96" s="26"/>
      <c r="Y96" s="25"/>
      <c r="Z96" s="28"/>
      <c r="AA96" s="25"/>
      <c r="AB96" s="26"/>
      <c r="AC96" s="26"/>
      <c r="AD96" s="26"/>
      <c r="AE96" s="26"/>
      <c r="AF96" s="29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s="30" customFormat="1" ht="14.4" hidden="1" x14ac:dyDescent="0.3">
      <c r="A97" s="24"/>
      <c r="B97" s="24"/>
      <c r="C97" s="25"/>
      <c r="D97" s="25"/>
      <c r="E97" s="25"/>
      <c r="F97" s="25"/>
      <c r="G97" s="25"/>
      <c r="H97" s="26"/>
      <c r="I97" s="26"/>
      <c r="J97" s="25"/>
      <c r="K97" s="27"/>
      <c r="L97" s="26"/>
      <c r="M97" s="25"/>
      <c r="N97" s="25"/>
      <c r="O97" s="25"/>
      <c r="P97" s="25"/>
      <c r="Q97" s="25"/>
      <c r="R97" s="25"/>
      <c r="S97" s="26"/>
      <c r="T97" s="25"/>
      <c r="U97" s="25"/>
      <c r="V97" s="25"/>
      <c r="W97" s="26"/>
      <c r="X97" s="26"/>
      <c r="Y97" s="25"/>
      <c r="Z97" s="28"/>
      <c r="AA97" s="25"/>
      <c r="AB97" s="26"/>
      <c r="AC97" s="26"/>
      <c r="AD97" s="26"/>
      <c r="AE97" s="26"/>
      <c r="AF97" s="29"/>
      <c r="AG97" s="26"/>
      <c r="AH97" s="26"/>
      <c r="AI97" s="26"/>
      <c r="AJ97" s="26"/>
      <c r="AK97" s="26"/>
      <c r="AL97" s="26"/>
      <c r="AM97" s="26"/>
      <c r="AN97" s="26"/>
      <c r="AO97" s="26"/>
    </row>
    <row r="98" spans="1:41" s="30" customFormat="1" ht="14.4" hidden="1" x14ac:dyDescent="0.3">
      <c r="A98" s="24"/>
      <c r="B98" s="24"/>
      <c r="C98" s="25"/>
      <c r="D98" s="25"/>
      <c r="E98" s="25"/>
      <c r="F98" s="25"/>
      <c r="G98" s="25"/>
      <c r="H98" s="26"/>
      <c r="I98" s="26"/>
      <c r="J98" s="25"/>
      <c r="K98" s="27"/>
      <c r="L98" s="26"/>
      <c r="M98" s="25"/>
      <c r="N98" s="25"/>
      <c r="O98" s="25"/>
      <c r="P98" s="25"/>
      <c r="Q98" s="25"/>
      <c r="R98" s="25"/>
      <c r="S98" s="26"/>
      <c r="T98" s="25"/>
      <c r="U98" s="25"/>
      <c r="V98" s="25"/>
      <c r="W98" s="26"/>
      <c r="X98" s="26"/>
      <c r="Y98" s="25"/>
      <c r="Z98" s="28"/>
      <c r="AA98" s="25"/>
      <c r="AB98" s="26"/>
      <c r="AC98" s="26"/>
      <c r="AD98" s="26"/>
      <c r="AE98" s="26"/>
      <c r="AF98" s="29"/>
      <c r="AG98" s="26"/>
      <c r="AH98" s="26"/>
      <c r="AI98" s="26"/>
      <c r="AJ98" s="26"/>
      <c r="AK98" s="26"/>
      <c r="AL98" s="26"/>
      <c r="AM98" s="26"/>
      <c r="AN98" s="26"/>
      <c r="AO98" s="26"/>
    </row>
    <row r="99" spans="1:41" ht="13.8" customHeight="1" x14ac:dyDescent="0.3">
      <c r="A99" s="16">
        <f t="shared" ref="A99" si="281">1+A95</f>
        <v>25</v>
      </c>
      <c r="B99" s="17"/>
      <c r="C99" s="14"/>
      <c r="D99" s="14"/>
      <c r="E99" s="15"/>
      <c r="F99" s="48"/>
      <c r="G99" s="17">
        <f>+E99</f>
        <v>0</v>
      </c>
      <c r="H99" s="20">
        <f t="shared" ref="H99" si="282">+AL99+AM99</f>
        <v>0</v>
      </c>
      <c r="I99" s="20">
        <f t="shared" ref="I99" si="283">+AC99+AD99</f>
        <v>0</v>
      </c>
      <c r="J99" s="14"/>
      <c r="K99" s="21">
        <f t="shared" ref="K99" si="284">+AF99</f>
        <v>0</v>
      </c>
      <c r="L99" s="20">
        <f t="shared" ref="L99" si="285">+AL99</f>
        <v>0</v>
      </c>
      <c r="M99" s="19" t="s">
        <v>55</v>
      </c>
      <c r="N99" s="15"/>
      <c r="O99" s="14"/>
      <c r="P99" s="15"/>
      <c r="Q99" s="19" t="s">
        <v>0</v>
      </c>
      <c r="R99" s="19"/>
      <c r="S99" s="20" t="str">
        <f t="shared" ref="S99" si="286">(RIGHT(O99,7))</f>
        <v/>
      </c>
      <c r="T99" s="15"/>
      <c r="U99" s="19" t="s">
        <v>53</v>
      </c>
      <c r="V99" s="19" t="s">
        <v>2</v>
      </c>
      <c r="W99" s="20">
        <f t="shared" ref="W99" si="287">+AK99</f>
        <v>0</v>
      </c>
      <c r="X99" s="20">
        <f t="shared" ref="X99" si="288">+AL99</f>
        <v>0</v>
      </c>
      <c r="Y99" s="18" t="s">
        <v>3</v>
      </c>
      <c r="Z99" s="22">
        <f t="shared" ref="Z99" si="289">+G99</f>
        <v>0</v>
      </c>
      <c r="AA99" s="18"/>
      <c r="AB99" s="20">
        <f t="shared" ref="AB99" si="290">(AC99*100)/18</f>
        <v>0</v>
      </c>
      <c r="AC99" s="49"/>
      <c r="AD99" s="49"/>
      <c r="AE99" s="20">
        <f t="shared" ref="AE99" si="291">+AB99+AC99+AD99</f>
        <v>0</v>
      </c>
      <c r="AF99" s="51"/>
      <c r="AG99" s="20">
        <f>+AB99*AF99</f>
        <v>0</v>
      </c>
      <c r="AH99" s="20">
        <f>+AC99*AF99</f>
        <v>0</v>
      </c>
      <c r="AI99" s="20">
        <f>+AD99*AF99</f>
        <v>0</v>
      </c>
      <c r="AJ99" s="20">
        <f>+AE99*AF99</f>
        <v>0</v>
      </c>
      <c r="AK99" s="20">
        <f t="shared" ref="AK99" si="292">+ROUND(AG99,2)</f>
        <v>0</v>
      </c>
      <c r="AL99" s="20">
        <f t="shared" ref="AL99" si="293">+ROUND(AH99,2)</f>
        <v>0</v>
      </c>
      <c r="AM99" s="20">
        <f>+ROUND(AI99,2)</f>
        <v>0</v>
      </c>
      <c r="AN99" s="20">
        <f t="shared" ref="AN99" si="294">+ROUND(AJ99,2)</f>
        <v>0</v>
      </c>
      <c r="AO99" s="20">
        <f>+AK99+AL99-AN99+AM99</f>
        <v>0</v>
      </c>
    </row>
    <row r="100" spans="1:41" s="30" customFormat="1" ht="14.4" hidden="1" x14ac:dyDescent="0.3">
      <c r="A100" s="24"/>
      <c r="B100" s="24"/>
      <c r="C100" s="25"/>
      <c r="D100" s="25"/>
      <c r="E100" s="25"/>
      <c r="F100" s="25"/>
      <c r="G100" s="25"/>
      <c r="H100" s="26"/>
      <c r="I100" s="26"/>
      <c r="J100" s="25"/>
      <c r="K100" s="27"/>
      <c r="L100" s="26"/>
      <c r="M100" s="25"/>
      <c r="N100" s="25"/>
      <c r="O100" s="25"/>
      <c r="P100" s="25"/>
      <c r="Q100" s="25"/>
      <c r="R100" s="25"/>
      <c r="S100" s="26"/>
      <c r="T100" s="25"/>
      <c r="U100" s="25"/>
      <c r="V100" s="25"/>
      <c r="W100" s="26"/>
      <c r="X100" s="26"/>
      <c r="Y100" s="25"/>
      <c r="Z100" s="28"/>
      <c r="AA100" s="25"/>
      <c r="AB100" s="26"/>
      <c r="AC100" s="26"/>
      <c r="AD100" s="26"/>
      <c r="AE100" s="26"/>
      <c r="AF100" s="29"/>
      <c r="AG100" s="26"/>
      <c r="AH100" s="26"/>
      <c r="AI100" s="26"/>
      <c r="AJ100" s="26"/>
      <c r="AK100" s="26"/>
      <c r="AL100" s="26"/>
      <c r="AM100" s="26"/>
      <c r="AN100" s="26"/>
      <c r="AO100" s="26"/>
    </row>
    <row r="101" spans="1:41" s="30" customFormat="1" ht="14.4" hidden="1" x14ac:dyDescent="0.3">
      <c r="A101" s="24"/>
      <c r="B101" s="24"/>
      <c r="C101" s="25"/>
      <c r="D101" s="25"/>
      <c r="E101" s="25"/>
      <c r="F101" s="25"/>
      <c r="G101" s="25"/>
      <c r="H101" s="26"/>
      <c r="I101" s="26"/>
      <c r="J101" s="25"/>
      <c r="K101" s="27"/>
      <c r="L101" s="26"/>
      <c r="M101" s="25"/>
      <c r="N101" s="25"/>
      <c r="O101" s="25"/>
      <c r="P101" s="25"/>
      <c r="Q101" s="25"/>
      <c r="R101" s="25"/>
      <c r="S101" s="26"/>
      <c r="T101" s="25"/>
      <c r="U101" s="25"/>
      <c r="V101" s="25"/>
      <c r="W101" s="26"/>
      <c r="X101" s="26"/>
      <c r="Y101" s="25"/>
      <c r="Z101" s="28"/>
      <c r="AA101" s="25"/>
      <c r="AB101" s="26"/>
      <c r="AC101" s="26"/>
      <c r="AD101" s="26"/>
      <c r="AE101" s="26"/>
      <c r="AF101" s="29"/>
      <c r="AG101" s="26"/>
      <c r="AH101" s="26"/>
      <c r="AI101" s="26"/>
      <c r="AJ101" s="26"/>
      <c r="AK101" s="26"/>
      <c r="AL101" s="26"/>
      <c r="AM101" s="26"/>
      <c r="AN101" s="26"/>
      <c r="AO101" s="26"/>
    </row>
    <row r="102" spans="1:41" s="30" customFormat="1" ht="14.4" hidden="1" x14ac:dyDescent="0.3">
      <c r="A102" s="24"/>
      <c r="B102" s="24"/>
      <c r="C102" s="25"/>
      <c r="D102" s="25"/>
      <c r="E102" s="25"/>
      <c r="F102" s="25"/>
      <c r="G102" s="25"/>
      <c r="H102" s="26"/>
      <c r="I102" s="26"/>
      <c r="J102" s="25"/>
      <c r="K102" s="27"/>
      <c r="L102" s="26"/>
      <c r="M102" s="25"/>
      <c r="N102" s="25"/>
      <c r="O102" s="25"/>
      <c r="P102" s="25"/>
      <c r="Q102" s="25"/>
      <c r="R102" s="25"/>
      <c r="S102" s="26"/>
      <c r="T102" s="25"/>
      <c r="U102" s="25"/>
      <c r="V102" s="25"/>
      <c r="W102" s="26"/>
      <c r="X102" s="26"/>
      <c r="Y102" s="25"/>
      <c r="Z102" s="28"/>
      <c r="AA102" s="25"/>
      <c r="AB102" s="26"/>
      <c r="AC102" s="26"/>
      <c r="AD102" s="26"/>
      <c r="AE102" s="26"/>
      <c r="AF102" s="29"/>
      <c r="AG102" s="26"/>
      <c r="AH102" s="26"/>
      <c r="AI102" s="26"/>
      <c r="AJ102" s="26"/>
      <c r="AK102" s="26"/>
      <c r="AL102" s="26"/>
      <c r="AM102" s="26"/>
      <c r="AN102" s="26"/>
      <c r="AO102" s="26"/>
    </row>
    <row r="103" spans="1:41" ht="13.8" customHeight="1" x14ac:dyDescent="0.3">
      <c r="A103" s="16">
        <f t="shared" ref="A103" si="295">1+A99</f>
        <v>26</v>
      </c>
      <c r="B103" s="17"/>
      <c r="C103" s="14"/>
      <c r="D103" s="14"/>
      <c r="E103" s="15"/>
      <c r="F103" s="48"/>
      <c r="G103" s="17">
        <f>+E103</f>
        <v>0</v>
      </c>
      <c r="H103" s="20">
        <f t="shared" ref="H103" si="296">+AL103+AM103</f>
        <v>0</v>
      </c>
      <c r="I103" s="20">
        <f t="shared" ref="I103" si="297">+AC103+AD103</f>
        <v>0</v>
      </c>
      <c r="J103" s="14"/>
      <c r="K103" s="21">
        <f t="shared" ref="K103" si="298">+AF103</f>
        <v>0</v>
      </c>
      <c r="L103" s="20">
        <f t="shared" ref="L103" si="299">+AL103</f>
        <v>0</v>
      </c>
      <c r="M103" s="19" t="s">
        <v>55</v>
      </c>
      <c r="N103" s="15"/>
      <c r="O103" s="14"/>
      <c r="P103" s="15"/>
      <c r="Q103" s="19" t="s">
        <v>0</v>
      </c>
      <c r="R103" s="19"/>
      <c r="S103" s="20" t="str">
        <f t="shared" ref="S103" si="300">(RIGHT(O103,7))</f>
        <v/>
      </c>
      <c r="T103" s="15"/>
      <c r="U103" s="19" t="s">
        <v>53</v>
      </c>
      <c r="V103" s="19" t="s">
        <v>2</v>
      </c>
      <c r="W103" s="20">
        <f t="shared" ref="W103" si="301">+AK103</f>
        <v>0</v>
      </c>
      <c r="X103" s="20">
        <f t="shared" ref="X103" si="302">+AL103</f>
        <v>0</v>
      </c>
      <c r="Y103" s="18" t="s">
        <v>3</v>
      </c>
      <c r="Z103" s="22">
        <f t="shared" ref="Z103" si="303">+G103</f>
        <v>0</v>
      </c>
      <c r="AA103" s="18"/>
      <c r="AB103" s="20">
        <f t="shared" ref="AB103" si="304">(AC103*100)/18</f>
        <v>0</v>
      </c>
      <c r="AC103" s="49"/>
      <c r="AD103" s="49"/>
      <c r="AE103" s="20">
        <f t="shared" ref="AE103" si="305">+AB103+AC103+AD103</f>
        <v>0</v>
      </c>
      <c r="AF103" s="51"/>
      <c r="AG103" s="20">
        <f>+AB103*AF103</f>
        <v>0</v>
      </c>
      <c r="AH103" s="20">
        <f>+AC103*AF103</f>
        <v>0</v>
      </c>
      <c r="AI103" s="20">
        <f>+AD103*AF103</f>
        <v>0</v>
      </c>
      <c r="AJ103" s="20">
        <f>+AE103*AF103</f>
        <v>0</v>
      </c>
      <c r="AK103" s="20">
        <f t="shared" ref="AK103" si="306">+ROUND(AG103,2)</f>
        <v>0</v>
      </c>
      <c r="AL103" s="20">
        <f t="shared" ref="AL103" si="307">+ROUND(AH103,2)</f>
        <v>0</v>
      </c>
      <c r="AM103" s="20">
        <f>+ROUND(AI103,2)</f>
        <v>0</v>
      </c>
      <c r="AN103" s="20">
        <f t="shared" ref="AN103" si="308">+ROUND(AJ103,2)</f>
        <v>0</v>
      </c>
      <c r="AO103" s="20">
        <f>+AK103+AL103-AN103+AM103</f>
        <v>0</v>
      </c>
    </row>
    <row r="104" spans="1:41" s="30" customFormat="1" ht="14.4" hidden="1" x14ac:dyDescent="0.3">
      <c r="A104" s="24"/>
      <c r="B104" s="24"/>
      <c r="C104" s="25"/>
      <c r="D104" s="25"/>
      <c r="E104" s="25"/>
      <c r="F104" s="25"/>
      <c r="G104" s="25"/>
      <c r="H104" s="26"/>
      <c r="I104" s="26"/>
      <c r="J104" s="25"/>
      <c r="K104" s="27"/>
      <c r="L104" s="26"/>
      <c r="M104" s="25"/>
      <c r="N104" s="25"/>
      <c r="O104" s="25"/>
      <c r="P104" s="25"/>
      <c r="Q104" s="25"/>
      <c r="R104" s="25"/>
      <c r="S104" s="26"/>
      <c r="T104" s="25"/>
      <c r="U104" s="25"/>
      <c r="V104" s="25"/>
      <c r="W104" s="26"/>
      <c r="X104" s="26"/>
      <c r="Y104" s="25"/>
      <c r="Z104" s="28"/>
      <c r="AA104" s="25"/>
      <c r="AB104" s="26"/>
      <c r="AC104" s="26"/>
      <c r="AD104" s="26"/>
      <c r="AE104" s="26"/>
      <c r="AF104" s="29"/>
      <c r="AG104" s="26"/>
      <c r="AH104" s="26"/>
      <c r="AI104" s="26"/>
      <c r="AJ104" s="26"/>
      <c r="AK104" s="26"/>
      <c r="AL104" s="26"/>
      <c r="AM104" s="26"/>
      <c r="AN104" s="26"/>
      <c r="AO104" s="26"/>
    </row>
    <row r="105" spans="1:41" s="30" customFormat="1" ht="14.4" hidden="1" x14ac:dyDescent="0.3">
      <c r="A105" s="24"/>
      <c r="B105" s="24"/>
      <c r="C105" s="25"/>
      <c r="D105" s="25"/>
      <c r="E105" s="25"/>
      <c r="F105" s="25"/>
      <c r="G105" s="25"/>
      <c r="H105" s="26"/>
      <c r="I105" s="26"/>
      <c r="J105" s="25"/>
      <c r="K105" s="27"/>
      <c r="L105" s="26"/>
      <c r="M105" s="25"/>
      <c r="N105" s="25"/>
      <c r="O105" s="25"/>
      <c r="P105" s="25"/>
      <c r="Q105" s="25"/>
      <c r="R105" s="25"/>
      <c r="S105" s="26"/>
      <c r="T105" s="25"/>
      <c r="U105" s="25"/>
      <c r="V105" s="25"/>
      <c r="W105" s="26"/>
      <c r="X105" s="26"/>
      <c r="Y105" s="25"/>
      <c r="Z105" s="28"/>
      <c r="AA105" s="25"/>
      <c r="AB105" s="26"/>
      <c r="AC105" s="26"/>
      <c r="AD105" s="26"/>
      <c r="AE105" s="26"/>
      <c r="AF105" s="29"/>
      <c r="AG105" s="26"/>
      <c r="AH105" s="26"/>
      <c r="AI105" s="26"/>
      <c r="AJ105" s="26"/>
      <c r="AK105" s="26"/>
      <c r="AL105" s="26"/>
      <c r="AM105" s="26"/>
      <c r="AN105" s="26"/>
      <c r="AO105" s="26"/>
    </row>
    <row r="106" spans="1:41" s="30" customFormat="1" ht="14.4" hidden="1" x14ac:dyDescent="0.3">
      <c r="A106" s="24"/>
      <c r="B106" s="24"/>
      <c r="C106" s="25"/>
      <c r="D106" s="25"/>
      <c r="E106" s="25"/>
      <c r="F106" s="25"/>
      <c r="G106" s="25"/>
      <c r="H106" s="26"/>
      <c r="I106" s="26"/>
      <c r="J106" s="25"/>
      <c r="K106" s="27"/>
      <c r="L106" s="26"/>
      <c r="M106" s="25"/>
      <c r="N106" s="25"/>
      <c r="O106" s="25"/>
      <c r="P106" s="25"/>
      <c r="Q106" s="25"/>
      <c r="R106" s="25"/>
      <c r="S106" s="26"/>
      <c r="T106" s="25"/>
      <c r="U106" s="25"/>
      <c r="V106" s="25"/>
      <c r="W106" s="26"/>
      <c r="X106" s="26"/>
      <c r="Y106" s="25"/>
      <c r="Z106" s="28"/>
      <c r="AA106" s="25"/>
      <c r="AB106" s="26"/>
      <c r="AC106" s="26"/>
      <c r="AD106" s="26"/>
      <c r="AE106" s="26"/>
      <c r="AF106" s="29"/>
      <c r="AG106" s="26"/>
      <c r="AH106" s="26"/>
      <c r="AI106" s="26"/>
      <c r="AJ106" s="26"/>
      <c r="AK106" s="26"/>
      <c r="AL106" s="26"/>
      <c r="AM106" s="26"/>
      <c r="AN106" s="26"/>
      <c r="AO106" s="26"/>
    </row>
    <row r="107" spans="1:41" ht="13.8" customHeight="1" x14ac:dyDescent="0.3">
      <c r="A107" s="16">
        <f t="shared" ref="A107:A163" si="309">1+A103</f>
        <v>27</v>
      </c>
      <c r="B107" s="17"/>
      <c r="C107" s="14"/>
      <c r="D107" s="14"/>
      <c r="E107" s="15"/>
      <c r="F107" s="48"/>
      <c r="G107" s="17">
        <f>+E107</f>
        <v>0</v>
      </c>
      <c r="H107" s="20">
        <f t="shared" ref="H107" si="310">+AL107+AM107</f>
        <v>0</v>
      </c>
      <c r="I107" s="20">
        <f t="shared" ref="I107" si="311">+AC107+AD107</f>
        <v>0</v>
      </c>
      <c r="J107" s="14"/>
      <c r="K107" s="21">
        <f t="shared" ref="K107" si="312">+AF107</f>
        <v>0</v>
      </c>
      <c r="L107" s="20">
        <f t="shared" ref="L107" si="313">+AL107</f>
        <v>0</v>
      </c>
      <c r="M107" s="19" t="s">
        <v>55</v>
      </c>
      <c r="N107" s="15"/>
      <c r="O107" s="14"/>
      <c r="P107" s="15"/>
      <c r="Q107" s="19" t="s">
        <v>0</v>
      </c>
      <c r="R107" s="19"/>
      <c r="S107" s="20" t="str">
        <f t="shared" ref="S107" si="314">(RIGHT(O107,7))</f>
        <v/>
      </c>
      <c r="T107" s="15"/>
      <c r="U107" s="19" t="s">
        <v>53</v>
      </c>
      <c r="V107" s="19" t="s">
        <v>2</v>
      </c>
      <c r="W107" s="20">
        <f t="shared" ref="W107" si="315">+AK107</f>
        <v>0</v>
      </c>
      <c r="X107" s="20">
        <f t="shared" ref="X107" si="316">+AL107</f>
        <v>0</v>
      </c>
      <c r="Y107" s="18" t="s">
        <v>3</v>
      </c>
      <c r="Z107" s="22">
        <f t="shared" ref="Z107" si="317">+G107</f>
        <v>0</v>
      </c>
      <c r="AA107" s="18"/>
      <c r="AB107" s="20">
        <f t="shared" ref="AB107" si="318">(AC107*100)/18</f>
        <v>0</v>
      </c>
      <c r="AC107" s="49"/>
      <c r="AD107" s="49"/>
      <c r="AE107" s="20">
        <f t="shared" ref="AE107" si="319">+AB107+AC107+AD107</f>
        <v>0</v>
      </c>
      <c r="AF107" s="51"/>
      <c r="AG107" s="20">
        <f>+AB107*AF107</f>
        <v>0</v>
      </c>
      <c r="AH107" s="20">
        <f>+AC107*AF107</f>
        <v>0</v>
      </c>
      <c r="AI107" s="20">
        <f>+AD107*AF107</f>
        <v>0</v>
      </c>
      <c r="AJ107" s="20">
        <f>+AE107*AF107</f>
        <v>0</v>
      </c>
      <c r="AK107" s="20">
        <f t="shared" ref="AK107" si="320">+ROUND(AG107,2)</f>
        <v>0</v>
      </c>
      <c r="AL107" s="20">
        <f t="shared" ref="AL107" si="321">+ROUND(AH107,2)</f>
        <v>0</v>
      </c>
      <c r="AM107" s="20">
        <f>+ROUND(AI107,2)</f>
        <v>0</v>
      </c>
      <c r="AN107" s="20">
        <f t="shared" ref="AN107" si="322">+ROUND(AJ107,2)</f>
        <v>0</v>
      </c>
      <c r="AO107" s="20">
        <f>+AK107+AL107-AN107+AM107</f>
        <v>0</v>
      </c>
    </row>
    <row r="108" spans="1:41" s="30" customFormat="1" ht="14.4" hidden="1" x14ac:dyDescent="0.3">
      <c r="A108" s="24"/>
      <c r="B108" s="24"/>
      <c r="C108" s="25"/>
      <c r="D108" s="25"/>
      <c r="E108" s="25"/>
      <c r="F108" s="25"/>
      <c r="G108" s="25"/>
      <c r="H108" s="26"/>
      <c r="I108" s="26"/>
      <c r="J108" s="25"/>
      <c r="K108" s="27"/>
      <c r="L108" s="26"/>
      <c r="M108" s="25"/>
      <c r="N108" s="25"/>
      <c r="O108" s="25"/>
      <c r="P108" s="25"/>
      <c r="Q108" s="25"/>
      <c r="R108" s="25"/>
      <c r="S108" s="26"/>
      <c r="T108" s="25"/>
      <c r="U108" s="25"/>
      <c r="V108" s="25"/>
      <c r="W108" s="26"/>
      <c r="X108" s="26"/>
      <c r="Y108" s="25"/>
      <c r="Z108" s="28"/>
      <c r="AA108" s="25"/>
      <c r="AB108" s="26"/>
      <c r="AC108" s="26"/>
      <c r="AD108" s="26"/>
      <c r="AE108" s="26"/>
      <c r="AF108" s="29"/>
      <c r="AG108" s="26"/>
      <c r="AH108" s="26"/>
      <c r="AI108" s="26"/>
      <c r="AJ108" s="26"/>
      <c r="AK108" s="26"/>
      <c r="AL108" s="26"/>
      <c r="AM108" s="26"/>
      <c r="AN108" s="26"/>
      <c r="AO108" s="26"/>
    </row>
    <row r="109" spans="1:41" s="30" customFormat="1" ht="14.4" hidden="1" x14ac:dyDescent="0.3">
      <c r="A109" s="24"/>
      <c r="B109" s="24"/>
      <c r="C109" s="25"/>
      <c r="D109" s="25"/>
      <c r="E109" s="25"/>
      <c r="F109" s="25"/>
      <c r="G109" s="25"/>
      <c r="H109" s="26"/>
      <c r="I109" s="26"/>
      <c r="J109" s="25"/>
      <c r="K109" s="27"/>
      <c r="L109" s="26"/>
      <c r="M109" s="25"/>
      <c r="N109" s="25"/>
      <c r="O109" s="25"/>
      <c r="P109" s="25"/>
      <c r="Q109" s="25"/>
      <c r="R109" s="25"/>
      <c r="S109" s="26"/>
      <c r="T109" s="25"/>
      <c r="U109" s="25"/>
      <c r="V109" s="25"/>
      <c r="W109" s="26"/>
      <c r="X109" s="26"/>
      <c r="Y109" s="25"/>
      <c r="Z109" s="28"/>
      <c r="AA109" s="25"/>
      <c r="AB109" s="26"/>
      <c r="AC109" s="26"/>
      <c r="AD109" s="26"/>
      <c r="AE109" s="26"/>
      <c r="AF109" s="29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30" customFormat="1" ht="14.4" hidden="1" x14ac:dyDescent="0.3">
      <c r="A110" s="24"/>
      <c r="B110" s="24"/>
      <c r="C110" s="25"/>
      <c r="D110" s="25"/>
      <c r="E110" s="25"/>
      <c r="F110" s="25"/>
      <c r="G110" s="25"/>
      <c r="H110" s="26"/>
      <c r="I110" s="26"/>
      <c r="J110" s="25"/>
      <c r="K110" s="27"/>
      <c r="L110" s="26"/>
      <c r="M110" s="25"/>
      <c r="N110" s="25"/>
      <c r="O110" s="25"/>
      <c r="P110" s="25"/>
      <c r="Q110" s="25"/>
      <c r="R110" s="25"/>
      <c r="S110" s="26"/>
      <c r="T110" s="25"/>
      <c r="U110" s="25"/>
      <c r="V110" s="25"/>
      <c r="W110" s="26"/>
      <c r="X110" s="26"/>
      <c r="Y110" s="25"/>
      <c r="Z110" s="28"/>
      <c r="AA110" s="25"/>
      <c r="AB110" s="26"/>
      <c r="AC110" s="26"/>
      <c r="AD110" s="26"/>
      <c r="AE110" s="26"/>
      <c r="AF110" s="29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s="31" customFormat="1" ht="13.8" customHeight="1" x14ac:dyDescent="0.3">
      <c r="A111" s="16">
        <f t="shared" ref="A111:A167" si="323">1+A107</f>
        <v>28</v>
      </c>
      <c r="B111" s="17"/>
      <c r="C111" s="14"/>
      <c r="D111" s="14"/>
      <c r="E111" s="15"/>
      <c r="F111" s="48"/>
      <c r="G111" s="17">
        <f>+E111</f>
        <v>0</v>
      </c>
      <c r="H111" s="20">
        <f t="shared" ref="H111" si="324">+AL111+AM111</f>
        <v>0</v>
      </c>
      <c r="I111" s="20">
        <f t="shared" ref="I111" si="325">+AC111+AD111</f>
        <v>0</v>
      </c>
      <c r="J111" s="14"/>
      <c r="K111" s="21">
        <f t="shared" ref="K111" si="326">+AF111</f>
        <v>0</v>
      </c>
      <c r="L111" s="20">
        <f t="shared" ref="L111" si="327">+AL111</f>
        <v>0</v>
      </c>
      <c r="M111" s="19" t="s">
        <v>55</v>
      </c>
      <c r="N111" s="15"/>
      <c r="O111" s="14"/>
      <c r="P111" s="15"/>
      <c r="Q111" s="19" t="s">
        <v>0</v>
      </c>
      <c r="R111" s="19"/>
      <c r="S111" s="20" t="str">
        <f t="shared" ref="S111" si="328">(RIGHT(O111,7))</f>
        <v/>
      </c>
      <c r="T111" s="15"/>
      <c r="U111" s="19" t="s">
        <v>53</v>
      </c>
      <c r="V111" s="19" t="s">
        <v>2</v>
      </c>
      <c r="W111" s="20">
        <f t="shared" ref="W111" si="329">+AK111</f>
        <v>0</v>
      </c>
      <c r="X111" s="20">
        <f t="shared" ref="X111" si="330">+AL111</f>
        <v>0</v>
      </c>
      <c r="Y111" s="18" t="s">
        <v>3</v>
      </c>
      <c r="Z111" s="22">
        <f t="shared" ref="Z111" si="331">+G111</f>
        <v>0</v>
      </c>
      <c r="AA111" s="18"/>
      <c r="AB111" s="20">
        <f t="shared" ref="AB111" si="332">(AC111*100)/18</f>
        <v>0</v>
      </c>
      <c r="AC111" s="49"/>
      <c r="AD111" s="49"/>
      <c r="AE111" s="20">
        <f t="shared" ref="AE111" si="333">+AB111+AC111+AD111</f>
        <v>0</v>
      </c>
      <c r="AF111" s="51"/>
      <c r="AG111" s="20">
        <f>+AB111*AF111</f>
        <v>0</v>
      </c>
      <c r="AH111" s="20">
        <f>+AC111*AF111</f>
        <v>0</v>
      </c>
      <c r="AI111" s="20">
        <f>+AD111*AF111</f>
        <v>0</v>
      </c>
      <c r="AJ111" s="20">
        <f>+AE111*AF111</f>
        <v>0</v>
      </c>
      <c r="AK111" s="20">
        <f t="shared" ref="AK111" si="334">+ROUND(AG111,2)</f>
        <v>0</v>
      </c>
      <c r="AL111" s="20">
        <f t="shared" ref="AL111" si="335">+ROUND(AH111,2)</f>
        <v>0</v>
      </c>
      <c r="AM111" s="20">
        <f>+ROUND(AI111,2)</f>
        <v>0</v>
      </c>
      <c r="AN111" s="20">
        <f t="shared" ref="AN111" si="336">+ROUND(AJ111,2)</f>
        <v>0</v>
      </c>
      <c r="AO111" s="20">
        <f>+AK111+AL111-AN111+AM111</f>
        <v>0</v>
      </c>
    </row>
    <row r="112" spans="1:41" s="30" customFormat="1" ht="14.4" hidden="1" x14ac:dyDescent="0.3">
      <c r="A112" s="24"/>
      <c r="B112" s="24"/>
      <c r="C112" s="25"/>
      <c r="D112" s="25"/>
      <c r="E112" s="25"/>
      <c r="F112" s="25"/>
      <c r="G112" s="25"/>
      <c r="H112" s="26"/>
      <c r="I112" s="26"/>
      <c r="J112" s="25"/>
      <c r="K112" s="27"/>
      <c r="L112" s="26"/>
      <c r="M112" s="25"/>
      <c r="N112" s="25"/>
      <c r="O112" s="25"/>
      <c r="P112" s="25"/>
      <c r="Q112" s="25"/>
      <c r="R112" s="25"/>
      <c r="S112" s="26"/>
      <c r="T112" s="25"/>
      <c r="U112" s="25"/>
      <c r="V112" s="25"/>
      <c r="W112" s="26"/>
      <c r="X112" s="26"/>
      <c r="Y112" s="25"/>
      <c r="Z112" s="28"/>
      <c r="AA112" s="25"/>
      <c r="AB112" s="26"/>
      <c r="AC112" s="26"/>
      <c r="AD112" s="26"/>
      <c r="AE112" s="26"/>
      <c r="AF112" s="29"/>
      <c r="AG112" s="26"/>
      <c r="AH112" s="26"/>
      <c r="AI112" s="26"/>
      <c r="AJ112" s="26"/>
      <c r="AK112" s="26"/>
      <c r="AL112" s="26"/>
      <c r="AM112" s="26"/>
      <c r="AN112" s="26"/>
      <c r="AO112" s="26"/>
    </row>
    <row r="113" spans="1:41" s="30" customFormat="1" ht="14.4" hidden="1" x14ac:dyDescent="0.3">
      <c r="A113" s="24"/>
      <c r="B113" s="24"/>
      <c r="C113" s="25"/>
      <c r="D113" s="25"/>
      <c r="E113" s="25"/>
      <c r="F113" s="25"/>
      <c r="G113" s="25"/>
      <c r="H113" s="26"/>
      <c r="I113" s="26"/>
      <c r="J113" s="25"/>
      <c r="K113" s="27"/>
      <c r="L113" s="26"/>
      <c r="M113" s="25"/>
      <c r="N113" s="25"/>
      <c r="O113" s="25"/>
      <c r="P113" s="25"/>
      <c r="Q113" s="25"/>
      <c r="R113" s="25"/>
      <c r="S113" s="26"/>
      <c r="T113" s="25"/>
      <c r="U113" s="25"/>
      <c r="V113" s="25"/>
      <c r="W113" s="26"/>
      <c r="X113" s="26"/>
      <c r="Y113" s="25"/>
      <c r="Z113" s="28"/>
      <c r="AA113" s="25"/>
      <c r="AB113" s="26"/>
      <c r="AC113" s="26"/>
      <c r="AD113" s="26"/>
      <c r="AE113" s="26"/>
      <c r="AF113" s="29"/>
      <c r="AG113" s="26"/>
      <c r="AH113" s="26"/>
      <c r="AI113" s="26"/>
      <c r="AJ113" s="26"/>
      <c r="AK113" s="26"/>
      <c r="AL113" s="26"/>
      <c r="AM113" s="26"/>
      <c r="AN113" s="26"/>
      <c r="AO113" s="26"/>
    </row>
    <row r="114" spans="1:41" s="30" customFormat="1" ht="14.4" hidden="1" x14ac:dyDescent="0.3">
      <c r="A114" s="24"/>
      <c r="B114" s="24"/>
      <c r="C114" s="25"/>
      <c r="D114" s="25"/>
      <c r="E114" s="25"/>
      <c r="F114" s="25"/>
      <c r="G114" s="25"/>
      <c r="H114" s="26"/>
      <c r="I114" s="26"/>
      <c r="J114" s="25"/>
      <c r="K114" s="27"/>
      <c r="L114" s="26"/>
      <c r="M114" s="25"/>
      <c r="N114" s="25"/>
      <c r="O114" s="25"/>
      <c r="P114" s="25"/>
      <c r="Q114" s="25"/>
      <c r="R114" s="25"/>
      <c r="S114" s="26"/>
      <c r="T114" s="25"/>
      <c r="U114" s="25"/>
      <c r="V114" s="25"/>
      <c r="W114" s="26"/>
      <c r="X114" s="26"/>
      <c r="Y114" s="25"/>
      <c r="Z114" s="28"/>
      <c r="AA114" s="25"/>
      <c r="AB114" s="26"/>
      <c r="AC114" s="26"/>
      <c r="AD114" s="26"/>
      <c r="AE114" s="26"/>
      <c r="AF114" s="29"/>
      <c r="AG114" s="26"/>
      <c r="AH114" s="26"/>
      <c r="AI114" s="26"/>
      <c r="AJ114" s="26"/>
      <c r="AK114" s="26"/>
      <c r="AL114" s="26"/>
      <c r="AM114" s="26"/>
      <c r="AN114" s="26"/>
      <c r="AO114" s="26"/>
    </row>
    <row r="115" spans="1:41" s="31" customFormat="1" ht="13.8" customHeight="1" x14ac:dyDescent="0.3">
      <c r="A115" s="16">
        <f t="shared" si="309"/>
        <v>29</v>
      </c>
      <c r="B115" s="17"/>
      <c r="C115" s="14"/>
      <c r="D115" s="14"/>
      <c r="E115" s="15"/>
      <c r="F115" s="48"/>
      <c r="G115" s="17">
        <f>+E115</f>
        <v>0</v>
      </c>
      <c r="H115" s="20">
        <f t="shared" ref="H115" si="337">+AL115+AM115</f>
        <v>0</v>
      </c>
      <c r="I115" s="20">
        <f t="shared" ref="I115" si="338">+AC115+AD115</f>
        <v>0</v>
      </c>
      <c r="J115" s="14"/>
      <c r="K115" s="21">
        <f t="shared" ref="K115" si="339">+AF115</f>
        <v>0</v>
      </c>
      <c r="L115" s="20">
        <f t="shared" ref="L115" si="340">+AL115</f>
        <v>0</v>
      </c>
      <c r="M115" s="19" t="s">
        <v>55</v>
      </c>
      <c r="N115" s="15"/>
      <c r="O115" s="14"/>
      <c r="P115" s="15"/>
      <c r="Q115" s="19" t="s">
        <v>0</v>
      </c>
      <c r="R115" s="19"/>
      <c r="S115" s="20" t="str">
        <f t="shared" ref="S115" si="341">(RIGHT(O115,7))</f>
        <v/>
      </c>
      <c r="T115" s="15"/>
      <c r="U115" s="19" t="s">
        <v>53</v>
      </c>
      <c r="V115" s="19" t="s">
        <v>2</v>
      </c>
      <c r="W115" s="20">
        <f t="shared" ref="W115" si="342">+AK115</f>
        <v>0</v>
      </c>
      <c r="X115" s="20">
        <f t="shared" ref="X115" si="343">+AL115</f>
        <v>0</v>
      </c>
      <c r="Y115" s="18" t="s">
        <v>3</v>
      </c>
      <c r="Z115" s="22">
        <f t="shared" ref="Z115" si="344">+G115</f>
        <v>0</v>
      </c>
      <c r="AA115" s="18"/>
      <c r="AB115" s="20">
        <f t="shared" ref="AB115" si="345">(AC115*100)/18</f>
        <v>0</v>
      </c>
      <c r="AC115" s="49"/>
      <c r="AD115" s="49"/>
      <c r="AE115" s="20">
        <f t="shared" ref="AE115" si="346">+AB115+AC115+AD115</f>
        <v>0</v>
      </c>
      <c r="AF115" s="51"/>
      <c r="AG115" s="20">
        <f>+AB115*AF115</f>
        <v>0</v>
      </c>
      <c r="AH115" s="20">
        <f>+AC115*AF115</f>
        <v>0</v>
      </c>
      <c r="AI115" s="20">
        <f>+AD115*AF115</f>
        <v>0</v>
      </c>
      <c r="AJ115" s="20">
        <f>+AE115*AF115</f>
        <v>0</v>
      </c>
      <c r="AK115" s="20">
        <f t="shared" ref="AK115" si="347">+ROUND(AG115,2)</f>
        <v>0</v>
      </c>
      <c r="AL115" s="20">
        <f t="shared" ref="AL115" si="348">+ROUND(AH115,2)</f>
        <v>0</v>
      </c>
      <c r="AM115" s="20">
        <f>+ROUND(AI115,2)</f>
        <v>0</v>
      </c>
      <c r="AN115" s="20">
        <f t="shared" ref="AN115" si="349">+ROUND(AJ115,2)</f>
        <v>0</v>
      </c>
      <c r="AO115" s="20">
        <f>+AK115+AL115-AN115+AM115</f>
        <v>0</v>
      </c>
    </row>
    <row r="116" spans="1:41" s="30" customFormat="1" ht="14.4" hidden="1" x14ac:dyDescent="0.3">
      <c r="A116" s="24"/>
      <c r="B116" s="24"/>
      <c r="C116" s="25"/>
      <c r="D116" s="25"/>
      <c r="E116" s="25"/>
      <c r="F116" s="25"/>
      <c r="G116" s="25"/>
      <c r="H116" s="26"/>
      <c r="I116" s="26"/>
      <c r="J116" s="25"/>
      <c r="K116" s="27"/>
      <c r="L116" s="26"/>
      <c r="M116" s="25"/>
      <c r="N116" s="25"/>
      <c r="O116" s="25"/>
      <c r="P116" s="25"/>
      <c r="Q116" s="25"/>
      <c r="R116" s="25"/>
      <c r="S116" s="26"/>
      <c r="T116" s="25"/>
      <c r="U116" s="25"/>
      <c r="V116" s="25"/>
      <c r="W116" s="26"/>
      <c r="X116" s="26"/>
      <c r="Y116" s="25"/>
      <c r="Z116" s="28"/>
      <c r="AA116" s="25"/>
      <c r="AB116" s="26"/>
      <c r="AC116" s="26"/>
      <c r="AD116" s="26"/>
      <c r="AE116" s="26"/>
      <c r="AF116" s="29"/>
      <c r="AG116" s="26"/>
      <c r="AH116" s="26"/>
      <c r="AI116" s="26"/>
      <c r="AJ116" s="26"/>
      <c r="AK116" s="26"/>
      <c r="AL116" s="26"/>
      <c r="AM116" s="26"/>
      <c r="AN116" s="26"/>
      <c r="AO116" s="26"/>
    </row>
    <row r="117" spans="1:41" s="30" customFormat="1" ht="14.4" hidden="1" x14ac:dyDescent="0.3">
      <c r="A117" s="24"/>
      <c r="B117" s="24"/>
      <c r="C117" s="25"/>
      <c r="D117" s="25"/>
      <c r="E117" s="25"/>
      <c r="F117" s="25"/>
      <c r="G117" s="25"/>
      <c r="H117" s="26"/>
      <c r="I117" s="26"/>
      <c r="J117" s="25"/>
      <c r="K117" s="27"/>
      <c r="L117" s="26"/>
      <c r="M117" s="25"/>
      <c r="N117" s="25"/>
      <c r="O117" s="25"/>
      <c r="P117" s="25"/>
      <c r="Q117" s="25"/>
      <c r="R117" s="25"/>
      <c r="S117" s="26"/>
      <c r="T117" s="25"/>
      <c r="U117" s="25"/>
      <c r="V117" s="25"/>
      <c r="W117" s="26"/>
      <c r="X117" s="26"/>
      <c r="Y117" s="25"/>
      <c r="Z117" s="28"/>
      <c r="AA117" s="25"/>
      <c r="AB117" s="26"/>
      <c r="AC117" s="26"/>
      <c r="AD117" s="26"/>
      <c r="AE117" s="26"/>
      <c r="AF117" s="29"/>
      <c r="AG117" s="26"/>
      <c r="AH117" s="26"/>
      <c r="AI117" s="26"/>
      <c r="AJ117" s="26"/>
      <c r="AK117" s="26"/>
      <c r="AL117" s="26"/>
      <c r="AM117" s="26"/>
      <c r="AN117" s="26"/>
      <c r="AO117" s="26"/>
    </row>
    <row r="118" spans="1:41" s="30" customFormat="1" ht="14.4" hidden="1" x14ac:dyDescent="0.3">
      <c r="A118" s="24"/>
      <c r="B118" s="24"/>
      <c r="C118" s="25"/>
      <c r="D118" s="25"/>
      <c r="E118" s="25"/>
      <c r="F118" s="25"/>
      <c r="G118" s="25"/>
      <c r="H118" s="26"/>
      <c r="I118" s="26"/>
      <c r="J118" s="25"/>
      <c r="K118" s="27"/>
      <c r="L118" s="26"/>
      <c r="M118" s="25"/>
      <c r="N118" s="25"/>
      <c r="O118" s="25"/>
      <c r="P118" s="25"/>
      <c r="Q118" s="25"/>
      <c r="R118" s="25"/>
      <c r="S118" s="26"/>
      <c r="T118" s="25"/>
      <c r="U118" s="25"/>
      <c r="V118" s="25"/>
      <c r="W118" s="26"/>
      <c r="X118" s="26"/>
      <c r="Y118" s="25"/>
      <c r="Z118" s="28"/>
      <c r="AA118" s="25"/>
      <c r="AB118" s="26"/>
      <c r="AC118" s="26"/>
      <c r="AD118" s="26"/>
      <c r="AE118" s="26"/>
      <c r="AF118" s="29"/>
      <c r="AG118" s="26"/>
      <c r="AH118" s="26"/>
      <c r="AI118" s="26"/>
      <c r="AJ118" s="26"/>
      <c r="AK118" s="26"/>
      <c r="AL118" s="26"/>
      <c r="AM118" s="26"/>
      <c r="AN118" s="26"/>
      <c r="AO118" s="26"/>
    </row>
    <row r="119" spans="1:41" s="31" customFormat="1" ht="13.8" customHeight="1" x14ac:dyDescent="0.3">
      <c r="A119" s="16">
        <f t="shared" si="323"/>
        <v>30</v>
      </c>
      <c r="B119" s="17"/>
      <c r="C119" s="14"/>
      <c r="D119" s="14"/>
      <c r="E119" s="15"/>
      <c r="F119" s="48"/>
      <c r="G119" s="17">
        <f>+E119</f>
        <v>0</v>
      </c>
      <c r="H119" s="20">
        <f t="shared" ref="H119" si="350">+AL119+AM119</f>
        <v>0</v>
      </c>
      <c r="I119" s="20">
        <f t="shared" ref="I119" si="351">+AC119+AD119</f>
        <v>0</v>
      </c>
      <c r="J119" s="14"/>
      <c r="K119" s="21">
        <f t="shared" ref="K119" si="352">+AF119</f>
        <v>0</v>
      </c>
      <c r="L119" s="20">
        <f t="shared" ref="L119" si="353">+AL119</f>
        <v>0</v>
      </c>
      <c r="M119" s="19" t="s">
        <v>55</v>
      </c>
      <c r="N119" s="15"/>
      <c r="O119" s="14"/>
      <c r="P119" s="15"/>
      <c r="Q119" s="19" t="s">
        <v>0</v>
      </c>
      <c r="R119" s="19"/>
      <c r="S119" s="20" t="str">
        <f t="shared" ref="S119" si="354">(RIGHT(O119,7))</f>
        <v/>
      </c>
      <c r="T119" s="15"/>
      <c r="U119" s="19" t="s">
        <v>53</v>
      </c>
      <c r="V119" s="19" t="s">
        <v>2</v>
      </c>
      <c r="W119" s="20">
        <f t="shared" ref="W119" si="355">+AK119</f>
        <v>0</v>
      </c>
      <c r="X119" s="20">
        <f t="shared" ref="X119" si="356">+AL119</f>
        <v>0</v>
      </c>
      <c r="Y119" s="18" t="s">
        <v>3</v>
      </c>
      <c r="Z119" s="22">
        <f t="shared" ref="Z119" si="357">+G119</f>
        <v>0</v>
      </c>
      <c r="AA119" s="18"/>
      <c r="AB119" s="20">
        <f t="shared" ref="AB119" si="358">(AC119*100)/18</f>
        <v>0</v>
      </c>
      <c r="AC119" s="49"/>
      <c r="AD119" s="49"/>
      <c r="AE119" s="20">
        <f t="shared" ref="AE119" si="359">+AB119+AC119+AD119</f>
        <v>0</v>
      </c>
      <c r="AF119" s="51"/>
      <c r="AG119" s="20">
        <f>+AB119*AF119</f>
        <v>0</v>
      </c>
      <c r="AH119" s="20">
        <f>+AC119*AF119</f>
        <v>0</v>
      </c>
      <c r="AI119" s="20">
        <f>+AD119*AF119</f>
        <v>0</v>
      </c>
      <c r="AJ119" s="20">
        <f>+AE119*AF119</f>
        <v>0</v>
      </c>
      <c r="AK119" s="20">
        <f t="shared" ref="AK119" si="360">+ROUND(AG119,2)</f>
        <v>0</v>
      </c>
      <c r="AL119" s="20">
        <f t="shared" ref="AL119" si="361">+ROUND(AH119,2)</f>
        <v>0</v>
      </c>
      <c r="AM119" s="20">
        <f>+ROUND(AI119,2)</f>
        <v>0</v>
      </c>
      <c r="AN119" s="20">
        <f t="shared" ref="AN119" si="362">+ROUND(AJ119,2)</f>
        <v>0</v>
      </c>
      <c r="AO119" s="20">
        <f>+AK119+AL119-AN119+AM119</f>
        <v>0</v>
      </c>
    </row>
    <row r="120" spans="1:41" ht="14.4" hidden="1" x14ac:dyDescent="0.3">
      <c r="A120" s="24"/>
      <c r="B120" s="24"/>
      <c r="C120" s="25"/>
      <c r="D120" s="25"/>
      <c r="E120" s="25"/>
      <c r="F120" s="25"/>
      <c r="G120" s="25"/>
      <c r="H120" s="26"/>
      <c r="I120" s="26"/>
      <c r="J120" s="25"/>
      <c r="K120" s="27"/>
      <c r="L120" s="26"/>
      <c r="M120" s="25"/>
      <c r="N120" s="25"/>
      <c r="O120" s="25"/>
      <c r="P120" s="25"/>
      <c r="Q120" s="25"/>
      <c r="R120" s="25"/>
      <c r="S120" s="26"/>
      <c r="T120" s="25"/>
      <c r="U120" s="25"/>
      <c r="V120" s="25"/>
      <c r="W120" s="26"/>
      <c r="X120" s="26"/>
      <c r="Y120" s="25"/>
      <c r="Z120" s="28"/>
      <c r="AA120" s="25"/>
      <c r="AB120" s="26"/>
      <c r="AC120" s="26"/>
      <c r="AD120" s="26"/>
      <c r="AE120" s="26"/>
      <c r="AF120" s="29"/>
      <c r="AG120" s="26"/>
      <c r="AH120" s="26"/>
      <c r="AI120" s="26"/>
      <c r="AJ120" s="26"/>
      <c r="AK120" s="26"/>
      <c r="AL120" s="26"/>
      <c r="AM120" s="26"/>
      <c r="AN120" s="26"/>
      <c r="AO120" s="26"/>
    </row>
    <row r="121" spans="1:41" ht="14.4" hidden="1" x14ac:dyDescent="0.3">
      <c r="A121" s="24"/>
      <c r="B121" s="24"/>
      <c r="C121" s="25"/>
      <c r="D121" s="25"/>
      <c r="E121" s="25"/>
      <c r="F121" s="25"/>
      <c r="G121" s="25"/>
      <c r="H121" s="26"/>
      <c r="I121" s="26"/>
      <c r="J121" s="25"/>
      <c r="K121" s="27"/>
      <c r="L121" s="26"/>
      <c r="M121" s="25"/>
      <c r="N121" s="25"/>
      <c r="O121" s="25"/>
      <c r="P121" s="25"/>
      <c r="Q121" s="25"/>
      <c r="R121" s="25"/>
      <c r="S121" s="26"/>
      <c r="T121" s="25"/>
      <c r="U121" s="25"/>
      <c r="V121" s="25"/>
      <c r="W121" s="26"/>
      <c r="X121" s="26"/>
      <c r="Y121" s="25"/>
      <c r="Z121" s="28"/>
      <c r="AA121" s="25"/>
      <c r="AB121" s="26"/>
      <c r="AC121" s="26"/>
      <c r="AD121" s="26"/>
      <c r="AE121" s="26"/>
      <c r="AF121" s="29"/>
      <c r="AG121" s="26"/>
      <c r="AH121" s="26"/>
      <c r="AI121" s="26"/>
      <c r="AJ121" s="26"/>
      <c r="AK121" s="26"/>
      <c r="AL121" s="26"/>
      <c r="AM121" s="26"/>
      <c r="AN121" s="26"/>
      <c r="AO121" s="26"/>
    </row>
    <row r="122" spans="1:41" ht="14.4" hidden="1" x14ac:dyDescent="0.3">
      <c r="A122" s="24"/>
      <c r="B122" s="24"/>
      <c r="C122" s="25"/>
      <c r="D122" s="25"/>
      <c r="E122" s="25"/>
      <c r="F122" s="25"/>
      <c r="G122" s="25"/>
      <c r="H122" s="26"/>
      <c r="I122" s="26"/>
      <c r="J122" s="25"/>
      <c r="K122" s="27"/>
      <c r="L122" s="26"/>
      <c r="M122" s="25"/>
      <c r="N122" s="25"/>
      <c r="O122" s="25"/>
      <c r="P122" s="25"/>
      <c r="Q122" s="25"/>
      <c r="R122" s="25"/>
      <c r="S122" s="26"/>
      <c r="T122" s="25"/>
      <c r="U122" s="25"/>
      <c r="V122" s="25"/>
      <c r="W122" s="26"/>
      <c r="X122" s="26"/>
      <c r="Y122" s="25"/>
      <c r="Z122" s="28"/>
      <c r="AA122" s="25"/>
      <c r="AB122" s="26"/>
      <c r="AC122" s="26"/>
      <c r="AD122" s="26"/>
      <c r="AE122" s="26"/>
      <c r="AF122" s="29"/>
      <c r="AG122" s="26"/>
      <c r="AH122" s="26"/>
      <c r="AI122" s="26"/>
      <c r="AJ122" s="26"/>
      <c r="AK122" s="26"/>
      <c r="AL122" s="26"/>
      <c r="AM122" s="26"/>
      <c r="AN122" s="26"/>
      <c r="AO122" s="26"/>
    </row>
    <row r="123" spans="1:41" ht="13.8" customHeight="1" x14ac:dyDescent="0.3">
      <c r="A123" s="16">
        <f t="shared" si="309"/>
        <v>31</v>
      </c>
      <c r="B123" s="17"/>
      <c r="C123" s="14"/>
      <c r="D123" s="14"/>
      <c r="E123" s="15"/>
      <c r="F123" s="48"/>
      <c r="G123" s="17">
        <f>+E123</f>
        <v>0</v>
      </c>
      <c r="H123" s="20">
        <f t="shared" ref="H123" si="363">+AL123+AM123</f>
        <v>0</v>
      </c>
      <c r="I123" s="20">
        <f t="shared" ref="I123" si="364">+AC123+AD123</f>
        <v>0</v>
      </c>
      <c r="J123" s="14"/>
      <c r="K123" s="21">
        <f t="shared" ref="K123" si="365">+AF123</f>
        <v>0</v>
      </c>
      <c r="L123" s="20">
        <f t="shared" ref="L123" si="366">+AL123</f>
        <v>0</v>
      </c>
      <c r="M123" s="19" t="s">
        <v>55</v>
      </c>
      <c r="N123" s="15"/>
      <c r="O123" s="14"/>
      <c r="P123" s="15"/>
      <c r="Q123" s="19" t="s">
        <v>0</v>
      </c>
      <c r="R123" s="19"/>
      <c r="S123" s="20" t="str">
        <f t="shared" ref="S123" si="367">(RIGHT(O123,7))</f>
        <v/>
      </c>
      <c r="T123" s="15"/>
      <c r="U123" s="19" t="s">
        <v>53</v>
      </c>
      <c r="V123" s="19" t="s">
        <v>2</v>
      </c>
      <c r="W123" s="20">
        <f t="shared" ref="W123" si="368">+AK123</f>
        <v>0</v>
      </c>
      <c r="X123" s="20">
        <f t="shared" ref="X123" si="369">+AL123</f>
        <v>0</v>
      </c>
      <c r="Y123" s="18" t="s">
        <v>3</v>
      </c>
      <c r="Z123" s="22">
        <f t="shared" ref="Z123" si="370">+G123</f>
        <v>0</v>
      </c>
      <c r="AA123" s="18"/>
      <c r="AB123" s="20">
        <f t="shared" ref="AB123" si="371">(AC123*100)/18</f>
        <v>0</v>
      </c>
      <c r="AC123" s="49"/>
      <c r="AD123" s="49"/>
      <c r="AE123" s="20">
        <f t="shared" ref="AE123" si="372">+AB123+AC123+AD123</f>
        <v>0</v>
      </c>
      <c r="AF123" s="51"/>
      <c r="AG123" s="20">
        <f>+AB123*AF123</f>
        <v>0</v>
      </c>
      <c r="AH123" s="20">
        <f>+AC123*AF123</f>
        <v>0</v>
      </c>
      <c r="AI123" s="20">
        <f>+AD123*AF123</f>
        <v>0</v>
      </c>
      <c r="AJ123" s="20">
        <f>+AE123*AF123</f>
        <v>0</v>
      </c>
      <c r="AK123" s="20">
        <f t="shared" ref="AK123" si="373">+ROUND(AG123,2)</f>
        <v>0</v>
      </c>
      <c r="AL123" s="20">
        <f t="shared" ref="AL123" si="374">+ROUND(AH123,2)</f>
        <v>0</v>
      </c>
      <c r="AM123" s="20">
        <f>+ROUND(AI123,2)</f>
        <v>0</v>
      </c>
      <c r="AN123" s="20">
        <f t="shared" ref="AN123" si="375">+ROUND(AJ123,2)</f>
        <v>0</v>
      </c>
      <c r="AO123" s="20">
        <f>+AK123+AL123-AN123+AM123</f>
        <v>0</v>
      </c>
    </row>
    <row r="124" spans="1:41" ht="14.4" hidden="1" x14ac:dyDescent="0.3">
      <c r="A124" s="24"/>
      <c r="B124" s="24"/>
      <c r="C124" s="25"/>
      <c r="D124" s="25"/>
      <c r="E124" s="25"/>
      <c r="F124" s="25"/>
      <c r="G124" s="25"/>
      <c r="H124" s="26"/>
      <c r="I124" s="26"/>
      <c r="J124" s="25"/>
      <c r="K124" s="27"/>
      <c r="L124" s="26"/>
      <c r="M124" s="25"/>
      <c r="N124" s="25"/>
      <c r="O124" s="25"/>
      <c r="P124" s="25"/>
      <c r="Q124" s="25"/>
      <c r="R124" s="25"/>
      <c r="S124" s="26"/>
      <c r="T124" s="25"/>
      <c r="U124" s="25"/>
      <c r="V124" s="25"/>
      <c r="W124" s="26"/>
      <c r="X124" s="26"/>
      <c r="Y124" s="25"/>
      <c r="Z124" s="28"/>
      <c r="AA124" s="25"/>
      <c r="AB124" s="26"/>
      <c r="AC124" s="26"/>
      <c r="AD124" s="26"/>
      <c r="AE124" s="26"/>
      <c r="AF124" s="29"/>
      <c r="AG124" s="26"/>
      <c r="AH124" s="26"/>
      <c r="AI124" s="26"/>
      <c r="AJ124" s="26"/>
      <c r="AK124" s="26"/>
      <c r="AL124" s="26"/>
      <c r="AM124" s="26"/>
      <c r="AN124" s="26"/>
      <c r="AO124" s="26"/>
    </row>
    <row r="125" spans="1:41" ht="14.4" hidden="1" x14ac:dyDescent="0.3">
      <c r="A125" s="24"/>
      <c r="B125" s="24"/>
      <c r="C125" s="25"/>
      <c r="D125" s="25"/>
      <c r="E125" s="25"/>
      <c r="F125" s="25"/>
      <c r="G125" s="25"/>
      <c r="H125" s="26"/>
      <c r="I125" s="26"/>
      <c r="J125" s="25"/>
      <c r="K125" s="27"/>
      <c r="L125" s="26"/>
      <c r="M125" s="25"/>
      <c r="N125" s="25"/>
      <c r="O125" s="25"/>
      <c r="P125" s="25"/>
      <c r="Q125" s="25"/>
      <c r="R125" s="25"/>
      <c r="S125" s="26"/>
      <c r="T125" s="25"/>
      <c r="U125" s="25"/>
      <c r="V125" s="25"/>
      <c r="W125" s="26"/>
      <c r="X125" s="26"/>
      <c r="Y125" s="25"/>
      <c r="Z125" s="28"/>
      <c r="AA125" s="25"/>
      <c r="AB125" s="26"/>
      <c r="AC125" s="26"/>
      <c r="AD125" s="26"/>
      <c r="AE125" s="26"/>
      <c r="AF125" s="29"/>
      <c r="AG125" s="26"/>
      <c r="AH125" s="26"/>
      <c r="AI125" s="26"/>
      <c r="AJ125" s="26"/>
      <c r="AK125" s="26"/>
      <c r="AL125" s="26"/>
      <c r="AM125" s="26"/>
      <c r="AN125" s="26"/>
      <c r="AO125" s="26"/>
    </row>
    <row r="126" spans="1:41" ht="14.4" hidden="1" x14ac:dyDescent="0.3">
      <c r="A126" s="24"/>
      <c r="B126" s="24"/>
      <c r="C126" s="25"/>
      <c r="D126" s="25"/>
      <c r="E126" s="25"/>
      <c r="F126" s="25"/>
      <c r="G126" s="25"/>
      <c r="H126" s="26"/>
      <c r="I126" s="26"/>
      <c r="J126" s="25"/>
      <c r="K126" s="27"/>
      <c r="L126" s="26"/>
      <c r="M126" s="25"/>
      <c r="N126" s="25"/>
      <c r="O126" s="25"/>
      <c r="P126" s="25"/>
      <c r="Q126" s="25"/>
      <c r="R126" s="25"/>
      <c r="S126" s="26"/>
      <c r="T126" s="25"/>
      <c r="U126" s="25"/>
      <c r="V126" s="25"/>
      <c r="W126" s="26"/>
      <c r="X126" s="26"/>
      <c r="Y126" s="25"/>
      <c r="Z126" s="28"/>
      <c r="AA126" s="25"/>
      <c r="AB126" s="26"/>
      <c r="AC126" s="26"/>
      <c r="AD126" s="26"/>
      <c r="AE126" s="26"/>
      <c r="AF126" s="29"/>
      <c r="AG126" s="26"/>
      <c r="AH126" s="26"/>
      <c r="AI126" s="26"/>
      <c r="AJ126" s="26"/>
      <c r="AK126" s="26"/>
      <c r="AL126" s="26"/>
      <c r="AM126" s="26"/>
      <c r="AN126" s="26"/>
      <c r="AO126" s="26"/>
    </row>
    <row r="127" spans="1:41" ht="13.8" customHeight="1" x14ac:dyDescent="0.3">
      <c r="A127" s="16">
        <f t="shared" si="323"/>
        <v>32</v>
      </c>
      <c r="B127" s="17"/>
      <c r="C127" s="14"/>
      <c r="D127" s="14"/>
      <c r="E127" s="15"/>
      <c r="F127" s="48"/>
      <c r="G127" s="17">
        <f>+E127</f>
        <v>0</v>
      </c>
      <c r="H127" s="20">
        <f t="shared" ref="H127" si="376">+AL127+AM127</f>
        <v>0</v>
      </c>
      <c r="I127" s="20">
        <f t="shared" ref="I127" si="377">+AC127+AD127</f>
        <v>0</v>
      </c>
      <c r="J127" s="14"/>
      <c r="K127" s="21">
        <f t="shared" ref="K127" si="378">+AF127</f>
        <v>0</v>
      </c>
      <c r="L127" s="20">
        <f t="shared" ref="L127" si="379">+AL127</f>
        <v>0</v>
      </c>
      <c r="M127" s="19" t="s">
        <v>55</v>
      </c>
      <c r="N127" s="15"/>
      <c r="O127" s="14"/>
      <c r="P127" s="15"/>
      <c r="Q127" s="19" t="s">
        <v>0</v>
      </c>
      <c r="R127" s="19"/>
      <c r="S127" s="20" t="str">
        <f t="shared" ref="S127" si="380">(RIGHT(O127,7))</f>
        <v/>
      </c>
      <c r="T127" s="15"/>
      <c r="U127" s="19" t="s">
        <v>53</v>
      </c>
      <c r="V127" s="19" t="s">
        <v>2</v>
      </c>
      <c r="W127" s="20">
        <f t="shared" ref="W127" si="381">+AK127</f>
        <v>0</v>
      </c>
      <c r="X127" s="20">
        <f t="shared" ref="X127" si="382">+AL127</f>
        <v>0</v>
      </c>
      <c r="Y127" s="18" t="s">
        <v>3</v>
      </c>
      <c r="Z127" s="22">
        <f t="shared" ref="Z127" si="383">+G127</f>
        <v>0</v>
      </c>
      <c r="AA127" s="18"/>
      <c r="AB127" s="20">
        <f t="shared" ref="AB127" si="384">(AC127*100)/18</f>
        <v>0</v>
      </c>
      <c r="AC127" s="49"/>
      <c r="AD127" s="49"/>
      <c r="AE127" s="20">
        <f t="shared" ref="AE127" si="385">+AB127+AC127+AD127</f>
        <v>0</v>
      </c>
      <c r="AF127" s="51"/>
      <c r="AG127" s="20">
        <f>+AB127*AF127</f>
        <v>0</v>
      </c>
      <c r="AH127" s="20">
        <f>+AC127*AF127</f>
        <v>0</v>
      </c>
      <c r="AI127" s="20">
        <f>+AD127*AF127</f>
        <v>0</v>
      </c>
      <c r="AJ127" s="20">
        <f>+AE127*AF127</f>
        <v>0</v>
      </c>
      <c r="AK127" s="20">
        <f t="shared" ref="AK127" si="386">+ROUND(AG127,2)</f>
        <v>0</v>
      </c>
      <c r="AL127" s="20">
        <f t="shared" ref="AL127" si="387">+ROUND(AH127,2)</f>
        <v>0</v>
      </c>
      <c r="AM127" s="20">
        <f>+ROUND(AI127,2)</f>
        <v>0</v>
      </c>
      <c r="AN127" s="20">
        <f t="shared" ref="AN127" si="388">+ROUND(AJ127,2)</f>
        <v>0</v>
      </c>
      <c r="AO127" s="20">
        <f>+AK127+AL127-AN127+AM127</f>
        <v>0</v>
      </c>
    </row>
    <row r="128" spans="1:41" ht="14.4" hidden="1" x14ac:dyDescent="0.3">
      <c r="A128" s="24"/>
      <c r="B128" s="24"/>
      <c r="C128" s="25"/>
      <c r="D128" s="25"/>
      <c r="E128" s="25"/>
      <c r="F128" s="25"/>
      <c r="G128" s="25"/>
      <c r="H128" s="26"/>
      <c r="I128" s="26"/>
      <c r="J128" s="25"/>
      <c r="K128" s="27"/>
      <c r="L128" s="26"/>
      <c r="M128" s="25"/>
      <c r="N128" s="25"/>
      <c r="O128" s="25"/>
      <c r="P128" s="25"/>
      <c r="Q128" s="25"/>
      <c r="R128" s="25"/>
      <c r="S128" s="26"/>
      <c r="T128" s="25"/>
      <c r="U128" s="25"/>
      <c r="V128" s="25"/>
      <c r="W128" s="26"/>
      <c r="X128" s="26"/>
      <c r="Y128" s="25"/>
      <c r="Z128" s="28"/>
      <c r="AA128" s="25"/>
      <c r="AB128" s="26"/>
      <c r="AC128" s="26"/>
      <c r="AD128" s="26"/>
      <c r="AE128" s="26"/>
      <c r="AF128" s="29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4.4" hidden="1" x14ac:dyDescent="0.3">
      <c r="A129" s="24"/>
      <c r="B129" s="24"/>
      <c r="C129" s="25"/>
      <c r="D129" s="25"/>
      <c r="E129" s="25"/>
      <c r="F129" s="25"/>
      <c r="G129" s="25"/>
      <c r="H129" s="26"/>
      <c r="I129" s="26"/>
      <c r="J129" s="25"/>
      <c r="K129" s="27"/>
      <c r="L129" s="26"/>
      <c r="M129" s="25"/>
      <c r="N129" s="25"/>
      <c r="O129" s="25"/>
      <c r="P129" s="25"/>
      <c r="Q129" s="25"/>
      <c r="R129" s="25"/>
      <c r="S129" s="26"/>
      <c r="T129" s="25"/>
      <c r="U129" s="25"/>
      <c r="V129" s="25"/>
      <c r="W129" s="26"/>
      <c r="X129" s="26"/>
      <c r="Y129" s="25"/>
      <c r="Z129" s="28"/>
      <c r="AA129" s="25"/>
      <c r="AB129" s="26"/>
      <c r="AC129" s="26"/>
      <c r="AD129" s="26"/>
      <c r="AE129" s="26"/>
      <c r="AF129" s="29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4.4" hidden="1" x14ac:dyDescent="0.3">
      <c r="A130" s="24"/>
      <c r="B130" s="24"/>
      <c r="C130" s="25"/>
      <c r="D130" s="25"/>
      <c r="E130" s="25"/>
      <c r="F130" s="25"/>
      <c r="G130" s="25"/>
      <c r="H130" s="26"/>
      <c r="I130" s="26"/>
      <c r="J130" s="25"/>
      <c r="K130" s="27"/>
      <c r="L130" s="26"/>
      <c r="M130" s="25"/>
      <c r="N130" s="25"/>
      <c r="O130" s="25"/>
      <c r="P130" s="25"/>
      <c r="Q130" s="25"/>
      <c r="R130" s="25"/>
      <c r="S130" s="26"/>
      <c r="T130" s="25"/>
      <c r="U130" s="25"/>
      <c r="V130" s="25"/>
      <c r="W130" s="26"/>
      <c r="X130" s="26"/>
      <c r="Y130" s="25"/>
      <c r="Z130" s="28"/>
      <c r="AA130" s="25"/>
      <c r="AB130" s="26"/>
      <c r="AC130" s="26"/>
      <c r="AD130" s="26"/>
      <c r="AE130" s="26"/>
      <c r="AF130" s="29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3.8" customHeight="1" x14ac:dyDescent="0.3">
      <c r="A131" s="16">
        <f t="shared" si="309"/>
        <v>33</v>
      </c>
      <c r="B131" s="17"/>
      <c r="C131" s="14"/>
      <c r="D131" s="14"/>
      <c r="E131" s="15"/>
      <c r="F131" s="48"/>
      <c r="G131" s="17">
        <f>+E131</f>
        <v>0</v>
      </c>
      <c r="H131" s="20">
        <f t="shared" ref="H131" si="389">+AL131+AM131</f>
        <v>0</v>
      </c>
      <c r="I131" s="20">
        <f t="shared" ref="I131" si="390">+AC131+AD131</f>
        <v>0</v>
      </c>
      <c r="J131" s="14"/>
      <c r="K131" s="21">
        <f t="shared" ref="K131" si="391">+AF131</f>
        <v>0</v>
      </c>
      <c r="L131" s="20">
        <f t="shared" ref="L131" si="392">+AL131</f>
        <v>0</v>
      </c>
      <c r="M131" s="19" t="s">
        <v>55</v>
      </c>
      <c r="N131" s="15"/>
      <c r="O131" s="14"/>
      <c r="P131" s="15"/>
      <c r="Q131" s="19" t="s">
        <v>0</v>
      </c>
      <c r="R131" s="19"/>
      <c r="S131" s="20" t="str">
        <f t="shared" ref="S131" si="393">(RIGHT(O131,7))</f>
        <v/>
      </c>
      <c r="T131" s="15"/>
      <c r="U131" s="19" t="s">
        <v>53</v>
      </c>
      <c r="V131" s="19" t="s">
        <v>2</v>
      </c>
      <c r="W131" s="20">
        <f t="shared" ref="W131" si="394">+AK131</f>
        <v>0</v>
      </c>
      <c r="X131" s="20">
        <f t="shared" ref="X131" si="395">+AL131</f>
        <v>0</v>
      </c>
      <c r="Y131" s="18" t="s">
        <v>3</v>
      </c>
      <c r="Z131" s="22">
        <f t="shared" ref="Z131" si="396">+G131</f>
        <v>0</v>
      </c>
      <c r="AA131" s="18"/>
      <c r="AB131" s="20">
        <f t="shared" ref="AB131" si="397">(AC131*100)/18</f>
        <v>0</v>
      </c>
      <c r="AC131" s="49"/>
      <c r="AD131" s="49"/>
      <c r="AE131" s="20">
        <f t="shared" ref="AE131" si="398">+AB131+AC131+AD131</f>
        <v>0</v>
      </c>
      <c r="AF131" s="51"/>
      <c r="AG131" s="20">
        <f>+AB131*AF131</f>
        <v>0</v>
      </c>
      <c r="AH131" s="20">
        <f>+AC131*AF131</f>
        <v>0</v>
      </c>
      <c r="AI131" s="20">
        <f>+AD131*AF131</f>
        <v>0</v>
      </c>
      <c r="AJ131" s="20">
        <f>+AE131*AF131</f>
        <v>0</v>
      </c>
      <c r="AK131" s="20">
        <f t="shared" ref="AK131" si="399">+ROUND(AG131,2)</f>
        <v>0</v>
      </c>
      <c r="AL131" s="20">
        <f t="shared" ref="AL131" si="400">+ROUND(AH131,2)</f>
        <v>0</v>
      </c>
      <c r="AM131" s="20">
        <f>+ROUND(AI131,2)</f>
        <v>0</v>
      </c>
      <c r="AN131" s="20">
        <f t="shared" ref="AN131" si="401">+ROUND(AJ131,2)</f>
        <v>0</v>
      </c>
      <c r="AO131" s="20">
        <f>+AK131+AL131-AN131+AM131</f>
        <v>0</v>
      </c>
    </row>
    <row r="132" spans="1:41" ht="14.4" hidden="1" x14ac:dyDescent="0.3">
      <c r="A132" s="24"/>
      <c r="B132" s="24"/>
      <c r="C132" s="25"/>
      <c r="D132" s="25"/>
      <c r="E132" s="25"/>
      <c r="F132" s="25"/>
      <c r="G132" s="25"/>
      <c r="H132" s="26"/>
      <c r="I132" s="26"/>
      <c r="J132" s="25"/>
      <c r="K132" s="27"/>
      <c r="L132" s="26"/>
      <c r="M132" s="25"/>
      <c r="N132" s="25"/>
      <c r="O132" s="25"/>
      <c r="P132" s="25"/>
      <c r="Q132" s="25"/>
      <c r="R132" s="25"/>
      <c r="S132" s="26"/>
      <c r="T132" s="25"/>
      <c r="U132" s="25"/>
      <c r="V132" s="25"/>
      <c r="W132" s="26"/>
      <c r="X132" s="26"/>
      <c r="Y132" s="25"/>
      <c r="Z132" s="28"/>
      <c r="AA132" s="25"/>
      <c r="AB132" s="26"/>
      <c r="AC132" s="26"/>
      <c r="AD132" s="26"/>
      <c r="AE132" s="26"/>
      <c r="AF132" s="29"/>
      <c r="AG132" s="26"/>
      <c r="AH132" s="26"/>
      <c r="AI132" s="26"/>
      <c r="AJ132" s="26"/>
      <c r="AK132" s="26"/>
      <c r="AL132" s="26"/>
      <c r="AM132" s="26"/>
      <c r="AN132" s="26"/>
      <c r="AO132" s="26"/>
    </row>
    <row r="133" spans="1:41" ht="14.4" hidden="1" x14ac:dyDescent="0.3">
      <c r="A133" s="24"/>
      <c r="B133" s="24"/>
      <c r="C133" s="25"/>
      <c r="D133" s="25"/>
      <c r="E133" s="25"/>
      <c r="F133" s="25"/>
      <c r="G133" s="25"/>
      <c r="H133" s="26"/>
      <c r="I133" s="26"/>
      <c r="J133" s="25"/>
      <c r="K133" s="27"/>
      <c r="L133" s="26"/>
      <c r="M133" s="25"/>
      <c r="N133" s="25"/>
      <c r="O133" s="25"/>
      <c r="P133" s="25"/>
      <c r="Q133" s="25"/>
      <c r="R133" s="25"/>
      <c r="S133" s="26"/>
      <c r="T133" s="25"/>
      <c r="U133" s="25"/>
      <c r="V133" s="25"/>
      <c r="W133" s="26"/>
      <c r="X133" s="26"/>
      <c r="Y133" s="25"/>
      <c r="Z133" s="28"/>
      <c r="AA133" s="25"/>
      <c r="AB133" s="26"/>
      <c r="AC133" s="26"/>
      <c r="AD133" s="26"/>
      <c r="AE133" s="26"/>
      <c r="AF133" s="29"/>
      <c r="AG133" s="26"/>
      <c r="AH133" s="26"/>
      <c r="AI133" s="26"/>
      <c r="AJ133" s="26"/>
      <c r="AK133" s="26"/>
      <c r="AL133" s="26"/>
      <c r="AM133" s="26"/>
      <c r="AN133" s="26"/>
      <c r="AO133" s="26"/>
    </row>
    <row r="134" spans="1:41" ht="14.4" hidden="1" x14ac:dyDescent="0.3">
      <c r="A134" s="24"/>
      <c r="B134" s="24"/>
      <c r="C134" s="25"/>
      <c r="D134" s="25"/>
      <c r="E134" s="25"/>
      <c r="F134" s="25"/>
      <c r="G134" s="25"/>
      <c r="H134" s="26"/>
      <c r="I134" s="26"/>
      <c r="J134" s="25"/>
      <c r="K134" s="27"/>
      <c r="L134" s="26"/>
      <c r="M134" s="25"/>
      <c r="N134" s="25"/>
      <c r="O134" s="25"/>
      <c r="P134" s="25"/>
      <c r="Q134" s="25"/>
      <c r="R134" s="25"/>
      <c r="S134" s="26"/>
      <c r="T134" s="25"/>
      <c r="U134" s="25"/>
      <c r="V134" s="25"/>
      <c r="W134" s="26"/>
      <c r="X134" s="26"/>
      <c r="Y134" s="25"/>
      <c r="Z134" s="28"/>
      <c r="AA134" s="25"/>
      <c r="AB134" s="26"/>
      <c r="AC134" s="26"/>
      <c r="AD134" s="26"/>
      <c r="AE134" s="26"/>
      <c r="AF134" s="29"/>
      <c r="AG134" s="26"/>
      <c r="AH134" s="26"/>
      <c r="AI134" s="26"/>
      <c r="AJ134" s="26"/>
      <c r="AK134" s="26"/>
      <c r="AL134" s="26"/>
      <c r="AM134" s="26"/>
      <c r="AN134" s="26"/>
      <c r="AO134" s="26"/>
    </row>
    <row r="135" spans="1:41" ht="13.8" customHeight="1" x14ac:dyDescent="0.3">
      <c r="A135" s="16">
        <f t="shared" si="323"/>
        <v>34</v>
      </c>
      <c r="B135" s="17"/>
      <c r="C135" s="14"/>
      <c r="D135" s="14"/>
      <c r="E135" s="15"/>
      <c r="F135" s="48"/>
      <c r="G135" s="17">
        <f>+E135</f>
        <v>0</v>
      </c>
      <c r="H135" s="20">
        <f t="shared" ref="H135" si="402">+AL135+AM135</f>
        <v>0</v>
      </c>
      <c r="I135" s="20">
        <f t="shared" ref="I135" si="403">+AC135+AD135</f>
        <v>0</v>
      </c>
      <c r="J135" s="14"/>
      <c r="K135" s="21">
        <f t="shared" ref="K135" si="404">+AF135</f>
        <v>0</v>
      </c>
      <c r="L135" s="20">
        <f t="shared" ref="L135" si="405">+AL135</f>
        <v>0</v>
      </c>
      <c r="M135" s="19" t="s">
        <v>55</v>
      </c>
      <c r="N135" s="15"/>
      <c r="O135" s="14"/>
      <c r="P135" s="15"/>
      <c r="Q135" s="19" t="s">
        <v>0</v>
      </c>
      <c r="R135" s="19"/>
      <c r="S135" s="20" t="str">
        <f t="shared" ref="S135" si="406">(RIGHT(O135,7))</f>
        <v/>
      </c>
      <c r="T135" s="15"/>
      <c r="U135" s="19" t="s">
        <v>53</v>
      </c>
      <c r="V135" s="19" t="s">
        <v>2</v>
      </c>
      <c r="W135" s="20">
        <f t="shared" ref="W135" si="407">+AK135</f>
        <v>0</v>
      </c>
      <c r="X135" s="20">
        <f t="shared" ref="X135" si="408">+AL135</f>
        <v>0</v>
      </c>
      <c r="Y135" s="18" t="s">
        <v>3</v>
      </c>
      <c r="Z135" s="22">
        <f t="shared" ref="Z135" si="409">+G135</f>
        <v>0</v>
      </c>
      <c r="AA135" s="18"/>
      <c r="AB135" s="20">
        <f t="shared" ref="AB135" si="410">(AC135*100)/18</f>
        <v>0</v>
      </c>
      <c r="AC135" s="49"/>
      <c r="AD135" s="49"/>
      <c r="AE135" s="20">
        <f t="shared" ref="AE135" si="411">+AB135+AC135+AD135</f>
        <v>0</v>
      </c>
      <c r="AF135" s="51"/>
      <c r="AG135" s="20">
        <f>+AB135*AF135</f>
        <v>0</v>
      </c>
      <c r="AH135" s="20">
        <f>+AC135*AF135</f>
        <v>0</v>
      </c>
      <c r="AI135" s="20">
        <f>+AD135*AF135</f>
        <v>0</v>
      </c>
      <c r="AJ135" s="20">
        <f>+AE135*AF135</f>
        <v>0</v>
      </c>
      <c r="AK135" s="20">
        <f t="shared" ref="AK135" si="412">+ROUND(AG135,2)</f>
        <v>0</v>
      </c>
      <c r="AL135" s="20">
        <f t="shared" ref="AL135" si="413">+ROUND(AH135,2)</f>
        <v>0</v>
      </c>
      <c r="AM135" s="20">
        <f>+ROUND(AI135,2)</f>
        <v>0</v>
      </c>
      <c r="AN135" s="20">
        <f t="shared" ref="AN135" si="414">+ROUND(AJ135,2)</f>
        <v>0</v>
      </c>
      <c r="AO135" s="20">
        <f>+AK135+AL135-AN135+AM135</f>
        <v>0</v>
      </c>
    </row>
    <row r="136" spans="1:41" ht="14.4" hidden="1" x14ac:dyDescent="0.3">
      <c r="A136" s="24"/>
      <c r="B136" s="24"/>
      <c r="C136" s="25"/>
      <c r="D136" s="25"/>
      <c r="E136" s="25"/>
      <c r="F136" s="25"/>
      <c r="G136" s="25"/>
      <c r="H136" s="26"/>
      <c r="I136" s="26"/>
      <c r="J136" s="25"/>
      <c r="K136" s="27"/>
      <c r="L136" s="26"/>
      <c r="M136" s="25"/>
      <c r="N136" s="25"/>
      <c r="O136" s="25"/>
      <c r="P136" s="25"/>
      <c r="Q136" s="25"/>
      <c r="R136" s="25"/>
      <c r="S136" s="26"/>
      <c r="T136" s="25"/>
      <c r="U136" s="25"/>
      <c r="V136" s="25"/>
      <c r="W136" s="26"/>
      <c r="X136" s="26"/>
      <c r="Y136" s="25"/>
      <c r="Z136" s="28"/>
      <c r="AA136" s="25"/>
      <c r="AB136" s="26"/>
      <c r="AC136" s="26"/>
      <c r="AD136" s="26"/>
      <c r="AE136" s="26"/>
      <c r="AF136" s="29"/>
      <c r="AG136" s="26"/>
      <c r="AH136" s="26"/>
      <c r="AI136" s="26"/>
      <c r="AJ136" s="26"/>
      <c r="AK136" s="26"/>
      <c r="AL136" s="26"/>
      <c r="AM136" s="26"/>
      <c r="AN136" s="26"/>
      <c r="AO136" s="26"/>
    </row>
    <row r="137" spans="1:41" ht="14.4" hidden="1" x14ac:dyDescent="0.3">
      <c r="A137" s="24"/>
      <c r="B137" s="24"/>
      <c r="C137" s="25"/>
      <c r="D137" s="25"/>
      <c r="E137" s="25"/>
      <c r="F137" s="25"/>
      <c r="G137" s="25"/>
      <c r="H137" s="26"/>
      <c r="I137" s="26"/>
      <c r="J137" s="25"/>
      <c r="K137" s="27"/>
      <c r="L137" s="26"/>
      <c r="M137" s="25"/>
      <c r="N137" s="25"/>
      <c r="O137" s="25"/>
      <c r="P137" s="25"/>
      <c r="Q137" s="25"/>
      <c r="R137" s="25"/>
      <c r="S137" s="26"/>
      <c r="T137" s="25"/>
      <c r="U137" s="25"/>
      <c r="V137" s="25"/>
      <c r="W137" s="26"/>
      <c r="X137" s="26"/>
      <c r="Y137" s="25"/>
      <c r="Z137" s="28"/>
      <c r="AA137" s="25"/>
      <c r="AB137" s="26"/>
      <c r="AC137" s="26"/>
      <c r="AD137" s="26"/>
      <c r="AE137" s="26"/>
      <c r="AF137" s="29"/>
      <c r="AG137" s="26"/>
      <c r="AH137" s="26"/>
      <c r="AI137" s="26"/>
      <c r="AJ137" s="26"/>
      <c r="AK137" s="26"/>
      <c r="AL137" s="26"/>
      <c r="AM137" s="26"/>
      <c r="AN137" s="26"/>
      <c r="AO137" s="26"/>
    </row>
    <row r="138" spans="1:41" ht="14.4" hidden="1" x14ac:dyDescent="0.3">
      <c r="A138" s="24"/>
      <c r="B138" s="24"/>
      <c r="C138" s="25"/>
      <c r="D138" s="25"/>
      <c r="E138" s="25"/>
      <c r="F138" s="25"/>
      <c r="G138" s="25"/>
      <c r="H138" s="26"/>
      <c r="I138" s="26"/>
      <c r="J138" s="25"/>
      <c r="K138" s="27"/>
      <c r="L138" s="26"/>
      <c r="M138" s="25"/>
      <c r="N138" s="25"/>
      <c r="O138" s="25"/>
      <c r="P138" s="25"/>
      <c r="Q138" s="25"/>
      <c r="R138" s="25"/>
      <c r="S138" s="26"/>
      <c r="T138" s="25"/>
      <c r="U138" s="25"/>
      <c r="V138" s="25"/>
      <c r="W138" s="26"/>
      <c r="X138" s="26"/>
      <c r="Y138" s="25"/>
      <c r="Z138" s="28"/>
      <c r="AA138" s="25"/>
      <c r="AB138" s="26"/>
      <c r="AC138" s="26"/>
      <c r="AD138" s="26"/>
      <c r="AE138" s="26"/>
      <c r="AF138" s="29"/>
      <c r="AG138" s="26"/>
      <c r="AH138" s="26"/>
      <c r="AI138" s="26"/>
      <c r="AJ138" s="26"/>
      <c r="AK138" s="26"/>
      <c r="AL138" s="26"/>
      <c r="AM138" s="26"/>
      <c r="AN138" s="26"/>
      <c r="AO138" s="26"/>
    </row>
    <row r="139" spans="1:41" ht="13.8" customHeight="1" x14ac:dyDescent="0.3">
      <c r="A139" s="16">
        <f t="shared" si="309"/>
        <v>35</v>
      </c>
      <c r="B139" s="17"/>
      <c r="C139" s="14"/>
      <c r="D139" s="14"/>
      <c r="E139" s="15"/>
      <c r="F139" s="48"/>
      <c r="G139" s="17">
        <f>+E139</f>
        <v>0</v>
      </c>
      <c r="H139" s="20">
        <f t="shared" ref="H139" si="415">+AL139+AM139</f>
        <v>0</v>
      </c>
      <c r="I139" s="20">
        <f t="shared" ref="I139" si="416">+AC139+AD139</f>
        <v>0</v>
      </c>
      <c r="J139" s="14"/>
      <c r="K139" s="21">
        <f t="shared" ref="K139" si="417">+AF139</f>
        <v>0</v>
      </c>
      <c r="L139" s="20">
        <f t="shared" ref="L139" si="418">+AL139</f>
        <v>0</v>
      </c>
      <c r="M139" s="19" t="s">
        <v>55</v>
      </c>
      <c r="N139" s="15"/>
      <c r="O139" s="14"/>
      <c r="P139" s="15"/>
      <c r="Q139" s="19" t="s">
        <v>0</v>
      </c>
      <c r="R139" s="19"/>
      <c r="S139" s="20" t="str">
        <f t="shared" ref="S139" si="419">(RIGHT(O139,7))</f>
        <v/>
      </c>
      <c r="T139" s="15"/>
      <c r="U139" s="19" t="s">
        <v>53</v>
      </c>
      <c r="V139" s="19" t="s">
        <v>2</v>
      </c>
      <c r="W139" s="20">
        <f t="shared" ref="W139" si="420">+AK139</f>
        <v>0</v>
      </c>
      <c r="X139" s="20">
        <f t="shared" ref="X139" si="421">+AL139</f>
        <v>0</v>
      </c>
      <c r="Y139" s="18" t="s">
        <v>3</v>
      </c>
      <c r="Z139" s="22">
        <f t="shared" ref="Z139" si="422">+G139</f>
        <v>0</v>
      </c>
      <c r="AA139" s="18"/>
      <c r="AB139" s="20">
        <f t="shared" ref="AB139" si="423">(AC139*100)/18</f>
        <v>0</v>
      </c>
      <c r="AC139" s="49"/>
      <c r="AD139" s="49"/>
      <c r="AE139" s="20">
        <f t="shared" ref="AE139" si="424">+AB139+AC139+AD139</f>
        <v>0</v>
      </c>
      <c r="AF139" s="51"/>
      <c r="AG139" s="20">
        <f>+AB139*AF139</f>
        <v>0</v>
      </c>
      <c r="AH139" s="20">
        <f>+AC139*AF139</f>
        <v>0</v>
      </c>
      <c r="AI139" s="20">
        <f>+AD139*AF139</f>
        <v>0</v>
      </c>
      <c r="AJ139" s="20">
        <f>+AE139*AF139</f>
        <v>0</v>
      </c>
      <c r="AK139" s="20">
        <f t="shared" ref="AK139" si="425">+ROUND(AG139,2)</f>
        <v>0</v>
      </c>
      <c r="AL139" s="20">
        <f t="shared" ref="AL139" si="426">+ROUND(AH139,2)</f>
        <v>0</v>
      </c>
      <c r="AM139" s="20">
        <f>+ROUND(AI139,2)</f>
        <v>0</v>
      </c>
      <c r="AN139" s="20">
        <f t="shared" ref="AN139" si="427">+ROUND(AJ139,2)</f>
        <v>0</v>
      </c>
      <c r="AO139" s="20">
        <f>+AK139+AL139-AN139+AM139</f>
        <v>0</v>
      </c>
    </row>
    <row r="140" spans="1:41" ht="14.4" hidden="1" x14ac:dyDescent="0.3">
      <c r="A140" s="24"/>
      <c r="B140" s="24"/>
      <c r="C140" s="25"/>
      <c r="D140" s="25"/>
      <c r="E140" s="25"/>
      <c r="F140" s="25"/>
      <c r="G140" s="25"/>
      <c r="H140" s="26"/>
      <c r="I140" s="26"/>
      <c r="J140" s="25"/>
      <c r="K140" s="27"/>
      <c r="L140" s="26"/>
      <c r="M140" s="25"/>
      <c r="N140" s="25"/>
      <c r="O140" s="25"/>
      <c r="P140" s="25"/>
      <c r="Q140" s="25"/>
      <c r="R140" s="25"/>
      <c r="S140" s="26"/>
      <c r="T140" s="25"/>
      <c r="U140" s="25"/>
      <c r="V140" s="25"/>
      <c r="W140" s="26"/>
      <c r="X140" s="26"/>
      <c r="Y140" s="25"/>
      <c r="Z140" s="28"/>
      <c r="AA140" s="25"/>
      <c r="AB140" s="26"/>
      <c r="AC140" s="26"/>
      <c r="AD140" s="26"/>
      <c r="AE140" s="26"/>
      <c r="AF140" s="29"/>
      <c r="AG140" s="26"/>
      <c r="AH140" s="26"/>
      <c r="AI140" s="26"/>
      <c r="AJ140" s="26"/>
      <c r="AK140" s="26"/>
      <c r="AL140" s="26"/>
      <c r="AM140" s="26"/>
      <c r="AN140" s="26"/>
      <c r="AO140" s="26"/>
    </row>
    <row r="141" spans="1:41" ht="14.4" hidden="1" x14ac:dyDescent="0.3">
      <c r="A141" s="24"/>
      <c r="B141" s="24"/>
      <c r="C141" s="25"/>
      <c r="D141" s="25"/>
      <c r="E141" s="25"/>
      <c r="F141" s="25"/>
      <c r="G141" s="25"/>
      <c r="H141" s="26"/>
      <c r="I141" s="26"/>
      <c r="J141" s="25"/>
      <c r="K141" s="27"/>
      <c r="L141" s="26"/>
      <c r="M141" s="25"/>
      <c r="N141" s="25"/>
      <c r="O141" s="25"/>
      <c r="P141" s="25"/>
      <c r="Q141" s="25"/>
      <c r="R141" s="25"/>
      <c r="S141" s="26"/>
      <c r="T141" s="25"/>
      <c r="U141" s="25"/>
      <c r="V141" s="25"/>
      <c r="W141" s="26"/>
      <c r="X141" s="26"/>
      <c r="Y141" s="25"/>
      <c r="Z141" s="28"/>
      <c r="AA141" s="25"/>
      <c r="AB141" s="26"/>
      <c r="AC141" s="26"/>
      <c r="AD141" s="26"/>
      <c r="AE141" s="26"/>
      <c r="AF141" s="29"/>
      <c r="AG141" s="26"/>
      <c r="AH141" s="26"/>
      <c r="AI141" s="26"/>
      <c r="AJ141" s="26"/>
      <c r="AK141" s="26"/>
      <c r="AL141" s="26"/>
      <c r="AM141" s="26"/>
      <c r="AN141" s="26"/>
      <c r="AO141" s="26"/>
    </row>
    <row r="142" spans="1:41" ht="14.4" hidden="1" x14ac:dyDescent="0.3">
      <c r="A142" s="24"/>
      <c r="B142" s="24"/>
      <c r="C142" s="25"/>
      <c r="D142" s="25"/>
      <c r="E142" s="25"/>
      <c r="F142" s="25"/>
      <c r="G142" s="25"/>
      <c r="H142" s="26"/>
      <c r="I142" s="26"/>
      <c r="J142" s="25"/>
      <c r="K142" s="27"/>
      <c r="L142" s="26"/>
      <c r="M142" s="25"/>
      <c r="N142" s="25"/>
      <c r="O142" s="25"/>
      <c r="P142" s="25"/>
      <c r="Q142" s="25"/>
      <c r="R142" s="25"/>
      <c r="S142" s="26"/>
      <c r="T142" s="25"/>
      <c r="U142" s="25"/>
      <c r="V142" s="25"/>
      <c r="W142" s="26"/>
      <c r="X142" s="26"/>
      <c r="Y142" s="25"/>
      <c r="Z142" s="28"/>
      <c r="AA142" s="25"/>
      <c r="AB142" s="26"/>
      <c r="AC142" s="26"/>
      <c r="AD142" s="26"/>
      <c r="AE142" s="26"/>
      <c r="AF142" s="29"/>
      <c r="AG142" s="26"/>
      <c r="AH142" s="26"/>
      <c r="AI142" s="26"/>
      <c r="AJ142" s="26"/>
      <c r="AK142" s="26"/>
      <c r="AL142" s="26"/>
      <c r="AM142" s="26"/>
      <c r="AN142" s="26"/>
      <c r="AO142" s="26"/>
    </row>
    <row r="143" spans="1:41" ht="13.8" customHeight="1" x14ac:dyDescent="0.3">
      <c r="A143" s="16">
        <f t="shared" si="323"/>
        <v>36</v>
      </c>
      <c r="B143" s="17"/>
      <c r="C143" s="14"/>
      <c r="D143" s="14"/>
      <c r="E143" s="15"/>
      <c r="F143" s="48"/>
      <c r="G143" s="17">
        <f>+E143</f>
        <v>0</v>
      </c>
      <c r="H143" s="20">
        <f t="shared" ref="H143" si="428">+AL143+AM143</f>
        <v>0</v>
      </c>
      <c r="I143" s="20">
        <f t="shared" ref="I143" si="429">+AC143+AD143</f>
        <v>0</v>
      </c>
      <c r="J143" s="14"/>
      <c r="K143" s="21">
        <f t="shared" ref="K143" si="430">+AF143</f>
        <v>0</v>
      </c>
      <c r="L143" s="20">
        <f t="shared" ref="L143" si="431">+AL143</f>
        <v>0</v>
      </c>
      <c r="M143" s="19" t="s">
        <v>55</v>
      </c>
      <c r="N143" s="15"/>
      <c r="O143" s="14"/>
      <c r="P143" s="15"/>
      <c r="Q143" s="19" t="s">
        <v>0</v>
      </c>
      <c r="R143" s="19"/>
      <c r="S143" s="20" t="str">
        <f t="shared" ref="S143" si="432">(RIGHT(O143,7))</f>
        <v/>
      </c>
      <c r="T143" s="15"/>
      <c r="U143" s="19" t="s">
        <v>53</v>
      </c>
      <c r="V143" s="19" t="s">
        <v>2</v>
      </c>
      <c r="W143" s="20">
        <f t="shared" ref="W143" si="433">+AK143</f>
        <v>0</v>
      </c>
      <c r="X143" s="20">
        <f t="shared" ref="X143" si="434">+AL143</f>
        <v>0</v>
      </c>
      <c r="Y143" s="18" t="s">
        <v>3</v>
      </c>
      <c r="Z143" s="22">
        <f t="shared" ref="Z143" si="435">+G143</f>
        <v>0</v>
      </c>
      <c r="AA143" s="18"/>
      <c r="AB143" s="20">
        <f t="shared" ref="AB143" si="436">(AC143*100)/18</f>
        <v>0</v>
      </c>
      <c r="AC143" s="49"/>
      <c r="AD143" s="49"/>
      <c r="AE143" s="20">
        <f t="shared" ref="AE143" si="437">+AB143+AC143+AD143</f>
        <v>0</v>
      </c>
      <c r="AF143" s="51"/>
      <c r="AG143" s="20">
        <f>+AB143*AF143</f>
        <v>0</v>
      </c>
      <c r="AH143" s="20">
        <f>+AC143*AF143</f>
        <v>0</v>
      </c>
      <c r="AI143" s="20">
        <f>+AD143*AF143</f>
        <v>0</v>
      </c>
      <c r="AJ143" s="20">
        <f>+AE143*AF143</f>
        <v>0</v>
      </c>
      <c r="AK143" s="20">
        <f t="shared" ref="AK143" si="438">+ROUND(AG143,2)</f>
        <v>0</v>
      </c>
      <c r="AL143" s="20">
        <f t="shared" ref="AL143" si="439">+ROUND(AH143,2)</f>
        <v>0</v>
      </c>
      <c r="AM143" s="20">
        <f>+ROUND(AI143,2)</f>
        <v>0</v>
      </c>
      <c r="AN143" s="20">
        <f t="shared" ref="AN143" si="440">+ROUND(AJ143,2)</f>
        <v>0</v>
      </c>
      <c r="AO143" s="20">
        <f>+AK143+AL143-AN143+AM143</f>
        <v>0</v>
      </c>
    </row>
    <row r="144" spans="1:41" ht="14.4" hidden="1" x14ac:dyDescent="0.3">
      <c r="A144" s="24"/>
      <c r="B144" s="24"/>
      <c r="C144" s="25"/>
      <c r="D144" s="25"/>
      <c r="E144" s="25"/>
      <c r="F144" s="25"/>
      <c r="G144" s="25"/>
      <c r="H144" s="26"/>
      <c r="I144" s="26"/>
      <c r="J144" s="25"/>
      <c r="K144" s="27"/>
      <c r="L144" s="26"/>
      <c r="M144" s="25"/>
      <c r="N144" s="25"/>
      <c r="O144" s="25"/>
      <c r="P144" s="25"/>
      <c r="Q144" s="25"/>
      <c r="R144" s="25"/>
      <c r="S144" s="26"/>
      <c r="T144" s="25"/>
      <c r="U144" s="25"/>
      <c r="V144" s="25"/>
      <c r="W144" s="26"/>
      <c r="X144" s="26"/>
      <c r="Y144" s="25"/>
      <c r="Z144" s="28"/>
      <c r="AA144" s="25"/>
      <c r="AB144" s="26"/>
      <c r="AC144" s="26"/>
      <c r="AD144" s="26"/>
      <c r="AE144" s="26"/>
      <c r="AF144" s="29"/>
      <c r="AG144" s="26"/>
      <c r="AH144" s="26"/>
      <c r="AI144" s="26"/>
      <c r="AJ144" s="26"/>
      <c r="AK144" s="26"/>
      <c r="AL144" s="26"/>
      <c r="AM144" s="26"/>
      <c r="AN144" s="26"/>
      <c r="AO144" s="26"/>
    </row>
    <row r="145" spans="1:41" ht="14.4" hidden="1" x14ac:dyDescent="0.3">
      <c r="A145" s="24"/>
      <c r="B145" s="24"/>
      <c r="C145" s="25"/>
      <c r="D145" s="25"/>
      <c r="E145" s="25"/>
      <c r="F145" s="25"/>
      <c r="G145" s="25"/>
      <c r="H145" s="26"/>
      <c r="I145" s="26"/>
      <c r="J145" s="25"/>
      <c r="K145" s="27"/>
      <c r="L145" s="26"/>
      <c r="M145" s="25"/>
      <c r="N145" s="25"/>
      <c r="O145" s="25"/>
      <c r="P145" s="25"/>
      <c r="Q145" s="25"/>
      <c r="R145" s="25"/>
      <c r="S145" s="26"/>
      <c r="T145" s="25"/>
      <c r="U145" s="25"/>
      <c r="V145" s="25"/>
      <c r="W145" s="26"/>
      <c r="X145" s="26"/>
      <c r="Y145" s="25"/>
      <c r="Z145" s="28"/>
      <c r="AA145" s="25"/>
      <c r="AB145" s="26"/>
      <c r="AC145" s="26"/>
      <c r="AD145" s="26"/>
      <c r="AE145" s="26"/>
      <c r="AF145" s="29"/>
      <c r="AG145" s="26"/>
      <c r="AH145" s="26"/>
      <c r="AI145" s="26"/>
      <c r="AJ145" s="26"/>
      <c r="AK145" s="26"/>
      <c r="AL145" s="26"/>
      <c r="AM145" s="26"/>
      <c r="AN145" s="26"/>
      <c r="AO145" s="26"/>
    </row>
    <row r="146" spans="1:41" ht="14.4" hidden="1" x14ac:dyDescent="0.3">
      <c r="A146" s="24"/>
      <c r="B146" s="24"/>
      <c r="C146" s="25"/>
      <c r="D146" s="25"/>
      <c r="E146" s="25"/>
      <c r="F146" s="25"/>
      <c r="G146" s="25"/>
      <c r="H146" s="26"/>
      <c r="I146" s="26"/>
      <c r="J146" s="25"/>
      <c r="K146" s="27"/>
      <c r="L146" s="26"/>
      <c r="M146" s="25"/>
      <c r="N146" s="25"/>
      <c r="O146" s="25"/>
      <c r="P146" s="25"/>
      <c r="Q146" s="25"/>
      <c r="R146" s="25"/>
      <c r="S146" s="26"/>
      <c r="T146" s="25"/>
      <c r="U146" s="25"/>
      <c r="V146" s="25"/>
      <c r="W146" s="26"/>
      <c r="X146" s="26"/>
      <c r="Y146" s="25"/>
      <c r="Z146" s="28"/>
      <c r="AA146" s="25"/>
      <c r="AB146" s="26"/>
      <c r="AC146" s="26"/>
      <c r="AD146" s="26"/>
      <c r="AE146" s="26"/>
      <c r="AF146" s="29"/>
      <c r="AG146" s="26"/>
      <c r="AH146" s="26"/>
      <c r="AI146" s="26"/>
      <c r="AJ146" s="26"/>
      <c r="AK146" s="26"/>
      <c r="AL146" s="26"/>
      <c r="AM146" s="26"/>
      <c r="AN146" s="26"/>
      <c r="AO146" s="26"/>
    </row>
    <row r="147" spans="1:41" ht="13.8" customHeight="1" x14ac:dyDescent="0.3">
      <c r="A147" s="16">
        <f t="shared" si="309"/>
        <v>37</v>
      </c>
      <c r="B147" s="17"/>
      <c r="C147" s="14"/>
      <c r="D147" s="14"/>
      <c r="E147" s="15"/>
      <c r="F147" s="48"/>
      <c r="G147" s="17">
        <f>+E147</f>
        <v>0</v>
      </c>
      <c r="H147" s="20">
        <f t="shared" ref="H147" si="441">+AL147+AM147</f>
        <v>0</v>
      </c>
      <c r="I147" s="20">
        <f t="shared" ref="I147" si="442">+AC147+AD147</f>
        <v>0</v>
      </c>
      <c r="J147" s="14"/>
      <c r="K147" s="21">
        <f t="shared" ref="K147" si="443">+AF147</f>
        <v>0</v>
      </c>
      <c r="L147" s="20">
        <f t="shared" ref="L147" si="444">+AL147</f>
        <v>0</v>
      </c>
      <c r="M147" s="19" t="s">
        <v>55</v>
      </c>
      <c r="N147" s="15"/>
      <c r="O147" s="14"/>
      <c r="P147" s="15"/>
      <c r="Q147" s="19" t="s">
        <v>0</v>
      </c>
      <c r="R147" s="19"/>
      <c r="S147" s="20" t="str">
        <f t="shared" ref="S147" si="445">(RIGHT(O147,7))</f>
        <v/>
      </c>
      <c r="T147" s="15"/>
      <c r="U147" s="19" t="s">
        <v>53</v>
      </c>
      <c r="V147" s="19" t="s">
        <v>2</v>
      </c>
      <c r="W147" s="20">
        <f t="shared" ref="W147" si="446">+AK147</f>
        <v>0</v>
      </c>
      <c r="X147" s="20">
        <f t="shared" ref="X147" si="447">+AL147</f>
        <v>0</v>
      </c>
      <c r="Y147" s="18" t="s">
        <v>3</v>
      </c>
      <c r="Z147" s="22">
        <f t="shared" ref="Z147" si="448">+G147</f>
        <v>0</v>
      </c>
      <c r="AA147" s="18"/>
      <c r="AB147" s="20">
        <f t="shared" ref="AB147" si="449">(AC147*100)/18</f>
        <v>0</v>
      </c>
      <c r="AC147" s="49"/>
      <c r="AD147" s="49"/>
      <c r="AE147" s="20">
        <f t="shared" ref="AE147" si="450">+AB147+AC147+AD147</f>
        <v>0</v>
      </c>
      <c r="AF147" s="51"/>
      <c r="AG147" s="20">
        <f>+AB147*AF147</f>
        <v>0</v>
      </c>
      <c r="AH147" s="20">
        <f>+AC147*AF147</f>
        <v>0</v>
      </c>
      <c r="AI147" s="20">
        <f>+AD147*AF147</f>
        <v>0</v>
      </c>
      <c r="AJ147" s="20">
        <f>+AE147*AF147</f>
        <v>0</v>
      </c>
      <c r="AK147" s="20">
        <f t="shared" ref="AK147" si="451">+ROUND(AG147,2)</f>
        <v>0</v>
      </c>
      <c r="AL147" s="20">
        <f t="shared" ref="AL147" si="452">+ROUND(AH147,2)</f>
        <v>0</v>
      </c>
      <c r="AM147" s="20">
        <f>+ROUND(AI147,2)</f>
        <v>0</v>
      </c>
      <c r="AN147" s="20">
        <f t="shared" ref="AN147" si="453">+ROUND(AJ147,2)</f>
        <v>0</v>
      </c>
      <c r="AO147" s="20">
        <f>+AK147+AL147-AN147+AM147</f>
        <v>0</v>
      </c>
    </row>
    <row r="148" spans="1:41" ht="14.4" hidden="1" x14ac:dyDescent="0.3">
      <c r="A148" s="24"/>
      <c r="B148" s="24"/>
      <c r="C148" s="25"/>
      <c r="D148" s="25"/>
      <c r="E148" s="25"/>
      <c r="F148" s="25"/>
      <c r="G148" s="25"/>
      <c r="H148" s="26"/>
      <c r="I148" s="26"/>
      <c r="J148" s="25"/>
      <c r="K148" s="27"/>
      <c r="L148" s="26"/>
      <c r="M148" s="25"/>
      <c r="N148" s="25"/>
      <c r="O148" s="25"/>
      <c r="P148" s="25"/>
      <c r="Q148" s="25"/>
      <c r="R148" s="25"/>
      <c r="S148" s="26"/>
      <c r="T148" s="25"/>
      <c r="U148" s="25"/>
      <c r="V148" s="25"/>
      <c r="W148" s="26"/>
      <c r="X148" s="26"/>
      <c r="Y148" s="25"/>
      <c r="Z148" s="28"/>
      <c r="AA148" s="25"/>
      <c r="AB148" s="26"/>
      <c r="AC148" s="26"/>
      <c r="AD148" s="26"/>
      <c r="AE148" s="26"/>
      <c r="AF148" s="29"/>
      <c r="AG148" s="26"/>
      <c r="AH148" s="26"/>
      <c r="AI148" s="26"/>
      <c r="AJ148" s="26"/>
      <c r="AK148" s="26"/>
      <c r="AL148" s="26"/>
      <c r="AM148" s="26"/>
      <c r="AN148" s="26"/>
      <c r="AO148" s="26"/>
    </row>
    <row r="149" spans="1:41" ht="14.4" hidden="1" x14ac:dyDescent="0.3">
      <c r="A149" s="24"/>
      <c r="B149" s="24"/>
      <c r="C149" s="25"/>
      <c r="D149" s="25"/>
      <c r="E149" s="25"/>
      <c r="F149" s="25"/>
      <c r="G149" s="25"/>
      <c r="H149" s="26"/>
      <c r="I149" s="26"/>
      <c r="J149" s="25"/>
      <c r="K149" s="27"/>
      <c r="L149" s="26"/>
      <c r="M149" s="25"/>
      <c r="N149" s="25"/>
      <c r="O149" s="25"/>
      <c r="P149" s="25"/>
      <c r="Q149" s="25"/>
      <c r="R149" s="25"/>
      <c r="S149" s="26"/>
      <c r="T149" s="25"/>
      <c r="U149" s="25"/>
      <c r="V149" s="25"/>
      <c r="W149" s="26"/>
      <c r="X149" s="26"/>
      <c r="Y149" s="25"/>
      <c r="Z149" s="28"/>
      <c r="AA149" s="25"/>
      <c r="AB149" s="26"/>
      <c r="AC149" s="26"/>
      <c r="AD149" s="26"/>
      <c r="AE149" s="26"/>
      <c r="AF149" s="29"/>
      <c r="AG149" s="26"/>
      <c r="AH149" s="26"/>
      <c r="AI149" s="26"/>
      <c r="AJ149" s="26"/>
      <c r="AK149" s="26"/>
      <c r="AL149" s="26"/>
      <c r="AM149" s="26"/>
      <c r="AN149" s="26"/>
      <c r="AO149" s="26"/>
    </row>
    <row r="150" spans="1:41" ht="14.4" hidden="1" x14ac:dyDescent="0.3">
      <c r="A150" s="24"/>
      <c r="B150" s="24"/>
      <c r="C150" s="25"/>
      <c r="D150" s="25"/>
      <c r="E150" s="25"/>
      <c r="F150" s="25"/>
      <c r="G150" s="25"/>
      <c r="H150" s="26"/>
      <c r="I150" s="26"/>
      <c r="J150" s="25"/>
      <c r="K150" s="27"/>
      <c r="L150" s="26"/>
      <c r="M150" s="25"/>
      <c r="N150" s="25"/>
      <c r="O150" s="25"/>
      <c r="P150" s="25"/>
      <c r="Q150" s="25"/>
      <c r="R150" s="25"/>
      <c r="S150" s="26"/>
      <c r="T150" s="25"/>
      <c r="U150" s="25"/>
      <c r="V150" s="25"/>
      <c r="W150" s="26"/>
      <c r="X150" s="26"/>
      <c r="Y150" s="25"/>
      <c r="Z150" s="28"/>
      <c r="AA150" s="25"/>
      <c r="AB150" s="26"/>
      <c r="AC150" s="26"/>
      <c r="AD150" s="26"/>
      <c r="AE150" s="26"/>
      <c r="AF150" s="29"/>
      <c r="AG150" s="26"/>
      <c r="AH150" s="26"/>
      <c r="AI150" s="26"/>
      <c r="AJ150" s="26"/>
      <c r="AK150" s="26"/>
      <c r="AL150" s="26"/>
      <c r="AM150" s="26"/>
      <c r="AN150" s="26"/>
      <c r="AO150" s="26"/>
    </row>
    <row r="151" spans="1:41" ht="13.8" customHeight="1" x14ac:dyDescent="0.3">
      <c r="A151" s="16">
        <f t="shared" si="323"/>
        <v>38</v>
      </c>
      <c r="B151" s="17"/>
      <c r="C151" s="14"/>
      <c r="D151" s="14"/>
      <c r="E151" s="15"/>
      <c r="F151" s="48"/>
      <c r="G151" s="17">
        <f>+E151</f>
        <v>0</v>
      </c>
      <c r="H151" s="20">
        <f t="shared" ref="H151" si="454">+AL151+AM151</f>
        <v>0</v>
      </c>
      <c r="I151" s="20">
        <f t="shared" ref="I151" si="455">+AC151+AD151</f>
        <v>0</v>
      </c>
      <c r="J151" s="14"/>
      <c r="K151" s="21">
        <f t="shared" ref="K151" si="456">+AF151</f>
        <v>0</v>
      </c>
      <c r="L151" s="20">
        <f t="shared" ref="L151" si="457">+AL151</f>
        <v>0</v>
      </c>
      <c r="M151" s="19" t="s">
        <v>55</v>
      </c>
      <c r="N151" s="15"/>
      <c r="O151" s="14"/>
      <c r="P151" s="15"/>
      <c r="Q151" s="19" t="s">
        <v>0</v>
      </c>
      <c r="R151" s="19"/>
      <c r="S151" s="20" t="str">
        <f t="shared" ref="S151" si="458">(RIGHT(O151,7))</f>
        <v/>
      </c>
      <c r="T151" s="15"/>
      <c r="U151" s="19" t="s">
        <v>53</v>
      </c>
      <c r="V151" s="19" t="s">
        <v>2</v>
      </c>
      <c r="W151" s="20">
        <f t="shared" ref="W151" si="459">+AK151</f>
        <v>0</v>
      </c>
      <c r="X151" s="20">
        <f t="shared" ref="X151" si="460">+AL151</f>
        <v>0</v>
      </c>
      <c r="Y151" s="18" t="s">
        <v>3</v>
      </c>
      <c r="Z151" s="22">
        <f t="shared" ref="Z151" si="461">+G151</f>
        <v>0</v>
      </c>
      <c r="AA151" s="18"/>
      <c r="AB151" s="20">
        <f t="shared" ref="AB151" si="462">(AC151*100)/18</f>
        <v>0</v>
      </c>
      <c r="AC151" s="49"/>
      <c r="AD151" s="49"/>
      <c r="AE151" s="20">
        <f t="shared" ref="AE151" si="463">+AB151+AC151+AD151</f>
        <v>0</v>
      </c>
      <c r="AF151" s="51"/>
      <c r="AG151" s="20">
        <f>+AB151*AF151</f>
        <v>0</v>
      </c>
      <c r="AH151" s="20">
        <f>+AC151*AF151</f>
        <v>0</v>
      </c>
      <c r="AI151" s="20">
        <f>+AD151*AF151</f>
        <v>0</v>
      </c>
      <c r="AJ151" s="20">
        <f>+AE151*AF151</f>
        <v>0</v>
      </c>
      <c r="AK151" s="20">
        <f t="shared" ref="AK151" si="464">+ROUND(AG151,2)</f>
        <v>0</v>
      </c>
      <c r="AL151" s="20">
        <f t="shared" ref="AL151" si="465">+ROUND(AH151,2)</f>
        <v>0</v>
      </c>
      <c r="AM151" s="20">
        <f>+ROUND(AI151,2)</f>
        <v>0</v>
      </c>
      <c r="AN151" s="20">
        <f t="shared" ref="AN151" si="466">+ROUND(AJ151,2)</f>
        <v>0</v>
      </c>
      <c r="AO151" s="20">
        <f>+AK151+AL151-AN151+AM151</f>
        <v>0</v>
      </c>
    </row>
    <row r="152" spans="1:41" ht="14.4" hidden="1" x14ac:dyDescent="0.3">
      <c r="A152" s="24"/>
      <c r="B152" s="24"/>
      <c r="C152" s="25"/>
      <c r="D152" s="25"/>
      <c r="E152" s="25"/>
      <c r="F152" s="25"/>
      <c r="G152" s="25"/>
      <c r="H152" s="26"/>
      <c r="I152" s="26"/>
      <c r="J152" s="25"/>
      <c r="K152" s="27"/>
      <c r="L152" s="26"/>
      <c r="M152" s="25"/>
      <c r="N152" s="25"/>
      <c r="O152" s="25"/>
      <c r="P152" s="25"/>
      <c r="Q152" s="25"/>
      <c r="R152" s="25"/>
      <c r="S152" s="26"/>
      <c r="T152" s="25"/>
      <c r="U152" s="25"/>
      <c r="V152" s="25"/>
      <c r="W152" s="26"/>
      <c r="X152" s="26"/>
      <c r="Y152" s="25"/>
      <c r="Z152" s="28"/>
      <c r="AA152" s="25"/>
      <c r="AB152" s="26"/>
      <c r="AC152" s="26"/>
      <c r="AD152" s="26"/>
      <c r="AE152" s="26"/>
      <c r="AF152" s="29"/>
      <c r="AG152" s="26"/>
      <c r="AH152" s="26"/>
      <c r="AI152" s="26"/>
      <c r="AJ152" s="26"/>
      <c r="AK152" s="26"/>
      <c r="AL152" s="26"/>
      <c r="AM152" s="26"/>
      <c r="AN152" s="26"/>
      <c r="AO152" s="26"/>
    </row>
    <row r="153" spans="1:41" ht="14.4" hidden="1" x14ac:dyDescent="0.3">
      <c r="A153" s="24"/>
      <c r="B153" s="24"/>
      <c r="C153" s="25"/>
      <c r="D153" s="25"/>
      <c r="E153" s="25"/>
      <c r="F153" s="25"/>
      <c r="G153" s="25"/>
      <c r="H153" s="26"/>
      <c r="I153" s="26"/>
      <c r="J153" s="25"/>
      <c r="K153" s="27"/>
      <c r="L153" s="26"/>
      <c r="M153" s="25"/>
      <c r="N153" s="25"/>
      <c r="O153" s="25"/>
      <c r="P153" s="25"/>
      <c r="Q153" s="25"/>
      <c r="R153" s="25"/>
      <c r="S153" s="26"/>
      <c r="T153" s="25"/>
      <c r="U153" s="25"/>
      <c r="V153" s="25"/>
      <c r="W153" s="26"/>
      <c r="X153" s="26"/>
      <c r="Y153" s="25"/>
      <c r="Z153" s="28"/>
      <c r="AA153" s="25"/>
      <c r="AB153" s="26"/>
      <c r="AC153" s="26"/>
      <c r="AD153" s="26"/>
      <c r="AE153" s="26"/>
      <c r="AF153" s="29"/>
      <c r="AG153" s="26"/>
      <c r="AH153" s="26"/>
      <c r="AI153" s="26"/>
      <c r="AJ153" s="26"/>
      <c r="AK153" s="26"/>
      <c r="AL153" s="26"/>
      <c r="AM153" s="26"/>
      <c r="AN153" s="26"/>
      <c r="AO153" s="26"/>
    </row>
    <row r="154" spans="1:41" ht="14.4" hidden="1" x14ac:dyDescent="0.3">
      <c r="A154" s="24"/>
      <c r="B154" s="24"/>
      <c r="C154" s="25"/>
      <c r="D154" s="25"/>
      <c r="E154" s="25"/>
      <c r="F154" s="25"/>
      <c r="G154" s="25"/>
      <c r="H154" s="26"/>
      <c r="I154" s="26"/>
      <c r="J154" s="25"/>
      <c r="K154" s="27"/>
      <c r="L154" s="26"/>
      <c r="M154" s="25"/>
      <c r="N154" s="25"/>
      <c r="O154" s="25"/>
      <c r="P154" s="25"/>
      <c r="Q154" s="25"/>
      <c r="R154" s="25"/>
      <c r="S154" s="26"/>
      <c r="T154" s="25"/>
      <c r="U154" s="25"/>
      <c r="V154" s="25"/>
      <c r="W154" s="26"/>
      <c r="X154" s="26"/>
      <c r="Y154" s="25"/>
      <c r="Z154" s="28"/>
      <c r="AA154" s="25"/>
      <c r="AB154" s="26"/>
      <c r="AC154" s="26"/>
      <c r="AD154" s="26"/>
      <c r="AE154" s="26"/>
      <c r="AF154" s="29"/>
      <c r="AG154" s="26"/>
      <c r="AH154" s="26"/>
      <c r="AI154" s="26"/>
      <c r="AJ154" s="26"/>
      <c r="AK154" s="26"/>
      <c r="AL154" s="26"/>
      <c r="AM154" s="26"/>
      <c r="AN154" s="26"/>
      <c r="AO154" s="26"/>
    </row>
    <row r="155" spans="1:41" ht="13.8" customHeight="1" x14ac:dyDescent="0.3">
      <c r="A155" s="16">
        <f t="shared" si="309"/>
        <v>39</v>
      </c>
      <c r="B155" s="17"/>
      <c r="C155" s="14"/>
      <c r="D155" s="14"/>
      <c r="E155" s="15"/>
      <c r="F155" s="48"/>
      <c r="G155" s="17">
        <f>+E155</f>
        <v>0</v>
      </c>
      <c r="H155" s="20">
        <f t="shared" ref="H155" si="467">+AL155+AM155</f>
        <v>0</v>
      </c>
      <c r="I155" s="20">
        <f t="shared" ref="I155" si="468">+AC155+AD155</f>
        <v>0</v>
      </c>
      <c r="J155" s="14"/>
      <c r="K155" s="21">
        <f t="shared" ref="K155" si="469">+AF155</f>
        <v>0</v>
      </c>
      <c r="L155" s="20">
        <f t="shared" ref="L155" si="470">+AL155</f>
        <v>0</v>
      </c>
      <c r="M155" s="19" t="s">
        <v>55</v>
      </c>
      <c r="N155" s="15"/>
      <c r="O155" s="14"/>
      <c r="P155" s="15"/>
      <c r="Q155" s="19" t="s">
        <v>0</v>
      </c>
      <c r="R155" s="19"/>
      <c r="S155" s="20" t="str">
        <f t="shared" ref="S155" si="471">(RIGHT(O155,7))</f>
        <v/>
      </c>
      <c r="T155" s="15"/>
      <c r="U155" s="19" t="s">
        <v>53</v>
      </c>
      <c r="V155" s="19" t="s">
        <v>2</v>
      </c>
      <c r="W155" s="20">
        <f t="shared" ref="W155" si="472">+AK155</f>
        <v>0</v>
      </c>
      <c r="X155" s="20">
        <f t="shared" ref="X155" si="473">+AL155</f>
        <v>0</v>
      </c>
      <c r="Y155" s="18" t="s">
        <v>3</v>
      </c>
      <c r="Z155" s="22">
        <f t="shared" ref="Z155" si="474">+G155</f>
        <v>0</v>
      </c>
      <c r="AA155" s="18"/>
      <c r="AB155" s="20">
        <f t="shared" ref="AB155" si="475">(AC155*100)/18</f>
        <v>0</v>
      </c>
      <c r="AC155" s="49"/>
      <c r="AD155" s="49"/>
      <c r="AE155" s="20">
        <f t="shared" ref="AE155" si="476">+AB155+AC155+AD155</f>
        <v>0</v>
      </c>
      <c r="AF155" s="51"/>
      <c r="AG155" s="20">
        <f>+AB155*AF155</f>
        <v>0</v>
      </c>
      <c r="AH155" s="20">
        <f>+AC155*AF155</f>
        <v>0</v>
      </c>
      <c r="AI155" s="20">
        <f>+AD155*AF155</f>
        <v>0</v>
      </c>
      <c r="AJ155" s="20">
        <f>+AE155*AF155</f>
        <v>0</v>
      </c>
      <c r="AK155" s="20">
        <f t="shared" ref="AK155" si="477">+ROUND(AG155,2)</f>
        <v>0</v>
      </c>
      <c r="AL155" s="20">
        <f t="shared" ref="AL155" si="478">+ROUND(AH155,2)</f>
        <v>0</v>
      </c>
      <c r="AM155" s="20">
        <f>+ROUND(AI155,2)</f>
        <v>0</v>
      </c>
      <c r="AN155" s="20">
        <f t="shared" ref="AN155" si="479">+ROUND(AJ155,2)</f>
        <v>0</v>
      </c>
      <c r="AO155" s="20">
        <f>+AK155+AL155-AN155+AM155</f>
        <v>0</v>
      </c>
    </row>
    <row r="156" spans="1:41" ht="14.4" hidden="1" x14ac:dyDescent="0.3">
      <c r="A156" s="24"/>
      <c r="B156" s="24"/>
      <c r="C156" s="25"/>
      <c r="D156" s="25"/>
      <c r="E156" s="25"/>
      <c r="F156" s="25"/>
      <c r="G156" s="25"/>
      <c r="H156" s="26"/>
      <c r="I156" s="26"/>
      <c r="J156" s="25"/>
      <c r="K156" s="27"/>
      <c r="L156" s="26"/>
      <c r="M156" s="25"/>
      <c r="N156" s="25"/>
      <c r="O156" s="25"/>
      <c r="P156" s="25"/>
      <c r="Q156" s="25"/>
      <c r="R156" s="25"/>
      <c r="S156" s="26"/>
      <c r="T156" s="25"/>
      <c r="U156" s="25"/>
      <c r="V156" s="25"/>
      <c r="W156" s="26"/>
      <c r="X156" s="26"/>
      <c r="Y156" s="25"/>
      <c r="Z156" s="28"/>
      <c r="AA156" s="25"/>
      <c r="AB156" s="26"/>
      <c r="AC156" s="26"/>
      <c r="AD156" s="26"/>
      <c r="AE156" s="26"/>
      <c r="AF156" s="29"/>
      <c r="AG156" s="26"/>
      <c r="AH156" s="26"/>
      <c r="AI156" s="26"/>
      <c r="AJ156" s="26"/>
      <c r="AK156" s="26"/>
      <c r="AL156" s="26"/>
      <c r="AM156" s="26"/>
      <c r="AN156" s="26"/>
      <c r="AO156" s="26"/>
    </row>
    <row r="157" spans="1:41" ht="14.4" hidden="1" x14ac:dyDescent="0.3">
      <c r="A157" s="24"/>
      <c r="B157" s="24"/>
      <c r="C157" s="25"/>
      <c r="D157" s="25"/>
      <c r="E157" s="25"/>
      <c r="F157" s="25"/>
      <c r="G157" s="25"/>
      <c r="H157" s="26"/>
      <c r="I157" s="26"/>
      <c r="J157" s="25"/>
      <c r="K157" s="27"/>
      <c r="L157" s="26"/>
      <c r="M157" s="25"/>
      <c r="N157" s="25"/>
      <c r="O157" s="25"/>
      <c r="P157" s="25"/>
      <c r="Q157" s="25"/>
      <c r="R157" s="25"/>
      <c r="S157" s="26"/>
      <c r="T157" s="25"/>
      <c r="U157" s="25"/>
      <c r="V157" s="25"/>
      <c r="W157" s="26"/>
      <c r="X157" s="26"/>
      <c r="Y157" s="25"/>
      <c r="Z157" s="28"/>
      <c r="AA157" s="25"/>
      <c r="AB157" s="26"/>
      <c r="AC157" s="26"/>
      <c r="AD157" s="26"/>
      <c r="AE157" s="26"/>
      <c r="AF157" s="29"/>
      <c r="AG157" s="26"/>
      <c r="AH157" s="26"/>
      <c r="AI157" s="26"/>
      <c r="AJ157" s="26"/>
      <c r="AK157" s="26"/>
      <c r="AL157" s="26"/>
      <c r="AM157" s="26"/>
      <c r="AN157" s="26"/>
      <c r="AO157" s="26"/>
    </row>
    <row r="158" spans="1:41" ht="14.4" hidden="1" x14ac:dyDescent="0.3">
      <c r="A158" s="24"/>
      <c r="B158" s="24"/>
      <c r="C158" s="25"/>
      <c r="D158" s="25"/>
      <c r="E158" s="25"/>
      <c r="F158" s="25"/>
      <c r="G158" s="25"/>
      <c r="H158" s="26"/>
      <c r="I158" s="26"/>
      <c r="J158" s="25"/>
      <c r="K158" s="27"/>
      <c r="L158" s="26"/>
      <c r="M158" s="25"/>
      <c r="N158" s="25"/>
      <c r="O158" s="25"/>
      <c r="P158" s="25"/>
      <c r="Q158" s="25"/>
      <c r="R158" s="25"/>
      <c r="S158" s="26"/>
      <c r="T158" s="25"/>
      <c r="U158" s="25"/>
      <c r="V158" s="25"/>
      <c r="W158" s="26"/>
      <c r="X158" s="26"/>
      <c r="Y158" s="25"/>
      <c r="Z158" s="28"/>
      <c r="AA158" s="25"/>
      <c r="AB158" s="26"/>
      <c r="AC158" s="26"/>
      <c r="AD158" s="26"/>
      <c r="AE158" s="26"/>
      <c r="AF158" s="29"/>
      <c r="AG158" s="26"/>
      <c r="AH158" s="26"/>
      <c r="AI158" s="26"/>
      <c r="AJ158" s="26"/>
      <c r="AK158" s="26"/>
      <c r="AL158" s="26"/>
      <c r="AM158" s="26"/>
      <c r="AN158" s="26"/>
      <c r="AO158" s="26"/>
    </row>
    <row r="159" spans="1:41" ht="13.8" customHeight="1" x14ac:dyDescent="0.3">
      <c r="A159" s="16">
        <f t="shared" si="323"/>
        <v>40</v>
      </c>
      <c r="B159" s="17"/>
      <c r="C159" s="14"/>
      <c r="D159" s="14"/>
      <c r="E159" s="15"/>
      <c r="F159" s="48"/>
      <c r="G159" s="17">
        <f>+E159</f>
        <v>0</v>
      </c>
      <c r="H159" s="20">
        <f t="shared" ref="H159" si="480">+AL159+AM159</f>
        <v>0</v>
      </c>
      <c r="I159" s="20">
        <f t="shared" ref="I159" si="481">+AC159+AD159</f>
        <v>0</v>
      </c>
      <c r="J159" s="14"/>
      <c r="K159" s="21">
        <f t="shared" ref="K159" si="482">+AF159</f>
        <v>0</v>
      </c>
      <c r="L159" s="20">
        <f t="shared" ref="L159" si="483">+AL159</f>
        <v>0</v>
      </c>
      <c r="M159" s="19" t="s">
        <v>55</v>
      </c>
      <c r="N159" s="15"/>
      <c r="O159" s="14"/>
      <c r="P159" s="15"/>
      <c r="Q159" s="19" t="s">
        <v>0</v>
      </c>
      <c r="R159" s="19"/>
      <c r="S159" s="20" t="str">
        <f t="shared" ref="S159" si="484">(RIGHT(O159,7))</f>
        <v/>
      </c>
      <c r="T159" s="15"/>
      <c r="U159" s="19" t="s">
        <v>53</v>
      </c>
      <c r="V159" s="19" t="s">
        <v>2</v>
      </c>
      <c r="W159" s="20">
        <f t="shared" ref="W159" si="485">+AK159</f>
        <v>0</v>
      </c>
      <c r="X159" s="20">
        <f t="shared" ref="X159" si="486">+AL159</f>
        <v>0</v>
      </c>
      <c r="Y159" s="18" t="s">
        <v>3</v>
      </c>
      <c r="Z159" s="22">
        <f t="shared" ref="Z159" si="487">+G159</f>
        <v>0</v>
      </c>
      <c r="AA159" s="18"/>
      <c r="AB159" s="20">
        <f t="shared" ref="AB159" si="488">(AC159*100)/18</f>
        <v>0</v>
      </c>
      <c r="AC159" s="49"/>
      <c r="AD159" s="49"/>
      <c r="AE159" s="20">
        <f t="shared" ref="AE159" si="489">+AB159+AC159+AD159</f>
        <v>0</v>
      </c>
      <c r="AF159" s="51"/>
      <c r="AG159" s="20">
        <f>+AB159*AF159</f>
        <v>0</v>
      </c>
      <c r="AH159" s="20">
        <f>+AC159*AF159</f>
        <v>0</v>
      </c>
      <c r="AI159" s="20">
        <f>+AD159*AF159</f>
        <v>0</v>
      </c>
      <c r="AJ159" s="20">
        <f>+AE159*AF159</f>
        <v>0</v>
      </c>
      <c r="AK159" s="20">
        <f t="shared" ref="AK159" si="490">+ROUND(AG159,2)</f>
        <v>0</v>
      </c>
      <c r="AL159" s="20">
        <f t="shared" ref="AL159" si="491">+ROUND(AH159,2)</f>
        <v>0</v>
      </c>
      <c r="AM159" s="20">
        <f>+ROUND(AI159,2)</f>
        <v>0</v>
      </c>
      <c r="AN159" s="20">
        <f t="shared" ref="AN159" si="492">+ROUND(AJ159,2)</f>
        <v>0</v>
      </c>
      <c r="AO159" s="20">
        <f>+AK159+AL159-AN159+AM159</f>
        <v>0</v>
      </c>
    </row>
    <row r="160" spans="1:41" ht="14.4" hidden="1" x14ac:dyDescent="0.3">
      <c r="A160" s="24"/>
      <c r="B160" s="24"/>
      <c r="C160" s="25"/>
      <c r="D160" s="25"/>
      <c r="E160" s="25"/>
      <c r="F160" s="25"/>
      <c r="G160" s="25"/>
      <c r="H160" s="26"/>
      <c r="I160" s="26"/>
      <c r="J160" s="25"/>
      <c r="K160" s="27"/>
      <c r="L160" s="26"/>
      <c r="M160" s="25"/>
      <c r="N160" s="25"/>
      <c r="O160" s="25"/>
      <c r="P160" s="25"/>
      <c r="Q160" s="25"/>
      <c r="R160" s="25"/>
      <c r="S160" s="26"/>
      <c r="T160" s="25"/>
      <c r="U160" s="25"/>
      <c r="V160" s="25"/>
      <c r="W160" s="26"/>
      <c r="X160" s="26"/>
      <c r="Y160" s="25"/>
      <c r="Z160" s="28"/>
      <c r="AA160" s="25"/>
      <c r="AB160" s="26"/>
      <c r="AC160" s="26"/>
      <c r="AD160" s="26"/>
      <c r="AE160" s="26"/>
      <c r="AF160" s="29"/>
      <c r="AG160" s="26"/>
      <c r="AH160" s="26"/>
      <c r="AI160" s="26"/>
      <c r="AJ160" s="26"/>
      <c r="AK160" s="26"/>
      <c r="AL160" s="26"/>
      <c r="AM160" s="26"/>
      <c r="AN160" s="26"/>
      <c r="AO160" s="26"/>
    </row>
    <row r="161" spans="1:41" ht="14.4" hidden="1" x14ac:dyDescent="0.3">
      <c r="A161" s="24"/>
      <c r="B161" s="24"/>
      <c r="C161" s="25"/>
      <c r="D161" s="25"/>
      <c r="E161" s="25"/>
      <c r="F161" s="25"/>
      <c r="G161" s="25"/>
      <c r="H161" s="26"/>
      <c r="I161" s="26"/>
      <c r="J161" s="25"/>
      <c r="K161" s="27"/>
      <c r="L161" s="26"/>
      <c r="M161" s="25"/>
      <c r="N161" s="25"/>
      <c r="O161" s="25"/>
      <c r="P161" s="25"/>
      <c r="Q161" s="25"/>
      <c r="R161" s="25"/>
      <c r="S161" s="26"/>
      <c r="T161" s="25"/>
      <c r="U161" s="25"/>
      <c r="V161" s="25"/>
      <c r="W161" s="26"/>
      <c r="X161" s="26"/>
      <c r="Y161" s="25"/>
      <c r="Z161" s="28"/>
      <c r="AA161" s="25"/>
      <c r="AB161" s="26"/>
      <c r="AC161" s="26"/>
      <c r="AD161" s="26"/>
      <c r="AE161" s="26"/>
      <c r="AF161" s="29"/>
      <c r="AG161" s="26"/>
      <c r="AH161" s="26"/>
      <c r="AI161" s="26"/>
      <c r="AJ161" s="26"/>
      <c r="AK161" s="26"/>
      <c r="AL161" s="26"/>
      <c r="AM161" s="26"/>
      <c r="AN161" s="26"/>
      <c r="AO161" s="26"/>
    </row>
    <row r="162" spans="1:41" ht="14.4" hidden="1" x14ac:dyDescent="0.3">
      <c r="A162" s="24"/>
      <c r="B162" s="24"/>
      <c r="C162" s="25"/>
      <c r="D162" s="25"/>
      <c r="E162" s="25"/>
      <c r="F162" s="25"/>
      <c r="G162" s="25"/>
      <c r="H162" s="26"/>
      <c r="I162" s="26"/>
      <c r="J162" s="25"/>
      <c r="K162" s="27"/>
      <c r="L162" s="26"/>
      <c r="M162" s="25"/>
      <c r="N162" s="25"/>
      <c r="O162" s="25"/>
      <c r="P162" s="25"/>
      <c r="Q162" s="25"/>
      <c r="R162" s="25"/>
      <c r="S162" s="26"/>
      <c r="T162" s="25"/>
      <c r="U162" s="25"/>
      <c r="V162" s="25"/>
      <c r="W162" s="26"/>
      <c r="X162" s="26"/>
      <c r="Y162" s="25"/>
      <c r="Z162" s="28"/>
      <c r="AA162" s="25"/>
      <c r="AB162" s="26"/>
      <c r="AC162" s="26"/>
      <c r="AD162" s="26"/>
      <c r="AE162" s="26"/>
      <c r="AF162" s="29"/>
      <c r="AG162" s="26"/>
      <c r="AH162" s="26"/>
      <c r="AI162" s="26"/>
      <c r="AJ162" s="26"/>
      <c r="AK162" s="26"/>
      <c r="AL162" s="26"/>
      <c r="AM162" s="26"/>
      <c r="AN162" s="26"/>
      <c r="AO162" s="26"/>
    </row>
    <row r="163" spans="1:41" ht="13.8" customHeight="1" x14ac:dyDescent="0.3">
      <c r="A163" s="16">
        <f t="shared" si="309"/>
        <v>41</v>
      </c>
      <c r="B163" s="17"/>
      <c r="C163" s="14"/>
      <c r="D163" s="14"/>
      <c r="E163" s="15"/>
      <c r="F163" s="48"/>
      <c r="G163" s="17">
        <f>+E163</f>
        <v>0</v>
      </c>
      <c r="H163" s="20">
        <f t="shared" ref="H163" si="493">+AL163+AM163</f>
        <v>0</v>
      </c>
      <c r="I163" s="20">
        <f t="shared" ref="I163" si="494">+AC163+AD163</f>
        <v>0</v>
      </c>
      <c r="J163" s="14"/>
      <c r="K163" s="21">
        <f t="shared" ref="K163" si="495">+AF163</f>
        <v>0</v>
      </c>
      <c r="L163" s="20">
        <f t="shared" ref="L163" si="496">+AL163</f>
        <v>0</v>
      </c>
      <c r="M163" s="19" t="s">
        <v>55</v>
      </c>
      <c r="N163" s="15"/>
      <c r="O163" s="14"/>
      <c r="P163" s="15"/>
      <c r="Q163" s="19" t="s">
        <v>0</v>
      </c>
      <c r="R163" s="19"/>
      <c r="S163" s="20" t="str">
        <f t="shared" ref="S163" si="497">(RIGHT(O163,7))</f>
        <v/>
      </c>
      <c r="T163" s="15"/>
      <c r="U163" s="19" t="s">
        <v>53</v>
      </c>
      <c r="V163" s="19" t="s">
        <v>2</v>
      </c>
      <c r="W163" s="20">
        <f t="shared" ref="W163" si="498">+AK163</f>
        <v>0</v>
      </c>
      <c r="X163" s="20">
        <f t="shared" ref="X163" si="499">+AL163</f>
        <v>0</v>
      </c>
      <c r="Y163" s="18" t="s">
        <v>3</v>
      </c>
      <c r="Z163" s="22">
        <f t="shared" ref="Z163" si="500">+G163</f>
        <v>0</v>
      </c>
      <c r="AA163" s="18"/>
      <c r="AB163" s="20">
        <f t="shared" ref="AB163" si="501">(AC163*100)/18</f>
        <v>0</v>
      </c>
      <c r="AC163" s="49"/>
      <c r="AD163" s="49"/>
      <c r="AE163" s="20">
        <f t="shared" ref="AE163" si="502">+AB163+AC163+AD163</f>
        <v>0</v>
      </c>
      <c r="AF163" s="51"/>
      <c r="AG163" s="20">
        <f>+AB163*AF163</f>
        <v>0</v>
      </c>
      <c r="AH163" s="20">
        <f>+AC163*AF163</f>
        <v>0</v>
      </c>
      <c r="AI163" s="20">
        <f>+AD163*AF163</f>
        <v>0</v>
      </c>
      <c r="AJ163" s="20">
        <f>+AE163*AF163</f>
        <v>0</v>
      </c>
      <c r="AK163" s="20">
        <f t="shared" ref="AK163" si="503">+ROUND(AG163,2)</f>
        <v>0</v>
      </c>
      <c r="AL163" s="20">
        <f t="shared" ref="AL163" si="504">+ROUND(AH163,2)</f>
        <v>0</v>
      </c>
      <c r="AM163" s="20">
        <f>+ROUND(AI163,2)</f>
        <v>0</v>
      </c>
      <c r="AN163" s="20">
        <f t="shared" ref="AN163" si="505">+ROUND(AJ163,2)</f>
        <v>0</v>
      </c>
      <c r="AO163" s="20">
        <f>+AK163+AL163-AN163+AM163</f>
        <v>0</v>
      </c>
    </row>
    <row r="164" spans="1:41" ht="14.4" hidden="1" x14ac:dyDescent="0.3">
      <c r="A164" s="24"/>
      <c r="B164" s="24"/>
      <c r="C164" s="25"/>
      <c r="D164" s="25"/>
      <c r="E164" s="25"/>
      <c r="F164" s="25"/>
      <c r="G164" s="25"/>
      <c r="H164" s="26"/>
      <c r="I164" s="26"/>
      <c r="J164" s="25"/>
      <c r="K164" s="27"/>
      <c r="L164" s="26"/>
      <c r="M164" s="25"/>
      <c r="N164" s="25"/>
      <c r="O164" s="25"/>
      <c r="P164" s="25"/>
      <c r="Q164" s="25"/>
      <c r="R164" s="25"/>
      <c r="S164" s="26"/>
      <c r="T164" s="25"/>
      <c r="U164" s="25"/>
      <c r="V164" s="25"/>
      <c r="W164" s="26"/>
      <c r="X164" s="26"/>
      <c r="Y164" s="25"/>
      <c r="Z164" s="28"/>
      <c r="AA164" s="25"/>
      <c r="AB164" s="26"/>
      <c r="AC164" s="26"/>
      <c r="AD164" s="26"/>
      <c r="AE164" s="26"/>
      <c r="AF164" s="29"/>
      <c r="AG164" s="26"/>
      <c r="AH164" s="26"/>
      <c r="AI164" s="26"/>
      <c r="AJ164" s="26"/>
      <c r="AK164" s="26"/>
      <c r="AL164" s="26"/>
      <c r="AM164" s="26"/>
      <c r="AN164" s="26"/>
      <c r="AO164" s="26"/>
    </row>
    <row r="165" spans="1:41" ht="14.4" hidden="1" x14ac:dyDescent="0.3">
      <c r="A165" s="24"/>
      <c r="B165" s="24"/>
      <c r="C165" s="25"/>
      <c r="D165" s="25"/>
      <c r="E165" s="25"/>
      <c r="F165" s="25"/>
      <c r="G165" s="25"/>
      <c r="H165" s="26"/>
      <c r="I165" s="26"/>
      <c r="J165" s="25"/>
      <c r="K165" s="27"/>
      <c r="L165" s="26"/>
      <c r="M165" s="25"/>
      <c r="N165" s="25"/>
      <c r="O165" s="25"/>
      <c r="P165" s="25"/>
      <c r="Q165" s="25"/>
      <c r="R165" s="25"/>
      <c r="S165" s="26"/>
      <c r="T165" s="25"/>
      <c r="U165" s="25"/>
      <c r="V165" s="25"/>
      <c r="W165" s="26"/>
      <c r="X165" s="26"/>
      <c r="Y165" s="25"/>
      <c r="Z165" s="28"/>
      <c r="AA165" s="25"/>
      <c r="AB165" s="26"/>
      <c r="AC165" s="26"/>
      <c r="AD165" s="26"/>
      <c r="AE165" s="26"/>
      <c r="AF165" s="29"/>
      <c r="AG165" s="26"/>
      <c r="AH165" s="26"/>
      <c r="AI165" s="26"/>
      <c r="AJ165" s="26"/>
      <c r="AK165" s="26"/>
      <c r="AL165" s="26"/>
      <c r="AM165" s="26"/>
      <c r="AN165" s="26"/>
      <c r="AO165" s="26"/>
    </row>
    <row r="166" spans="1:41" ht="14.4" hidden="1" x14ac:dyDescent="0.3">
      <c r="A166" s="24"/>
      <c r="B166" s="24"/>
      <c r="C166" s="25"/>
      <c r="D166" s="25"/>
      <c r="E166" s="25"/>
      <c r="F166" s="25"/>
      <c r="G166" s="25"/>
      <c r="H166" s="26"/>
      <c r="I166" s="26"/>
      <c r="J166" s="25"/>
      <c r="K166" s="27"/>
      <c r="L166" s="26"/>
      <c r="M166" s="25"/>
      <c r="N166" s="25"/>
      <c r="O166" s="25"/>
      <c r="P166" s="25"/>
      <c r="Q166" s="25"/>
      <c r="R166" s="25"/>
      <c r="S166" s="26"/>
      <c r="T166" s="25"/>
      <c r="U166" s="25"/>
      <c r="V166" s="25"/>
      <c r="W166" s="26"/>
      <c r="X166" s="26"/>
      <c r="Y166" s="25"/>
      <c r="Z166" s="28"/>
      <c r="AA166" s="25"/>
      <c r="AB166" s="26"/>
      <c r="AC166" s="26"/>
      <c r="AD166" s="26"/>
      <c r="AE166" s="26"/>
      <c r="AF166" s="29"/>
      <c r="AG166" s="26"/>
      <c r="AH166" s="26"/>
      <c r="AI166" s="26"/>
      <c r="AJ166" s="26"/>
      <c r="AK166" s="26"/>
      <c r="AL166" s="26"/>
      <c r="AM166" s="26"/>
      <c r="AN166" s="26"/>
      <c r="AO166" s="26"/>
    </row>
    <row r="167" spans="1:41" ht="13.8" customHeight="1" x14ac:dyDescent="0.3">
      <c r="A167" s="16">
        <f t="shared" si="323"/>
        <v>42</v>
      </c>
      <c r="B167" s="17"/>
      <c r="C167" s="14"/>
      <c r="D167" s="14"/>
      <c r="E167" s="15"/>
      <c r="F167" s="48"/>
      <c r="G167" s="17">
        <f>+E167</f>
        <v>0</v>
      </c>
      <c r="H167" s="20">
        <f t="shared" ref="H167" si="506">+AL167+AM167</f>
        <v>0</v>
      </c>
      <c r="I167" s="20">
        <f t="shared" ref="I167" si="507">+AC167+AD167</f>
        <v>0</v>
      </c>
      <c r="J167" s="14"/>
      <c r="K167" s="21">
        <f t="shared" ref="K167" si="508">+AF167</f>
        <v>0</v>
      </c>
      <c r="L167" s="20">
        <f t="shared" ref="L167" si="509">+AL167</f>
        <v>0</v>
      </c>
      <c r="M167" s="19" t="s">
        <v>55</v>
      </c>
      <c r="N167" s="15"/>
      <c r="O167" s="14"/>
      <c r="P167" s="15"/>
      <c r="Q167" s="19" t="s">
        <v>0</v>
      </c>
      <c r="R167" s="19"/>
      <c r="S167" s="20" t="str">
        <f t="shared" ref="S167" si="510">(RIGHT(O167,7))</f>
        <v/>
      </c>
      <c r="T167" s="15"/>
      <c r="U167" s="19" t="s">
        <v>53</v>
      </c>
      <c r="V167" s="19" t="s">
        <v>2</v>
      </c>
      <c r="W167" s="20">
        <f t="shared" ref="W167" si="511">+AK167</f>
        <v>0</v>
      </c>
      <c r="X167" s="20">
        <f t="shared" ref="X167" si="512">+AL167</f>
        <v>0</v>
      </c>
      <c r="Y167" s="18" t="s">
        <v>3</v>
      </c>
      <c r="Z167" s="22">
        <f t="shared" ref="Z167" si="513">+G167</f>
        <v>0</v>
      </c>
      <c r="AA167" s="18"/>
      <c r="AB167" s="20">
        <f t="shared" ref="AB167" si="514">(AC167*100)/18</f>
        <v>0</v>
      </c>
      <c r="AC167" s="49"/>
      <c r="AD167" s="49"/>
      <c r="AE167" s="20">
        <f t="shared" ref="AE167" si="515">+AB167+AC167+AD167</f>
        <v>0</v>
      </c>
      <c r="AF167" s="51"/>
      <c r="AG167" s="20">
        <f>+AB167*AF167</f>
        <v>0</v>
      </c>
      <c r="AH167" s="20">
        <f>+AC167*AF167</f>
        <v>0</v>
      </c>
      <c r="AI167" s="20">
        <f>+AD167*AF167</f>
        <v>0</v>
      </c>
      <c r="AJ167" s="20">
        <f>+AE167*AF167</f>
        <v>0</v>
      </c>
      <c r="AK167" s="20">
        <f t="shared" ref="AK167" si="516">+ROUND(AG167,2)</f>
        <v>0</v>
      </c>
      <c r="AL167" s="20">
        <f t="shared" ref="AL167" si="517">+ROUND(AH167,2)</f>
        <v>0</v>
      </c>
      <c r="AM167" s="20">
        <f>+ROUND(AI167,2)</f>
        <v>0</v>
      </c>
      <c r="AN167" s="20">
        <f t="shared" ref="AN167" si="518">+ROUND(AJ167,2)</f>
        <v>0</v>
      </c>
      <c r="AO167" s="20">
        <f>+AK167+AL167-AN167+AM167</f>
        <v>0</v>
      </c>
    </row>
    <row r="168" spans="1:41" ht="14.4" hidden="1" x14ac:dyDescent="0.3">
      <c r="A168" s="24"/>
      <c r="B168" s="24"/>
      <c r="C168" s="25"/>
      <c r="D168" s="25"/>
      <c r="E168" s="25"/>
      <c r="F168" s="25"/>
      <c r="G168" s="25"/>
      <c r="H168" s="26"/>
      <c r="I168" s="26"/>
      <c r="J168" s="25"/>
      <c r="K168" s="27"/>
      <c r="L168" s="26"/>
      <c r="M168" s="25"/>
      <c r="N168" s="25"/>
      <c r="O168" s="25"/>
      <c r="P168" s="25"/>
      <c r="Q168" s="25"/>
      <c r="R168" s="25"/>
      <c r="S168" s="26"/>
      <c r="T168" s="25"/>
      <c r="U168" s="25"/>
      <c r="V168" s="25"/>
      <c r="W168" s="26"/>
      <c r="X168" s="26"/>
      <c r="Y168" s="25"/>
      <c r="Z168" s="28"/>
      <c r="AA168" s="25"/>
      <c r="AB168" s="26"/>
      <c r="AC168" s="26"/>
      <c r="AD168" s="26"/>
      <c r="AE168" s="26"/>
      <c r="AF168" s="29"/>
      <c r="AG168" s="26"/>
      <c r="AH168" s="26"/>
      <c r="AI168" s="26"/>
      <c r="AJ168" s="26"/>
      <c r="AK168" s="26"/>
      <c r="AL168" s="26"/>
      <c r="AM168" s="26"/>
      <c r="AN168" s="26"/>
      <c r="AO168" s="26"/>
    </row>
    <row r="169" spans="1:41" ht="14.4" hidden="1" x14ac:dyDescent="0.3">
      <c r="A169" s="24"/>
      <c r="B169" s="24"/>
      <c r="C169" s="25"/>
      <c r="D169" s="25"/>
      <c r="E169" s="25"/>
      <c r="F169" s="25"/>
      <c r="G169" s="25"/>
      <c r="H169" s="26"/>
      <c r="I169" s="26"/>
      <c r="J169" s="25"/>
      <c r="K169" s="27"/>
      <c r="L169" s="26"/>
      <c r="M169" s="25"/>
      <c r="N169" s="25"/>
      <c r="O169" s="25"/>
      <c r="P169" s="25"/>
      <c r="Q169" s="25"/>
      <c r="R169" s="25"/>
      <c r="S169" s="26"/>
      <c r="T169" s="25"/>
      <c r="U169" s="25"/>
      <c r="V169" s="25"/>
      <c r="W169" s="26"/>
      <c r="X169" s="26"/>
      <c r="Y169" s="25"/>
      <c r="Z169" s="28"/>
      <c r="AA169" s="25"/>
      <c r="AB169" s="26"/>
      <c r="AC169" s="26"/>
      <c r="AD169" s="26"/>
      <c r="AE169" s="26"/>
      <c r="AF169" s="29"/>
      <c r="AG169" s="26"/>
      <c r="AH169" s="26"/>
      <c r="AI169" s="26"/>
      <c r="AJ169" s="26"/>
      <c r="AK169" s="26"/>
      <c r="AL169" s="26"/>
      <c r="AM169" s="26"/>
      <c r="AN169" s="26"/>
      <c r="AO169" s="26"/>
    </row>
    <row r="170" spans="1:41" ht="14.4" hidden="1" x14ac:dyDescent="0.3">
      <c r="A170" s="24"/>
      <c r="B170" s="24"/>
      <c r="C170" s="25"/>
      <c r="D170" s="25"/>
      <c r="E170" s="25"/>
      <c r="F170" s="25"/>
      <c r="G170" s="25"/>
      <c r="H170" s="26"/>
      <c r="I170" s="26"/>
      <c r="J170" s="25"/>
      <c r="K170" s="27"/>
      <c r="L170" s="26"/>
      <c r="M170" s="25"/>
      <c r="N170" s="25"/>
      <c r="O170" s="25"/>
      <c r="P170" s="25"/>
      <c r="Q170" s="25"/>
      <c r="R170" s="25"/>
      <c r="S170" s="26"/>
      <c r="T170" s="25"/>
      <c r="U170" s="25"/>
      <c r="V170" s="25"/>
      <c r="W170" s="26"/>
      <c r="X170" s="26"/>
      <c r="Y170" s="25"/>
      <c r="Z170" s="28"/>
      <c r="AA170" s="25"/>
      <c r="AB170" s="26"/>
      <c r="AC170" s="26"/>
      <c r="AD170" s="26"/>
      <c r="AE170" s="26"/>
      <c r="AF170" s="29"/>
      <c r="AG170" s="26"/>
      <c r="AH170" s="26"/>
      <c r="AI170" s="26"/>
      <c r="AJ170" s="26"/>
      <c r="AK170" s="26"/>
      <c r="AL170" s="26"/>
      <c r="AM170" s="26"/>
      <c r="AN170" s="26"/>
      <c r="AO170" s="26"/>
    </row>
    <row r="171" spans="1:41" ht="13.8" customHeight="1" x14ac:dyDescent="0.3">
      <c r="A171" s="16">
        <f t="shared" ref="A171:A179" si="519">1+A167</f>
        <v>43</v>
      </c>
      <c r="B171" s="17"/>
      <c r="C171" s="14"/>
      <c r="D171" s="14"/>
      <c r="E171" s="15"/>
      <c r="F171" s="48"/>
      <c r="G171" s="17">
        <f>+E171</f>
        <v>0</v>
      </c>
      <c r="H171" s="20">
        <f t="shared" ref="H171" si="520">+AL171+AM171</f>
        <v>0</v>
      </c>
      <c r="I171" s="20">
        <f t="shared" ref="I171" si="521">+AC171+AD171</f>
        <v>0</v>
      </c>
      <c r="J171" s="14"/>
      <c r="K171" s="21">
        <f t="shared" ref="K171" si="522">+AF171</f>
        <v>0</v>
      </c>
      <c r="L171" s="20">
        <f t="shared" ref="L171" si="523">+AL171</f>
        <v>0</v>
      </c>
      <c r="M171" s="19" t="s">
        <v>55</v>
      </c>
      <c r="N171" s="15"/>
      <c r="O171" s="14"/>
      <c r="P171" s="15"/>
      <c r="Q171" s="19" t="s">
        <v>0</v>
      </c>
      <c r="R171" s="19"/>
      <c r="S171" s="20" t="str">
        <f t="shared" ref="S171" si="524">(RIGHT(O171,7))</f>
        <v/>
      </c>
      <c r="T171" s="15"/>
      <c r="U171" s="19" t="s">
        <v>53</v>
      </c>
      <c r="V171" s="19" t="s">
        <v>2</v>
      </c>
      <c r="W171" s="20">
        <f t="shared" ref="W171" si="525">+AK171</f>
        <v>0</v>
      </c>
      <c r="X171" s="20">
        <f t="shared" ref="X171" si="526">+AL171</f>
        <v>0</v>
      </c>
      <c r="Y171" s="18" t="s">
        <v>3</v>
      </c>
      <c r="Z171" s="22">
        <f t="shared" ref="Z171" si="527">+G171</f>
        <v>0</v>
      </c>
      <c r="AA171" s="18"/>
      <c r="AB171" s="20">
        <f t="shared" ref="AB171" si="528">(AC171*100)/18</f>
        <v>0</v>
      </c>
      <c r="AC171" s="49"/>
      <c r="AD171" s="49"/>
      <c r="AE171" s="20">
        <f t="shared" ref="AE171" si="529">+AB171+AC171+AD171</f>
        <v>0</v>
      </c>
      <c r="AF171" s="51"/>
      <c r="AG171" s="20">
        <f>+AB171*AF171</f>
        <v>0</v>
      </c>
      <c r="AH171" s="20">
        <f>+AC171*AF171</f>
        <v>0</v>
      </c>
      <c r="AI171" s="20">
        <f>+AD171*AF171</f>
        <v>0</v>
      </c>
      <c r="AJ171" s="20">
        <f>+AE171*AF171</f>
        <v>0</v>
      </c>
      <c r="AK171" s="20">
        <f t="shared" ref="AK171" si="530">+ROUND(AG171,2)</f>
        <v>0</v>
      </c>
      <c r="AL171" s="20">
        <f t="shared" ref="AL171" si="531">+ROUND(AH171,2)</f>
        <v>0</v>
      </c>
      <c r="AM171" s="20">
        <f>+ROUND(AI171,2)</f>
        <v>0</v>
      </c>
      <c r="AN171" s="20">
        <f t="shared" ref="AN171" si="532">+ROUND(AJ171,2)</f>
        <v>0</v>
      </c>
      <c r="AO171" s="20">
        <f>+AK171+AL171-AN171+AM171</f>
        <v>0</v>
      </c>
    </row>
    <row r="172" spans="1:41" ht="14.4" hidden="1" x14ac:dyDescent="0.3">
      <c r="A172" s="24"/>
      <c r="B172" s="24"/>
      <c r="C172" s="25"/>
      <c r="D172" s="25"/>
      <c r="E172" s="25"/>
      <c r="F172" s="25"/>
      <c r="G172" s="25"/>
      <c r="H172" s="26"/>
      <c r="I172" s="26"/>
      <c r="J172" s="25"/>
      <c r="K172" s="27"/>
      <c r="L172" s="26"/>
      <c r="M172" s="25"/>
      <c r="N172" s="25"/>
      <c r="O172" s="25"/>
      <c r="P172" s="25"/>
      <c r="Q172" s="25"/>
      <c r="R172" s="25"/>
      <c r="S172" s="26"/>
      <c r="T172" s="25"/>
      <c r="U172" s="25"/>
      <c r="V172" s="25"/>
      <c r="W172" s="26"/>
      <c r="X172" s="26"/>
      <c r="Y172" s="25"/>
      <c r="Z172" s="28"/>
      <c r="AA172" s="25"/>
      <c r="AB172" s="26"/>
      <c r="AC172" s="26"/>
      <c r="AD172" s="26"/>
      <c r="AE172" s="26"/>
      <c r="AF172" s="29"/>
      <c r="AG172" s="26"/>
      <c r="AH172" s="26"/>
      <c r="AI172" s="26"/>
      <c r="AJ172" s="26"/>
      <c r="AK172" s="26"/>
      <c r="AL172" s="26"/>
      <c r="AM172" s="26"/>
      <c r="AN172" s="26"/>
      <c r="AO172" s="26"/>
    </row>
    <row r="173" spans="1:41" ht="14.4" hidden="1" x14ac:dyDescent="0.3">
      <c r="A173" s="24"/>
      <c r="B173" s="24"/>
      <c r="C173" s="25"/>
      <c r="D173" s="25"/>
      <c r="E173" s="25"/>
      <c r="F173" s="25"/>
      <c r="G173" s="25"/>
      <c r="H173" s="26"/>
      <c r="I173" s="26"/>
      <c r="J173" s="25"/>
      <c r="K173" s="27"/>
      <c r="L173" s="26"/>
      <c r="M173" s="25"/>
      <c r="N173" s="25"/>
      <c r="O173" s="25"/>
      <c r="P173" s="25"/>
      <c r="Q173" s="25"/>
      <c r="R173" s="25"/>
      <c r="S173" s="26"/>
      <c r="T173" s="25"/>
      <c r="U173" s="25"/>
      <c r="V173" s="25"/>
      <c r="W173" s="26"/>
      <c r="X173" s="26"/>
      <c r="Y173" s="25"/>
      <c r="Z173" s="28"/>
      <c r="AA173" s="25"/>
      <c r="AB173" s="26"/>
      <c r="AC173" s="26"/>
      <c r="AD173" s="26"/>
      <c r="AE173" s="26"/>
      <c r="AF173" s="29"/>
      <c r="AG173" s="26"/>
      <c r="AH173" s="26"/>
      <c r="AI173" s="26"/>
      <c r="AJ173" s="26"/>
      <c r="AK173" s="26"/>
      <c r="AL173" s="26"/>
      <c r="AM173" s="26"/>
      <c r="AN173" s="26"/>
      <c r="AO173" s="26"/>
    </row>
    <row r="174" spans="1:41" ht="14.4" hidden="1" x14ac:dyDescent="0.3">
      <c r="A174" s="24"/>
      <c r="B174" s="24"/>
      <c r="C174" s="25"/>
      <c r="D174" s="25"/>
      <c r="E174" s="25"/>
      <c r="F174" s="25"/>
      <c r="G174" s="25"/>
      <c r="H174" s="26"/>
      <c r="I174" s="26"/>
      <c r="J174" s="25"/>
      <c r="K174" s="27"/>
      <c r="L174" s="26"/>
      <c r="M174" s="25"/>
      <c r="N174" s="25"/>
      <c r="O174" s="25"/>
      <c r="P174" s="25"/>
      <c r="Q174" s="25"/>
      <c r="R174" s="25"/>
      <c r="S174" s="26"/>
      <c r="T174" s="25"/>
      <c r="U174" s="25"/>
      <c r="V174" s="25"/>
      <c r="W174" s="26"/>
      <c r="X174" s="26"/>
      <c r="Y174" s="25"/>
      <c r="Z174" s="28"/>
      <c r="AA174" s="25"/>
      <c r="AB174" s="26"/>
      <c r="AC174" s="26"/>
      <c r="AD174" s="26"/>
      <c r="AE174" s="26"/>
      <c r="AF174" s="29"/>
      <c r="AG174" s="26"/>
      <c r="AH174" s="26"/>
      <c r="AI174" s="26"/>
      <c r="AJ174" s="26"/>
      <c r="AK174" s="26"/>
      <c r="AL174" s="26"/>
      <c r="AM174" s="26"/>
      <c r="AN174" s="26"/>
      <c r="AO174" s="26"/>
    </row>
    <row r="175" spans="1:41" ht="13.8" customHeight="1" x14ac:dyDescent="0.3">
      <c r="A175" s="16">
        <f t="shared" ref="A175" si="533">1+A171</f>
        <v>44</v>
      </c>
      <c r="B175" s="17"/>
      <c r="C175" s="14"/>
      <c r="D175" s="14"/>
      <c r="E175" s="15"/>
      <c r="F175" s="48"/>
      <c r="G175" s="17">
        <f>+E175</f>
        <v>0</v>
      </c>
      <c r="H175" s="20">
        <f t="shared" ref="H175" si="534">+AL175+AM175</f>
        <v>0</v>
      </c>
      <c r="I175" s="20">
        <f t="shared" ref="I175" si="535">+AC175+AD175</f>
        <v>0</v>
      </c>
      <c r="J175" s="14"/>
      <c r="K175" s="21">
        <f t="shared" ref="K175" si="536">+AF175</f>
        <v>0</v>
      </c>
      <c r="L175" s="20">
        <f t="shared" ref="L175" si="537">+AL175</f>
        <v>0</v>
      </c>
      <c r="M175" s="19" t="s">
        <v>55</v>
      </c>
      <c r="N175" s="15"/>
      <c r="O175" s="14"/>
      <c r="P175" s="15"/>
      <c r="Q175" s="19" t="s">
        <v>0</v>
      </c>
      <c r="R175" s="19"/>
      <c r="S175" s="20" t="str">
        <f t="shared" ref="S175" si="538">(RIGHT(O175,7))</f>
        <v/>
      </c>
      <c r="T175" s="15"/>
      <c r="U175" s="19" t="s">
        <v>53</v>
      </c>
      <c r="V175" s="19" t="s">
        <v>2</v>
      </c>
      <c r="W175" s="20">
        <f t="shared" ref="W175" si="539">+AK175</f>
        <v>0</v>
      </c>
      <c r="X175" s="20">
        <f t="shared" ref="X175" si="540">+AL175</f>
        <v>0</v>
      </c>
      <c r="Y175" s="18" t="s">
        <v>3</v>
      </c>
      <c r="Z175" s="22">
        <f t="shared" ref="Z175" si="541">+G175</f>
        <v>0</v>
      </c>
      <c r="AA175" s="18"/>
      <c r="AB175" s="20">
        <f t="shared" ref="AB175" si="542">(AC175*100)/18</f>
        <v>0</v>
      </c>
      <c r="AC175" s="49"/>
      <c r="AD175" s="49"/>
      <c r="AE175" s="20">
        <f t="shared" ref="AE175" si="543">+AB175+AC175+AD175</f>
        <v>0</v>
      </c>
      <c r="AF175" s="51"/>
      <c r="AG175" s="20">
        <f>+AB175*AF175</f>
        <v>0</v>
      </c>
      <c r="AH175" s="20">
        <f>+AC175*AF175</f>
        <v>0</v>
      </c>
      <c r="AI175" s="20">
        <f>+AD175*AF175</f>
        <v>0</v>
      </c>
      <c r="AJ175" s="20">
        <f>+AE175*AF175</f>
        <v>0</v>
      </c>
      <c r="AK175" s="20">
        <f t="shared" ref="AK175" si="544">+ROUND(AG175,2)</f>
        <v>0</v>
      </c>
      <c r="AL175" s="20">
        <f t="shared" ref="AL175" si="545">+ROUND(AH175,2)</f>
        <v>0</v>
      </c>
      <c r="AM175" s="20">
        <f>+ROUND(AI175,2)</f>
        <v>0</v>
      </c>
      <c r="AN175" s="20">
        <f t="shared" ref="AN175" si="546">+ROUND(AJ175,2)</f>
        <v>0</v>
      </c>
      <c r="AO175" s="20">
        <f>+AK175+AL175-AN175+AM175</f>
        <v>0</v>
      </c>
    </row>
    <row r="176" spans="1:41" ht="14.4" hidden="1" x14ac:dyDescent="0.3">
      <c r="A176" s="24"/>
      <c r="B176" s="24"/>
      <c r="C176" s="25"/>
      <c r="D176" s="25"/>
      <c r="E176" s="25"/>
      <c r="F176" s="25"/>
      <c r="G176" s="25"/>
      <c r="H176" s="26"/>
      <c r="I176" s="26"/>
      <c r="J176" s="25"/>
      <c r="K176" s="27"/>
      <c r="L176" s="26"/>
      <c r="M176" s="25"/>
      <c r="N176" s="25"/>
      <c r="O176" s="25"/>
      <c r="P176" s="25"/>
      <c r="Q176" s="25"/>
      <c r="R176" s="25"/>
      <c r="S176" s="26"/>
      <c r="T176" s="25"/>
      <c r="U176" s="25"/>
      <c r="V176" s="25"/>
      <c r="W176" s="26"/>
      <c r="X176" s="26"/>
      <c r="Y176" s="25"/>
      <c r="Z176" s="28"/>
      <c r="AA176" s="25"/>
      <c r="AB176" s="26"/>
      <c r="AC176" s="26"/>
      <c r="AD176" s="26"/>
      <c r="AE176" s="26"/>
      <c r="AF176" s="29"/>
      <c r="AG176" s="26"/>
      <c r="AH176" s="26"/>
      <c r="AI176" s="26"/>
      <c r="AJ176" s="26"/>
      <c r="AK176" s="26"/>
      <c r="AL176" s="26"/>
      <c r="AM176" s="26"/>
      <c r="AN176" s="26"/>
      <c r="AO176" s="26"/>
    </row>
    <row r="177" spans="1:41" ht="14.4" hidden="1" x14ac:dyDescent="0.3">
      <c r="A177" s="24"/>
      <c r="B177" s="24"/>
      <c r="C177" s="25"/>
      <c r="D177" s="25"/>
      <c r="E177" s="25"/>
      <c r="F177" s="25"/>
      <c r="G177" s="25"/>
      <c r="H177" s="26"/>
      <c r="I177" s="26"/>
      <c r="J177" s="25"/>
      <c r="K177" s="27"/>
      <c r="L177" s="26"/>
      <c r="M177" s="25"/>
      <c r="N177" s="25"/>
      <c r="O177" s="25"/>
      <c r="P177" s="25"/>
      <c r="Q177" s="25"/>
      <c r="R177" s="25"/>
      <c r="S177" s="26"/>
      <c r="T177" s="25"/>
      <c r="U177" s="25"/>
      <c r="V177" s="25"/>
      <c r="W177" s="26"/>
      <c r="X177" s="26"/>
      <c r="Y177" s="25"/>
      <c r="Z177" s="28"/>
      <c r="AA177" s="25"/>
      <c r="AB177" s="26"/>
      <c r="AC177" s="26"/>
      <c r="AD177" s="26"/>
      <c r="AE177" s="26"/>
      <c r="AF177" s="29"/>
      <c r="AG177" s="26"/>
      <c r="AH177" s="26"/>
      <c r="AI177" s="26"/>
      <c r="AJ177" s="26"/>
      <c r="AK177" s="26"/>
      <c r="AL177" s="26"/>
      <c r="AM177" s="26"/>
      <c r="AN177" s="26"/>
      <c r="AO177" s="26"/>
    </row>
    <row r="178" spans="1:41" ht="14.4" hidden="1" x14ac:dyDescent="0.3">
      <c r="A178" s="24"/>
      <c r="B178" s="24"/>
      <c r="C178" s="25"/>
      <c r="D178" s="25"/>
      <c r="E178" s="25"/>
      <c r="F178" s="25"/>
      <c r="G178" s="25"/>
      <c r="H178" s="26"/>
      <c r="I178" s="26"/>
      <c r="J178" s="25"/>
      <c r="K178" s="27"/>
      <c r="L178" s="26"/>
      <c r="M178" s="25"/>
      <c r="N178" s="25"/>
      <c r="O178" s="25"/>
      <c r="P178" s="25"/>
      <c r="Q178" s="25"/>
      <c r="R178" s="25"/>
      <c r="S178" s="26"/>
      <c r="T178" s="25"/>
      <c r="U178" s="25"/>
      <c r="V178" s="25"/>
      <c r="W178" s="26"/>
      <c r="X178" s="26"/>
      <c r="Y178" s="25"/>
      <c r="Z178" s="28"/>
      <c r="AA178" s="25"/>
      <c r="AB178" s="26"/>
      <c r="AC178" s="26"/>
      <c r="AD178" s="26"/>
      <c r="AE178" s="26"/>
      <c r="AF178" s="29"/>
      <c r="AG178" s="26"/>
      <c r="AH178" s="26"/>
      <c r="AI178" s="26"/>
      <c r="AJ178" s="26"/>
      <c r="AK178" s="26"/>
      <c r="AL178" s="26"/>
      <c r="AM178" s="26"/>
      <c r="AN178" s="26"/>
      <c r="AO178" s="26"/>
    </row>
    <row r="179" spans="1:41" ht="13.8" customHeight="1" x14ac:dyDescent="0.3">
      <c r="A179" s="16">
        <f t="shared" si="519"/>
        <v>45</v>
      </c>
      <c r="B179" s="17"/>
      <c r="C179" s="14"/>
      <c r="D179" s="14"/>
      <c r="E179" s="15"/>
      <c r="F179" s="48"/>
      <c r="G179" s="17">
        <f>+E179</f>
        <v>0</v>
      </c>
      <c r="H179" s="20">
        <f t="shared" ref="H179" si="547">+AL179+AM179</f>
        <v>0</v>
      </c>
      <c r="I179" s="20">
        <f t="shared" ref="I179" si="548">+AC179+AD179</f>
        <v>0</v>
      </c>
      <c r="J179" s="14"/>
      <c r="K179" s="21">
        <f t="shared" ref="K179" si="549">+AF179</f>
        <v>0</v>
      </c>
      <c r="L179" s="20">
        <f t="shared" ref="L179" si="550">+AL179</f>
        <v>0</v>
      </c>
      <c r="M179" s="19" t="s">
        <v>55</v>
      </c>
      <c r="N179" s="15"/>
      <c r="O179" s="14"/>
      <c r="P179" s="15"/>
      <c r="Q179" s="19" t="s">
        <v>0</v>
      </c>
      <c r="R179" s="19"/>
      <c r="S179" s="20" t="str">
        <f t="shared" ref="S179" si="551">(RIGHT(O179,7))</f>
        <v/>
      </c>
      <c r="T179" s="15"/>
      <c r="U179" s="19" t="s">
        <v>53</v>
      </c>
      <c r="V179" s="19" t="s">
        <v>2</v>
      </c>
      <c r="W179" s="20">
        <f t="shared" ref="W179" si="552">+AK179</f>
        <v>0</v>
      </c>
      <c r="X179" s="20">
        <f t="shared" ref="X179" si="553">+AL179</f>
        <v>0</v>
      </c>
      <c r="Y179" s="18" t="s">
        <v>3</v>
      </c>
      <c r="Z179" s="22">
        <f t="shared" ref="Z179" si="554">+G179</f>
        <v>0</v>
      </c>
      <c r="AA179" s="18"/>
      <c r="AB179" s="20">
        <f t="shared" ref="AB179" si="555">(AC179*100)/18</f>
        <v>0</v>
      </c>
      <c r="AC179" s="49"/>
      <c r="AD179" s="49"/>
      <c r="AE179" s="20">
        <f t="shared" ref="AE179" si="556">+AB179+AC179+AD179</f>
        <v>0</v>
      </c>
      <c r="AF179" s="51"/>
      <c r="AG179" s="20">
        <f>+AB179*AF179</f>
        <v>0</v>
      </c>
      <c r="AH179" s="20">
        <f>+AC179*AF179</f>
        <v>0</v>
      </c>
      <c r="AI179" s="20">
        <f>+AD179*AF179</f>
        <v>0</v>
      </c>
      <c r="AJ179" s="20">
        <f>+AE179*AF179</f>
        <v>0</v>
      </c>
      <c r="AK179" s="20">
        <f t="shared" ref="AK179" si="557">+ROUND(AG179,2)</f>
        <v>0</v>
      </c>
      <c r="AL179" s="20">
        <f t="shared" ref="AL179" si="558">+ROUND(AH179,2)</f>
        <v>0</v>
      </c>
      <c r="AM179" s="20">
        <f>+ROUND(AI179,2)</f>
        <v>0</v>
      </c>
      <c r="AN179" s="20">
        <f t="shared" ref="AN179" si="559">+ROUND(AJ179,2)</f>
        <v>0</v>
      </c>
      <c r="AO179" s="20">
        <f>+AK179+AL179-AN179+AM179</f>
        <v>0</v>
      </c>
    </row>
    <row r="180" spans="1:41" ht="14.4" hidden="1" x14ac:dyDescent="0.3">
      <c r="A180" s="24"/>
      <c r="B180" s="24"/>
      <c r="C180" s="25"/>
      <c r="D180" s="25"/>
      <c r="E180" s="25"/>
      <c r="F180" s="25"/>
      <c r="G180" s="25"/>
      <c r="H180" s="26"/>
      <c r="I180" s="26"/>
      <c r="J180" s="25"/>
      <c r="K180" s="27"/>
      <c r="L180" s="26"/>
      <c r="M180" s="25"/>
      <c r="N180" s="25"/>
      <c r="O180" s="25"/>
      <c r="P180" s="25"/>
      <c r="Q180" s="25"/>
      <c r="R180" s="25"/>
      <c r="S180" s="26"/>
      <c r="T180" s="25"/>
      <c r="U180" s="25"/>
      <c r="V180" s="25"/>
      <c r="W180" s="26"/>
      <c r="X180" s="26"/>
      <c r="Y180" s="25"/>
      <c r="Z180" s="28"/>
      <c r="AA180" s="25"/>
      <c r="AB180" s="26"/>
      <c r="AC180" s="26"/>
      <c r="AD180" s="26"/>
      <c r="AE180" s="26"/>
      <c r="AF180" s="29"/>
      <c r="AG180" s="26"/>
      <c r="AH180" s="26"/>
      <c r="AI180" s="26"/>
      <c r="AJ180" s="26"/>
      <c r="AK180" s="26"/>
      <c r="AL180" s="26"/>
      <c r="AM180" s="26"/>
      <c r="AN180" s="26"/>
      <c r="AO180" s="26"/>
    </row>
    <row r="181" spans="1:41" ht="14.4" hidden="1" x14ac:dyDescent="0.3">
      <c r="A181" s="24"/>
      <c r="B181" s="24"/>
      <c r="C181" s="25"/>
      <c r="D181" s="25"/>
      <c r="E181" s="25"/>
      <c r="F181" s="25"/>
      <c r="G181" s="25"/>
      <c r="H181" s="26"/>
      <c r="I181" s="26"/>
      <c r="J181" s="25"/>
      <c r="K181" s="27"/>
      <c r="L181" s="26"/>
      <c r="M181" s="25"/>
      <c r="N181" s="25"/>
      <c r="O181" s="25"/>
      <c r="P181" s="25"/>
      <c r="Q181" s="25"/>
      <c r="R181" s="25"/>
      <c r="S181" s="26"/>
      <c r="T181" s="25"/>
      <c r="U181" s="25"/>
      <c r="V181" s="25"/>
      <c r="W181" s="26"/>
      <c r="X181" s="26"/>
      <c r="Y181" s="25"/>
      <c r="Z181" s="28"/>
      <c r="AA181" s="25"/>
      <c r="AB181" s="26"/>
      <c r="AC181" s="26"/>
      <c r="AD181" s="26"/>
      <c r="AE181" s="26"/>
      <c r="AF181" s="29"/>
      <c r="AG181" s="26"/>
      <c r="AH181" s="26"/>
      <c r="AI181" s="26"/>
      <c r="AJ181" s="26"/>
      <c r="AK181" s="26"/>
      <c r="AL181" s="26"/>
      <c r="AM181" s="26"/>
      <c r="AN181" s="26"/>
      <c r="AO181" s="26"/>
    </row>
    <row r="182" spans="1:41" ht="14.4" hidden="1" x14ac:dyDescent="0.3">
      <c r="A182" s="24"/>
      <c r="B182" s="24"/>
      <c r="C182" s="25"/>
      <c r="D182" s="25"/>
      <c r="E182" s="25"/>
      <c r="F182" s="25"/>
      <c r="G182" s="25"/>
      <c r="H182" s="26"/>
      <c r="I182" s="26"/>
      <c r="J182" s="25"/>
      <c r="K182" s="27"/>
      <c r="L182" s="26"/>
      <c r="M182" s="25"/>
      <c r="N182" s="25"/>
      <c r="O182" s="25"/>
      <c r="P182" s="25"/>
      <c r="Q182" s="25"/>
      <c r="R182" s="25"/>
      <c r="S182" s="26"/>
      <c r="T182" s="25"/>
      <c r="U182" s="25"/>
      <c r="V182" s="25"/>
      <c r="W182" s="26"/>
      <c r="X182" s="26"/>
      <c r="Y182" s="25"/>
      <c r="Z182" s="28"/>
      <c r="AA182" s="25"/>
      <c r="AB182" s="26"/>
      <c r="AC182" s="26"/>
      <c r="AD182" s="26"/>
      <c r="AE182" s="26"/>
      <c r="AF182" s="29"/>
      <c r="AG182" s="26"/>
      <c r="AH182" s="26"/>
      <c r="AI182" s="26"/>
      <c r="AJ182" s="26"/>
      <c r="AK182" s="26"/>
      <c r="AL182" s="26"/>
      <c r="AM182" s="26"/>
      <c r="AN182" s="26"/>
      <c r="AO182" s="26"/>
    </row>
  </sheetData>
  <autoFilter ref="A1:A182" xr:uid="{41D5374C-19B4-438A-9A30-B29BCADE8204}">
    <filterColumn colId="0">
      <customFilters>
        <customFilter operator="notEqual" val=" "/>
      </customFilters>
    </filterColumn>
  </autoFilter>
  <phoneticPr fontId="3" type="noConversion"/>
  <pageMargins left="0.7" right="0.7" top="0.75" bottom="0.75" header="0.3" footer="0.3"/>
  <headerFooter>
    <oddFooter>&amp;L_x000D_&amp;1#&amp;"Calibri"&amp;8&amp;K000000 Classified as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7508-02E0-4146-9E1F-8E351D118524}">
  <sheetPr filterMode="1"/>
  <dimension ref="A1:N181"/>
  <sheetViews>
    <sheetView workbookViewId="0">
      <pane ySplit="1" topLeftCell="A3" activePane="bottomLeft" state="frozen"/>
      <selection pane="bottomLeft" activeCell="E181" sqref="E3:E181"/>
    </sheetView>
  </sheetViews>
  <sheetFormatPr defaultColWidth="11.5546875" defaultRowHeight="14.4" x14ac:dyDescent="0.3"/>
  <cols>
    <col min="1" max="1" width="3" style="7" bestFit="1" customWidth="1"/>
    <col min="2" max="2" width="8.109375" bestFit="1" customWidth="1"/>
    <col min="3" max="3" width="7.44140625" bestFit="1" customWidth="1"/>
    <col min="4" max="4" width="9.5546875" bestFit="1" customWidth="1"/>
    <col min="5" max="5" width="9.33203125" bestFit="1" customWidth="1"/>
    <col min="6" max="6" width="9.21875" bestFit="1" customWidth="1"/>
    <col min="7" max="7" width="18.109375" style="3" bestFit="1" customWidth="1"/>
    <col min="8" max="8" width="15.109375" bestFit="1" customWidth="1"/>
    <col min="9" max="9" width="15.6640625" bestFit="1" customWidth="1"/>
    <col min="10" max="10" width="23.21875" bestFit="1" customWidth="1"/>
    <col min="11" max="11" width="10" bestFit="1" customWidth="1"/>
    <col min="12" max="12" width="13.77734375" bestFit="1" customWidth="1"/>
    <col min="13" max="13" width="20.21875" bestFit="1" customWidth="1"/>
    <col min="14" max="14" width="13.109375" bestFit="1" customWidth="1"/>
  </cols>
  <sheetData>
    <row r="1" spans="1:14" s="9" customFormat="1" x14ac:dyDescent="0.3">
      <c r="A1" s="10"/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4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  <c r="N1" s="10" t="s">
        <v>46</v>
      </c>
    </row>
    <row r="2" spans="1:14" s="9" customFormat="1" hidden="1" x14ac:dyDescent="0.3">
      <c r="A2" s="8">
        <v>1</v>
      </c>
      <c r="B2" s="5" t="str">
        <f>+'libro compras'!$AK$1</f>
        <v>281110</v>
      </c>
      <c r="C2" s="1" t="str">
        <f>+'libro compras'!Q3</f>
        <v>103</v>
      </c>
      <c r="D2" s="1"/>
      <c r="E2" s="11" t="str">
        <f>+'libro compras'!S3</f>
        <v/>
      </c>
      <c r="F2" s="6"/>
      <c r="G2" s="2">
        <f>+'libro compras'!AM3</f>
        <v>0</v>
      </c>
      <c r="H2" s="6"/>
      <c r="I2" s="6" t="s">
        <v>31</v>
      </c>
      <c r="J2" s="6" t="str">
        <f>+CONCATENATE('libro compras'!C3," ",'libro compras'!D3)</f>
        <v xml:space="preserve"> </v>
      </c>
      <c r="K2" s="5">
        <f>+'libro compras'!F3</f>
        <v>0</v>
      </c>
      <c r="L2" s="1">
        <f>+'libro compras'!C3</f>
        <v>0</v>
      </c>
      <c r="M2" s="5">
        <f>+'libro compras'!D3</f>
        <v>0</v>
      </c>
      <c r="N2" s="6" t="s">
        <v>32</v>
      </c>
    </row>
    <row r="3" spans="1:14" s="9" customFormat="1" x14ac:dyDescent="0.3">
      <c r="A3" s="8">
        <v>1</v>
      </c>
      <c r="B3" s="5" t="str">
        <f>+'libro compras'!$AL$1</f>
        <v>401110</v>
      </c>
      <c r="C3" s="5" t="str">
        <f>+C2</f>
        <v>103</v>
      </c>
      <c r="D3" s="1"/>
      <c r="E3" s="11" t="str">
        <f t="shared" ref="E3" si="0">+E2</f>
        <v/>
      </c>
      <c r="F3" s="6"/>
      <c r="G3" s="2">
        <f>+'libro compras'!L3</f>
        <v>0</v>
      </c>
      <c r="H3" s="6"/>
      <c r="I3" s="6" t="s">
        <v>31</v>
      </c>
      <c r="J3" s="6" t="str">
        <f t="shared" ref="J3:M3" si="1">+J2</f>
        <v xml:space="preserve"> </v>
      </c>
      <c r="K3" s="5">
        <f t="shared" si="1"/>
        <v>0</v>
      </c>
      <c r="L3" s="1">
        <f t="shared" si="1"/>
        <v>0</v>
      </c>
      <c r="M3" s="1">
        <f t="shared" si="1"/>
        <v>0</v>
      </c>
      <c r="N3" s="6" t="s">
        <v>32</v>
      </c>
    </row>
    <row r="4" spans="1:14" s="9" customFormat="1" x14ac:dyDescent="0.3">
      <c r="A4" s="8">
        <v>1</v>
      </c>
      <c r="B4" s="5" t="str">
        <f>+'libro compras'!$AN$1</f>
        <v>421202</v>
      </c>
      <c r="C4" s="1" t="str">
        <f t="shared" ref="C4:E4" si="2">+C3</f>
        <v>103</v>
      </c>
      <c r="D4" s="1"/>
      <c r="E4" s="11" t="str">
        <f t="shared" si="2"/>
        <v/>
      </c>
      <c r="F4" s="6"/>
      <c r="G4" s="2">
        <f>-'libro compras'!H3</f>
        <v>0</v>
      </c>
      <c r="H4" s="6"/>
      <c r="I4" s="1" t="s">
        <v>1</v>
      </c>
      <c r="J4" s="6" t="str">
        <f t="shared" ref="J4:M4" si="3">+J3</f>
        <v xml:space="preserve"> </v>
      </c>
      <c r="K4" s="5">
        <f t="shared" si="3"/>
        <v>0</v>
      </c>
      <c r="L4" s="1">
        <f t="shared" si="3"/>
        <v>0</v>
      </c>
      <c r="M4" s="1">
        <f t="shared" si="3"/>
        <v>0</v>
      </c>
      <c r="N4" s="6" t="s">
        <v>32</v>
      </c>
    </row>
    <row r="5" spans="1:14" s="9" customFormat="1" x14ac:dyDescent="0.3">
      <c r="A5" s="8">
        <v>1</v>
      </c>
      <c r="B5" s="5" t="str">
        <f>+'libro compras'!$AB$1</f>
        <v>0131</v>
      </c>
      <c r="C5" s="1" t="str">
        <f t="shared" ref="C5:E5" si="4">+C4</f>
        <v>103</v>
      </c>
      <c r="D5" s="1"/>
      <c r="E5" s="11" t="str">
        <f t="shared" si="4"/>
        <v/>
      </c>
      <c r="F5" s="6"/>
      <c r="G5" s="2">
        <f>-'libro compras'!I3</f>
        <v>0</v>
      </c>
      <c r="H5" s="6"/>
      <c r="I5" s="1" t="s">
        <v>1</v>
      </c>
      <c r="J5" s="6" t="str">
        <f t="shared" ref="J5:M5" si="5">+J4</f>
        <v xml:space="preserve"> </v>
      </c>
      <c r="K5" s="5">
        <f t="shared" si="5"/>
        <v>0</v>
      </c>
      <c r="L5" s="1">
        <f t="shared" si="5"/>
        <v>0</v>
      </c>
      <c r="M5" s="1">
        <f t="shared" si="5"/>
        <v>0</v>
      </c>
      <c r="N5" s="6" t="s">
        <v>32</v>
      </c>
    </row>
    <row r="6" spans="1:14" hidden="1" x14ac:dyDescent="0.3">
      <c r="A6" s="8">
        <f>+A2+1</f>
        <v>2</v>
      </c>
      <c r="B6" s="5" t="str">
        <f>+'libro compras'!$AK$1</f>
        <v>281110</v>
      </c>
      <c r="C6" s="1" t="str">
        <f>+'libro compras'!Q7</f>
        <v>103</v>
      </c>
      <c r="D6" s="1"/>
      <c r="E6" s="11" t="str">
        <f>+'libro compras'!S7</f>
        <v/>
      </c>
      <c r="F6" s="6"/>
      <c r="G6" s="2">
        <f>+'libro compras'!AM7</f>
        <v>0</v>
      </c>
      <c r="H6" s="6"/>
      <c r="I6" s="6" t="s">
        <v>31</v>
      </c>
      <c r="J6" s="6" t="str">
        <f>+CONCATENATE('libro compras'!C7," ",'libro compras'!D7)</f>
        <v xml:space="preserve"> </v>
      </c>
      <c r="K6" s="5">
        <f>+'libro compras'!F7</f>
        <v>0</v>
      </c>
      <c r="L6" s="1">
        <f>+'libro compras'!C7</f>
        <v>0</v>
      </c>
      <c r="M6" s="5">
        <f>+'libro compras'!D7</f>
        <v>0</v>
      </c>
      <c r="N6" s="6" t="s">
        <v>32</v>
      </c>
    </row>
    <row r="7" spans="1:14" x14ac:dyDescent="0.3">
      <c r="A7" s="8">
        <f>+A6</f>
        <v>2</v>
      </c>
      <c r="B7" s="5" t="str">
        <f>+'libro compras'!$AL$1</f>
        <v>401110</v>
      </c>
      <c r="C7" s="5" t="str">
        <f t="shared" ref="C7" si="6">+C6</f>
        <v>103</v>
      </c>
      <c r="D7" s="1"/>
      <c r="E7" s="11" t="str">
        <f t="shared" ref="E7:E67" si="7">+E6</f>
        <v/>
      </c>
      <c r="F7" s="6"/>
      <c r="G7" s="2">
        <f>+'libro compras'!L7</f>
        <v>0</v>
      </c>
      <c r="H7" s="6"/>
      <c r="I7" s="6" t="s">
        <v>31</v>
      </c>
      <c r="J7" s="6" t="str">
        <f t="shared" ref="J7" si="8">+J6</f>
        <v xml:space="preserve"> </v>
      </c>
      <c r="K7" s="5">
        <f t="shared" ref="K7:M7" si="9">+K6</f>
        <v>0</v>
      </c>
      <c r="L7" s="1">
        <f t="shared" si="9"/>
        <v>0</v>
      </c>
      <c r="M7" s="1">
        <f t="shared" si="9"/>
        <v>0</v>
      </c>
      <c r="N7" s="6" t="s">
        <v>32</v>
      </c>
    </row>
    <row r="8" spans="1:14" x14ac:dyDescent="0.3">
      <c r="A8" s="8">
        <f>+A7</f>
        <v>2</v>
      </c>
      <c r="B8" s="5" t="str">
        <f>+'libro compras'!$AN$1</f>
        <v>421202</v>
      </c>
      <c r="C8" s="1" t="str">
        <f t="shared" ref="C8" si="10">+C7</f>
        <v>103</v>
      </c>
      <c r="D8" s="1"/>
      <c r="E8" s="11" t="str">
        <f t="shared" ref="E8" si="11">+E7</f>
        <v/>
      </c>
      <c r="F8" s="6"/>
      <c r="G8" s="2">
        <f>-'libro compras'!H7</f>
        <v>0</v>
      </c>
      <c r="H8" s="6"/>
      <c r="I8" s="1" t="s">
        <v>1</v>
      </c>
      <c r="J8" s="6" t="str">
        <f t="shared" ref="J8" si="12">+J7</f>
        <v xml:space="preserve"> </v>
      </c>
      <c r="K8" s="5">
        <f t="shared" ref="K8:M8" si="13">+K7</f>
        <v>0</v>
      </c>
      <c r="L8" s="1">
        <f t="shared" si="13"/>
        <v>0</v>
      </c>
      <c r="M8" s="1">
        <f t="shared" si="13"/>
        <v>0</v>
      </c>
      <c r="N8" s="6" t="s">
        <v>32</v>
      </c>
    </row>
    <row r="9" spans="1:14" x14ac:dyDescent="0.3">
      <c r="A9" s="8">
        <f>+A8</f>
        <v>2</v>
      </c>
      <c r="B9" s="5" t="str">
        <f>+'libro compras'!$AB$1</f>
        <v>0131</v>
      </c>
      <c r="C9" s="1" t="str">
        <f t="shared" ref="C9" si="14">+C8</f>
        <v>103</v>
      </c>
      <c r="D9" s="1"/>
      <c r="E9" s="11" t="str">
        <f t="shared" ref="E9" si="15">+E8</f>
        <v/>
      </c>
      <c r="F9" s="6"/>
      <c r="G9" s="2">
        <f>-'libro compras'!I7</f>
        <v>0</v>
      </c>
      <c r="H9" s="6"/>
      <c r="I9" s="1" t="s">
        <v>1</v>
      </c>
      <c r="J9" s="6" t="str">
        <f t="shared" ref="J9" si="16">+J8</f>
        <v xml:space="preserve"> </v>
      </c>
      <c r="K9" s="5">
        <f t="shared" ref="K9:M9" si="17">+K8</f>
        <v>0</v>
      </c>
      <c r="L9" s="1">
        <f t="shared" si="17"/>
        <v>0</v>
      </c>
      <c r="M9" s="1">
        <f t="shared" si="17"/>
        <v>0</v>
      </c>
      <c r="N9" s="6" t="s">
        <v>32</v>
      </c>
    </row>
    <row r="10" spans="1:14" x14ac:dyDescent="0.3">
      <c r="A10" s="8">
        <f>1+A6</f>
        <v>3</v>
      </c>
      <c r="B10" s="5" t="str">
        <f>+'libro compras'!$AK$1</f>
        <v>281110</v>
      </c>
      <c r="C10" s="1" t="str">
        <f>+'libro compras'!Q11</f>
        <v>103</v>
      </c>
      <c r="D10" s="1"/>
      <c r="E10" s="11" t="str">
        <f>+'libro compras'!S11</f>
        <v/>
      </c>
      <c r="F10" s="6"/>
      <c r="G10" s="2">
        <f>+'libro compras'!AM11</f>
        <v>0</v>
      </c>
      <c r="H10" s="6"/>
      <c r="I10" s="6" t="s">
        <v>31</v>
      </c>
      <c r="J10" s="6" t="str">
        <f>+CONCATENATE('libro compras'!C11," ",'libro compras'!D11)</f>
        <v xml:space="preserve"> </v>
      </c>
      <c r="K10" s="5">
        <f>+'libro compras'!F11</f>
        <v>0</v>
      </c>
      <c r="L10" s="1">
        <f>+'libro compras'!C11</f>
        <v>0</v>
      </c>
      <c r="M10" s="5">
        <f>+'libro compras'!D11</f>
        <v>0</v>
      </c>
      <c r="N10" s="6" t="s">
        <v>32</v>
      </c>
    </row>
    <row r="11" spans="1:14" x14ac:dyDescent="0.3">
      <c r="A11" s="8">
        <f>+A10</f>
        <v>3</v>
      </c>
      <c r="B11" s="5" t="str">
        <f>+'libro compras'!$AL$1</f>
        <v>401110</v>
      </c>
      <c r="C11" s="5" t="str">
        <f t="shared" ref="C11" si="18">+C10</f>
        <v>103</v>
      </c>
      <c r="D11" s="1"/>
      <c r="E11" s="11" t="str">
        <f t="shared" si="7"/>
        <v/>
      </c>
      <c r="F11" s="6"/>
      <c r="G11" s="2">
        <f>+'libro compras'!L11</f>
        <v>0</v>
      </c>
      <c r="H11" s="6"/>
      <c r="I11" s="6" t="s">
        <v>31</v>
      </c>
      <c r="J11" s="6" t="str">
        <f t="shared" ref="J11" si="19">+J10</f>
        <v xml:space="preserve"> </v>
      </c>
      <c r="K11" s="5">
        <f t="shared" ref="K11:M11" si="20">+K10</f>
        <v>0</v>
      </c>
      <c r="L11" s="1">
        <f t="shared" si="20"/>
        <v>0</v>
      </c>
      <c r="M11" s="1">
        <f t="shared" si="20"/>
        <v>0</v>
      </c>
      <c r="N11" s="6" t="s">
        <v>32</v>
      </c>
    </row>
    <row r="12" spans="1:14" x14ac:dyDescent="0.3">
      <c r="A12" s="8">
        <f>+A11</f>
        <v>3</v>
      </c>
      <c r="B12" s="5" t="str">
        <f>+'libro compras'!$AN$1</f>
        <v>421202</v>
      </c>
      <c r="C12" s="1" t="str">
        <f t="shared" ref="C12" si="21">+C11</f>
        <v>103</v>
      </c>
      <c r="D12" s="1"/>
      <c r="E12" s="11" t="str">
        <f t="shared" ref="E12" si="22">+E11</f>
        <v/>
      </c>
      <c r="F12" s="6"/>
      <c r="G12" s="2">
        <f>-'libro compras'!H11</f>
        <v>0</v>
      </c>
      <c r="H12" s="6"/>
      <c r="I12" s="1" t="s">
        <v>1</v>
      </c>
      <c r="J12" s="6" t="str">
        <f t="shared" ref="J12" si="23">+J11</f>
        <v xml:space="preserve"> </v>
      </c>
      <c r="K12" s="5">
        <f t="shared" ref="K12:M12" si="24">+K11</f>
        <v>0</v>
      </c>
      <c r="L12" s="1">
        <f t="shared" si="24"/>
        <v>0</v>
      </c>
      <c r="M12" s="1">
        <f t="shared" si="24"/>
        <v>0</v>
      </c>
      <c r="N12" s="6" t="s">
        <v>32</v>
      </c>
    </row>
    <row r="13" spans="1:14" x14ac:dyDescent="0.3">
      <c r="A13" s="8">
        <f>+A12</f>
        <v>3</v>
      </c>
      <c r="B13" s="5" t="str">
        <f>+'libro compras'!$AB$1</f>
        <v>0131</v>
      </c>
      <c r="C13" s="1" t="str">
        <f t="shared" ref="C13" si="25">+C12</f>
        <v>103</v>
      </c>
      <c r="D13" s="1"/>
      <c r="E13" s="11" t="str">
        <f t="shared" ref="E13" si="26">+E12</f>
        <v/>
      </c>
      <c r="F13" s="6"/>
      <c r="G13" s="2">
        <f>-'libro compras'!I11</f>
        <v>0</v>
      </c>
      <c r="H13" s="6"/>
      <c r="I13" s="1" t="s">
        <v>1</v>
      </c>
      <c r="J13" s="6" t="str">
        <f t="shared" ref="J13" si="27">+J12</f>
        <v xml:space="preserve"> </v>
      </c>
      <c r="K13" s="5">
        <f t="shared" ref="K13:M13" si="28">+K12</f>
        <v>0</v>
      </c>
      <c r="L13" s="1">
        <f t="shared" si="28"/>
        <v>0</v>
      </c>
      <c r="M13" s="1">
        <f t="shared" si="28"/>
        <v>0</v>
      </c>
      <c r="N13" s="6" t="s">
        <v>32</v>
      </c>
    </row>
    <row r="14" spans="1:14" x14ac:dyDescent="0.3">
      <c r="A14" s="8">
        <f>1+A10</f>
        <v>4</v>
      </c>
      <c r="B14" s="5" t="str">
        <f>+'libro compras'!$AK$1</f>
        <v>281110</v>
      </c>
      <c r="C14" s="1" t="str">
        <f>+'libro compras'!Q15</f>
        <v>103</v>
      </c>
      <c r="D14" s="1"/>
      <c r="E14" s="11" t="str">
        <f>+'libro compras'!S15</f>
        <v/>
      </c>
      <c r="F14" s="6"/>
      <c r="G14" s="2">
        <f>+'libro compras'!AM15</f>
        <v>0</v>
      </c>
      <c r="H14" s="6"/>
      <c r="I14" s="6" t="s">
        <v>31</v>
      </c>
      <c r="J14" s="6" t="str">
        <f>+CONCATENATE('libro compras'!C15," ",'libro compras'!D15)</f>
        <v xml:space="preserve"> </v>
      </c>
      <c r="K14" s="5">
        <f>+'libro compras'!F15</f>
        <v>0</v>
      </c>
      <c r="L14" s="1">
        <f>+'libro compras'!C15</f>
        <v>0</v>
      </c>
      <c r="M14" s="5">
        <f>+'libro compras'!D15</f>
        <v>0</v>
      </c>
      <c r="N14" s="6" t="s">
        <v>32</v>
      </c>
    </row>
    <row r="15" spans="1:14" x14ac:dyDescent="0.3">
      <c r="A15" s="8">
        <f>+A14</f>
        <v>4</v>
      </c>
      <c r="B15" s="5" t="str">
        <f>+'libro compras'!$AL$1</f>
        <v>401110</v>
      </c>
      <c r="C15" s="5" t="str">
        <f t="shared" ref="C15" si="29">+C14</f>
        <v>103</v>
      </c>
      <c r="D15" s="1"/>
      <c r="E15" s="11" t="str">
        <f t="shared" si="7"/>
        <v/>
      </c>
      <c r="F15" s="6"/>
      <c r="G15" s="2">
        <f>+'libro compras'!L15</f>
        <v>0</v>
      </c>
      <c r="H15" s="6"/>
      <c r="I15" s="6" t="s">
        <v>31</v>
      </c>
      <c r="J15" s="6" t="str">
        <f t="shared" ref="J15" si="30">+J14</f>
        <v xml:space="preserve"> </v>
      </c>
      <c r="K15" s="5">
        <f t="shared" ref="K15:M15" si="31">+K14</f>
        <v>0</v>
      </c>
      <c r="L15" s="1">
        <f t="shared" si="31"/>
        <v>0</v>
      </c>
      <c r="M15" s="1">
        <f t="shared" si="31"/>
        <v>0</v>
      </c>
      <c r="N15" s="6" t="s">
        <v>32</v>
      </c>
    </row>
    <row r="16" spans="1:14" x14ac:dyDescent="0.3">
      <c r="A16" s="8">
        <f>+A15</f>
        <v>4</v>
      </c>
      <c r="B16" s="5" t="str">
        <f>+'libro compras'!$AN$1</f>
        <v>421202</v>
      </c>
      <c r="C16" s="1" t="str">
        <f t="shared" ref="C16" si="32">+C15</f>
        <v>103</v>
      </c>
      <c r="D16" s="1"/>
      <c r="E16" s="11" t="str">
        <f t="shared" ref="E16" si="33">+E15</f>
        <v/>
      </c>
      <c r="F16" s="6"/>
      <c r="G16" s="2">
        <f>-'libro compras'!H15</f>
        <v>0</v>
      </c>
      <c r="H16" s="6"/>
      <c r="I16" s="1" t="s">
        <v>1</v>
      </c>
      <c r="J16" s="6" t="str">
        <f t="shared" ref="J16" si="34">+J15</f>
        <v xml:space="preserve"> </v>
      </c>
      <c r="K16" s="5">
        <f t="shared" ref="K16:M16" si="35">+K15</f>
        <v>0</v>
      </c>
      <c r="L16" s="1">
        <f t="shared" si="35"/>
        <v>0</v>
      </c>
      <c r="M16" s="1">
        <f t="shared" si="35"/>
        <v>0</v>
      </c>
      <c r="N16" s="6" t="s">
        <v>32</v>
      </c>
    </row>
    <row r="17" spans="1:14" x14ac:dyDescent="0.3">
      <c r="A17" s="8">
        <f>+A16</f>
        <v>4</v>
      </c>
      <c r="B17" s="5" t="str">
        <f>+'libro compras'!$AB$1</f>
        <v>0131</v>
      </c>
      <c r="C17" s="1" t="str">
        <f t="shared" ref="C17" si="36">+C16</f>
        <v>103</v>
      </c>
      <c r="D17" s="1"/>
      <c r="E17" s="11" t="str">
        <f t="shared" ref="E17" si="37">+E16</f>
        <v/>
      </c>
      <c r="F17" s="6"/>
      <c r="G17" s="2">
        <f>-'libro compras'!I15</f>
        <v>0</v>
      </c>
      <c r="H17" s="6"/>
      <c r="I17" s="1" t="s">
        <v>1</v>
      </c>
      <c r="J17" s="6" t="str">
        <f t="shared" ref="J17" si="38">+J16</f>
        <v xml:space="preserve"> </v>
      </c>
      <c r="K17" s="5">
        <f t="shared" ref="K17:M17" si="39">+K16</f>
        <v>0</v>
      </c>
      <c r="L17" s="1">
        <f t="shared" si="39"/>
        <v>0</v>
      </c>
      <c r="M17" s="1">
        <f t="shared" si="39"/>
        <v>0</v>
      </c>
      <c r="N17" s="6" t="s">
        <v>32</v>
      </c>
    </row>
    <row r="18" spans="1:14" hidden="1" x14ac:dyDescent="0.3">
      <c r="A18" s="8">
        <f t="shared" ref="A18" si="40">1+A14</f>
        <v>5</v>
      </c>
      <c r="B18" s="5" t="str">
        <f>+'libro compras'!$AK$1</f>
        <v>281110</v>
      </c>
      <c r="C18" s="1" t="str">
        <f>+'libro compras'!Q19</f>
        <v>103</v>
      </c>
      <c r="D18" s="1"/>
      <c r="E18" s="11" t="str">
        <f>+'libro compras'!S19</f>
        <v/>
      </c>
      <c r="F18" s="6"/>
      <c r="G18" s="2">
        <f>+'libro compras'!AM19</f>
        <v>0</v>
      </c>
      <c r="H18" s="6"/>
      <c r="I18" s="6" t="s">
        <v>31</v>
      </c>
      <c r="J18" s="6" t="str">
        <f>+CONCATENATE('libro compras'!C19," ",'libro compras'!D19)</f>
        <v xml:space="preserve"> </v>
      </c>
      <c r="K18" s="5">
        <f>+'libro compras'!F19</f>
        <v>0</v>
      </c>
      <c r="L18" s="1">
        <f>+'libro compras'!C19</f>
        <v>0</v>
      </c>
      <c r="M18" s="5">
        <f>+'libro compras'!D19</f>
        <v>0</v>
      </c>
      <c r="N18" s="6" t="s">
        <v>32</v>
      </c>
    </row>
    <row r="19" spans="1:14" x14ac:dyDescent="0.3">
      <c r="A19" s="8">
        <f t="shared" ref="A19:A21" si="41">+A18</f>
        <v>5</v>
      </c>
      <c r="B19" s="5" t="str">
        <f>+'libro compras'!$AL$1</f>
        <v>401110</v>
      </c>
      <c r="C19" s="5" t="str">
        <f t="shared" ref="C19" si="42">+C18</f>
        <v>103</v>
      </c>
      <c r="D19" s="1"/>
      <c r="E19" s="11" t="str">
        <f t="shared" si="7"/>
        <v/>
      </c>
      <c r="F19" s="6"/>
      <c r="G19" s="2">
        <f>+'libro compras'!L19</f>
        <v>0</v>
      </c>
      <c r="H19" s="6"/>
      <c r="I19" s="6" t="s">
        <v>31</v>
      </c>
      <c r="J19" s="6" t="str">
        <f t="shared" ref="J19" si="43">+J18</f>
        <v xml:space="preserve"> </v>
      </c>
      <c r="K19" s="5">
        <f t="shared" ref="K19:M19" si="44">+K18</f>
        <v>0</v>
      </c>
      <c r="L19" s="1">
        <f t="shared" si="44"/>
        <v>0</v>
      </c>
      <c r="M19" s="1">
        <f t="shared" si="44"/>
        <v>0</v>
      </c>
      <c r="N19" s="6" t="s">
        <v>32</v>
      </c>
    </row>
    <row r="20" spans="1:14" x14ac:dyDescent="0.3">
      <c r="A20" s="8">
        <f t="shared" si="41"/>
        <v>5</v>
      </c>
      <c r="B20" s="5" t="str">
        <f>+'libro compras'!$AN$1</f>
        <v>421202</v>
      </c>
      <c r="C20" s="1" t="str">
        <f t="shared" ref="C20" si="45">+C19</f>
        <v>103</v>
      </c>
      <c r="D20" s="1"/>
      <c r="E20" s="11" t="str">
        <f t="shared" ref="E20" si="46">+E19</f>
        <v/>
      </c>
      <c r="F20" s="6"/>
      <c r="G20" s="2">
        <f>-'libro compras'!H19</f>
        <v>0</v>
      </c>
      <c r="H20" s="6"/>
      <c r="I20" s="1" t="s">
        <v>1</v>
      </c>
      <c r="J20" s="6" t="str">
        <f t="shared" ref="J20" si="47">+J19</f>
        <v xml:space="preserve"> </v>
      </c>
      <c r="K20" s="5">
        <f t="shared" ref="K20:M20" si="48">+K19</f>
        <v>0</v>
      </c>
      <c r="L20" s="1">
        <f t="shared" si="48"/>
        <v>0</v>
      </c>
      <c r="M20" s="1">
        <f t="shared" si="48"/>
        <v>0</v>
      </c>
      <c r="N20" s="6" t="s">
        <v>32</v>
      </c>
    </row>
    <row r="21" spans="1:14" x14ac:dyDescent="0.3">
      <c r="A21" s="8">
        <f t="shared" si="41"/>
        <v>5</v>
      </c>
      <c r="B21" s="5" t="str">
        <f>+'libro compras'!$AB$1</f>
        <v>0131</v>
      </c>
      <c r="C21" s="1" t="str">
        <f t="shared" ref="C21" si="49">+C20</f>
        <v>103</v>
      </c>
      <c r="D21" s="1"/>
      <c r="E21" s="11" t="str">
        <f t="shared" ref="E21" si="50">+E20</f>
        <v/>
      </c>
      <c r="F21" s="6"/>
      <c r="G21" s="2">
        <f>-'libro compras'!I19</f>
        <v>0</v>
      </c>
      <c r="H21" s="6"/>
      <c r="I21" s="1" t="s">
        <v>1</v>
      </c>
      <c r="J21" s="6" t="str">
        <f t="shared" ref="J21" si="51">+J20</f>
        <v xml:space="preserve"> </v>
      </c>
      <c r="K21" s="5">
        <f t="shared" ref="K21:M21" si="52">+K20</f>
        <v>0</v>
      </c>
      <c r="L21" s="1">
        <f t="shared" si="52"/>
        <v>0</v>
      </c>
      <c r="M21" s="1">
        <f t="shared" si="52"/>
        <v>0</v>
      </c>
      <c r="N21" s="6" t="s">
        <v>32</v>
      </c>
    </row>
    <row r="22" spans="1:14" hidden="1" x14ac:dyDescent="0.3">
      <c r="A22" s="8">
        <f t="shared" ref="A22" si="53">1+A18</f>
        <v>6</v>
      </c>
      <c r="B22" s="5" t="str">
        <f>+'libro compras'!$AK$1</f>
        <v>281110</v>
      </c>
      <c r="C22" s="1" t="str">
        <f>+'libro compras'!Q23</f>
        <v>103</v>
      </c>
      <c r="D22" s="1"/>
      <c r="E22" s="11" t="str">
        <f>+'libro compras'!S23</f>
        <v/>
      </c>
      <c r="F22" s="6"/>
      <c r="G22" s="2">
        <f>+'libro compras'!AM23</f>
        <v>0</v>
      </c>
      <c r="H22" s="6"/>
      <c r="I22" s="6" t="s">
        <v>31</v>
      </c>
      <c r="J22" s="6" t="str">
        <f>+CONCATENATE('libro compras'!C23," ",'libro compras'!D23)</f>
        <v xml:space="preserve"> </v>
      </c>
      <c r="K22" s="5">
        <f>+'libro compras'!F23</f>
        <v>0</v>
      </c>
      <c r="L22" s="1">
        <f>+'libro compras'!C23</f>
        <v>0</v>
      </c>
      <c r="M22" s="5">
        <f>+'libro compras'!D23</f>
        <v>0</v>
      </c>
      <c r="N22" s="6" t="s">
        <v>32</v>
      </c>
    </row>
    <row r="23" spans="1:14" x14ac:dyDescent="0.3">
      <c r="A23" s="8">
        <f t="shared" ref="A23:A25" si="54">+A22</f>
        <v>6</v>
      </c>
      <c r="B23" s="5" t="str">
        <f>+'libro compras'!$AL$1</f>
        <v>401110</v>
      </c>
      <c r="C23" s="5" t="str">
        <f t="shared" ref="C23" si="55">+C22</f>
        <v>103</v>
      </c>
      <c r="D23" s="1"/>
      <c r="E23" s="11" t="str">
        <f t="shared" si="7"/>
        <v/>
      </c>
      <c r="F23" s="6"/>
      <c r="G23" s="2">
        <f>+'libro compras'!L23</f>
        <v>0</v>
      </c>
      <c r="H23" s="6"/>
      <c r="I23" s="6" t="s">
        <v>31</v>
      </c>
      <c r="J23" s="6" t="str">
        <f t="shared" ref="J23" si="56">+J22</f>
        <v xml:space="preserve"> </v>
      </c>
      <c r="K23" s="5">
        <f t="shared" ref="K23:M23" si="57">+K22</f>
        <v>0</v>
      </c>
      <c r="L23" s="1">
        <f t="shared" si="57"/>
        <v>0</v>
      </c>
      <c r="M23" s="1">
        <f t="shared" si="57"/>
        <v>0</v>
      </c>
      <c r="N23" s="6" t="s">
        <v>32</v>
      </c>
    </row>
    <row r="24" spans="1:14" x14ac:dyDescent="0.3">
      <c r="A24" s="8">
        <f t="shared" si="54"/>
        <v>6</v>
      </c>
      <c r="B24" s="5" t="str">
        <f>+'libro compras'!$AN$1</f>
        <v>421202</v>
      </c>
      <c r="C24" s="1" t="str">
        <f t="shared" ref="C24" si="58">+C23</f>
        <v>103</v>
      </c>
      <c r="D24" s="1"/>
      <c r="E24" s="11" t="str">
        <f t="shared" ref="E24" si="59">+E23</f>
        <v/>
      </c>
      <c r="F24" s="6"/>
      <c r="G24" s="2">
        <f>-'libro compras'!H23</f>
        <v>0</v>
      </c>
      <c r="H24" s="6"/>
      <c r="I24" s="1" t="s">
        <v>1</v>
      </c>
      <c r="J24" s="6" t="str">
        <f t="shared" ref="J24" si="60">+J23</f>
        <v xml:space="preserve"> </v>
      </c>
      <c r="K24" s="5">
        <f t="shared" ref="K24:M24" si="61">+K23</f>
        <v>0</v>
      </c>
      <c r="L24" s="1">
        <f t="shared" si="61"/>
        <v>0</v>
      </c>
      <c r="M24" s="1">
        <f t="shared" si="61"/>
        <v>0</v>
      </c>
      <c r="N24" s="6" t="s">
        <v>32</v>
      </c>
    </row>
    <row r="25" spans="1:14" x14ac:dyDescent="0.3">
      <c r="A25" s="8">
        <f t="shared" si="54"/>
        <v>6</v>
      </c>
      <c r="B25" s="5" t="str">
        <f>+'libro compras'!$AB$1</f>
        <v>0131</v>
      </c>
      <c r="C25" s="1" t="str">
        <f t="shared" ref="C25" si="62">+C24</f>
        <v>103</v>
      </c>
      <c r="D25" s="1"/>
      <c r="E25" s="11" t="str">
        <f t="shared" ref="E25" si="63">+E24</f>
        <v/>
      </c>
      <c r="F25" s="6"/>
      <c r="G25" s="2">
        <f>-'libro compras'!I23</f>
        <v>0</v>
      </c>
      <c r="H25" s="6"/>
      <c r="I25" s="1" t="s">
        <v>1</v>
      </c>
      <c r="J25" s="6" t="str">
        <f t="shared" ref="J25" si="64">+J24</f>
        <v xml:space="preserve"> </v>
      </c>
      <c r="K25" s="5">
        <f t="shared" ref="K25:M25" si="65">+K24</f>
        <v>0</v>
      </c>
      <c r="L25" s="1">
        <f t="shared" si="65"/>
        <v>0</v>
      </c>
      <c r="M25" s="1">
        <f t="shared" si="65"/>
        <v>0</v>
      </c>
      <c r="N25" s="6" t="s">
        <v>32</v>
      </c>
    </row>
    <row r="26" spans="1:14" hidden="1" x14ac:dyDescent="0.3">
      <c r="A26" s="8">
        <f t="shared" ref="A26" si="66">1+A22</f>
        <v>7</v>
      </c>
      <c r="B26" s="5" t="str">
        <f>+'libro compras'!$AK$1</f>
        <v>281110</v>
      </c>
      <c r="C26" s="1" t="str">
        <f>+'libro compras'!Q27</f>
        <v>103</v>
      </c>
      <c r="D26" s="1"/>
      <c r="E26" s="11" t="str">
        <f>+'libro compras'!S27</f>
        <v/>
      </c>
      <c r="F26" s="6"/>
      <c r="G26" s="2">
        <f>+'libro compras'!AM27</f>
        <v>0</v>
      </c>
      <c r="H26" s="6"/>
      <c r="I26" s="6" t="s">
        <v>31</v>
      </c>
      <c r="J26" s="6" t="str">
        <f>+CONCATENATE('libro compras'!C27," ",'libro compras'!D27)</f>
        <v xml:space="preserve"> </v>
      </c>
      <c r="K26" s="5">
        <f>+'libro compras'!F27</f>
        <v>0</v>
      </c>
      <c r="L26" s="1">
        <f>+'libro compras'!C27</f>
        <v>0</v>
      </c>
      <c r="M26" s="5">
        <f>+'libro compras'!D27</f>
        <v>0</v>
      </c>
      <c r="N26" s="6" t="s">
        <v>32</v>
      </c>
    </row>
    <row r="27" spans="1:14" x14ac:dyDescent="0.3">
      <c r="A27" s="8">
        <f t="shared" ref="A27:A29" si="67">+A26</f>
        <v>7</v>
      </c>
      <c r="B27" s="5" t="str">
        <f>+'libro compras'!$AL$1</f>
        <v>401110</v>
      </c>
      <c r="C27" s="5" t="str">
        <f t="shared" ref="C27" si="68">+C26</f>
        <v>103</v>
      </c>
      <c r="D27" s="1"/>
      <c r="E27" s="11" t="str">
        <f t="shared" si="7"/>
        <v/>
      </c>
      <c r="F27" s="6"/>
      <c r="G27" s="2">
        <f>+'libro compras'!L27</f>
        <v>0</v>
      </c>
      <c r="H27" s="6"/>
      <c r="I27" s="6" t="s">
        <v>31</v>
      </c>
      <c r="J27" s="6" t="str">
        <f t="shared" ref="J27" si="69">+J26</f>
        <v xml:space="preserve"> </v>
      </c>
      <c r="K27" s="5">
        <f t="shared" ref="K27:M27" si="70">+K26</f>
        <v>0</v>
      </c>
      <c r="L27" s="1">
        <f t="shared" si="70"/>
        <v>0</v>
      </c>
      <c r="M27" s="1">
        <f t="shared" si="70"/>
        <v>0</v>
      </c>
      <c r="N27" s="6" t="s">
        <v>32</v>
      </c>
    </row>
    <row r="28" spans="1:14" x14ac:dyDescent="0.3">
      <c r="A28" s="8">
        <f t="shared" si="67"/>
        <v>7</v>
      </c>
      <c r="B28" s="5" t="str">
        <f>+'libro compras'!$AN$1</f>
        <v>421202</v>
      </c>
      <c r="C28" s="1" t="str">
        <f t="shared" ref="C28" si="71">+C27</f>
        <v>103</v>
      </c>
      <c r="D28" s="1"/>
      <c r="E28" s="11" t="str">
        <f t="shared" ref="E28" si="72">+E27</f>
        <v/>
      </c>
      <c r="F28" s="6"/>
      <c r="G28" s="2">
        <f>-'libro compras'!H27</f>
        <v>0</v>
      </c>
      <c r="H28" s="6"/>
      <c r="I28" s="1" t="s">
        <v>1</v>
      </c>
      <c r="J28" s="6" t="str">
        <f t="shared" ref="J28" si="73">+J27</f>
        <v xml:space="preserve"> </v>
      </c>
      <c r="K28" s="5">
        <f t="shared" ref="K28:M28" si="74">+K27</f>
        <v>0</v>
      </c>
      <c r="L28" s="1">
        <f t="shared" si="74"/>
        <v>0</v>
      </c>
      <c r="M28" s="1">
        <f t="shared" si="74"/>
        <v>0</v>
      </c>
      <c r="N28" s="6" t="s">
        <v>32</v>
      </c>
    </row>
    <row r="29" spans="1:14" x14ac:dyDescent="0.3">
      <c r="A29" s="8">
        <f t="shared" si="67"/>
        <v>7</v>
      </c>
      <c r="B29" s="5" t="str">
        <f>+'libro compras'!$AB$1</f>
        <v>0131</v>
      </c>
      <c r="C29" s="1" t="str">
        <f t="shared" ref="C29" si="75">+C28</f>
        <v>103</v>
      </c>
      <c r="D29" s="1"/>
      <c r="E29" s="11" t="str">
        <f t="shared" ref="E29" si="76">+E28</f>
        <v/>
      </c>
      <c r="F29" s="6"/>
      <c r="G29" s="2">
        <f>-'libro compras'!I27</f>
        <v>0</v>
      </c>
      <c r="H29" s="6"/>
      <c r="I29" s="1" t="s">
        <v>1</v>
      </c>
      <c r="J29" s="6" t="str">
        <f t="shared" ref="J29" si="77">+J28</f>
        <v xml:space="preserve"> </v>
      </c>
      <c r="K29" s="5">
        <f t="shared" ref="K29:M29" si="78">+K28</f>
        <v>0</v>
      </c>
      <c r="L29" s="1">
        <f t="shared" si="78"/>
        <v>0</v>
      </c>
      <c r="M29" s="1">
        <f t="shared" si="78"/>
        <v>0</v>
      </c>
      <c r="N29" s="6" t="s">
        <v>32</v>
      </c>
    </row>
    <row r="30" spans="1:14" x14ac:dyDescent="0.3">
      <c r="A30" s="8">
        <f t="shared" ref="A30" si="79">1+A26</f>
        <v>8</v>
      </c>
      <c r="B30" s="5" t="str">
        <f>+'libro compras'!$AK$1</f>
        <v>281110</v>
      </c>
      <c r="C30" s="1" t="str">
        <f>+'libro compras'!Q31</f>
        <v>103</v>
      </c>
      <c r="D30" s="1"/>
      <c r="E30" s="11" t="str">
        <f>+'libro compras'!S31</f>
        <v/>
      </c>
      <c r="F30" s="6"/>
      <c r="G30" s="2">
        <f>+'libro compras'!AM31</f>
        <v>0</v>
      </c>
      <c r="H30" s="6"/>
      <c r="I30" s="6" t="s">
        <v>31</v>
      </c>
      <c r="J30" s="6" t="str">
        <f>+CONCATENATE('libro compras'!C31," ",'libro compras'!D31)</f>
        <v xml:space="preserve"> </v>
      </c>
      <c r="K30" s="5">
        <f>+'libro compras'!F31</f>
        <v>0</v>
      </c>
      <c r="L30" s="1">
        <f>+'libro compras'!C31</f>
        <v>0</v>
      </c>
      <c r="M30" s="5">
        <f>+'libro compras'!D31</f>
        <v>0</v>
      </c>
      <c r="N30" s="6" t="s">
        <v>32</v>
      </c>
    </row>
    <row r="31" spans="1:14" x14ac:dyDescent="0.3">
      <c r="A31" s="8">
        <f t="shared" ref="A31:A33" si="80">+A30</f>
        <v>8</v>
      </c>
      <c r="B31" s="5" t="str">
        <f>+'libro compras'!$AL$1</f>
        <v>401110</v>
      </c>
      <c r="C31" s="5" t="str">
        <f t="shared" ref="C31" si="81">+C30</f>
        <v>103</v>
      </c>
      <c r="D31" s="1"/>
      <c r="E31" s="11" t="str">
        <f t="shared" si="7"/>
        <v/>
      </c>
      <c r="F31" s="6"/>
      <c r="G31" s="2">
        <f>+'libro compras'!L31</f>
        <v>0</v>
      </c>
      <c r="H31" s="6"/>
      <c r="I31" s="6" t="s">
        <v>31</v>
      </c>
      <c r="J31" s="6" t="str">
        <f t="shared" ref="J31" si="82">+J30</f>
        <v xml:space="preserve"> </v>
      </c>
      <c r="K31" s="5">
        <f t="shared" ref="K31:M31" si="83">+K30</f>
        <v>0</v>
      </c>
      <c r="L31" s="1">
        <f t="shared" si="83"/>
        <v>0</v>
      </c>
      <c r="M31" s="1">
        <f t="shared" si="83"/>
        <v>0</v>
      </c>
      <c r="N31" s="6" t="s">
        <v>32</v>
      </c>
    </row>
    <row r="32" spans="1:14" x14ac:dyDescent="0.3">
      <c r="A32" s="8">
        <f t="shared" si="80"/>
        <v>8</v>
      </c>
      <c r="B32" s="5" t="str">
        <f>+'libro compras'!$AN$1</f>
        <v>421202</v>
      </c>
      <c r="C32" s="1" t="str">
        <f t="shared" ref="C32" si="84">+C31</f>
        <v>103</v>
      </c>
      <c r="D32" s="1"/>
      <c r="E32" s="11" t="str">
        <f t="shared" ref="E32" si="85">+E31</f>
        <v/>
      </c>
      <c r="F32" s="6"/>
      <c r="G32" s="2">
        <f>-'libro compras'!H31</f>
        <v>0</v>
      </c>
      <c r="H32" s="6"/>
      <c r="I32" s="1" t="s">
        <v>1</v>
      </c>
      <c r="J32" s="6" t="str">
        <f t="shared" ref="J32" si="86">+J31</f>
        <v xml:space="preserve"> </v>
      </c>
      <c r="K32" s="5">
        <f t="shared" ref="K32:M32" si="87">+K31</f>
        <v>0</v>
      </c>
      <c r="L32" s="1">
        <f t="shared" si="87"/>
        <v>0</v>
      </c>
      <c r="M32" s="1">
        <f t="shared" si="87"/>
        <v>0</v>
      </c>
      <c r="N32" s="6" t="s">
        <v>32</v>
      </c>
    </row>
    <row r="33" spans="1:14" x14ac:dyDescent="0.3">
      <c r="A33" s="8">
        <f t="shared" si="80"/>
        <v>8</v>
      </c>
      <c r="B33" s="5" t="str">
        <f>+'libro compras'!$AB$1</f>
        <v>0131</v>
      </c>
      <c r="C33" s="1" t="str">
        <f t="shared" ref="C33" si="88">+C32</f>
        <v>103</v>
      </c>
      <c r="D33" s="1"/>
      <c r="E33" s="11" t="str">
        <f t="shared" ref="E33" si="89">+E32</f>
        <v/>
      </c>
      <c r="F33" s="6"/>
      <c r="G33" s="2">
        <f>-'libro compras'!I31</f>
        <v>0</v>
      </c>
      <c r="H33" s="6"/>
      <c r="I33" s="1" t="s">
        <v>1</v>
      </c>
      <c r="J33" s="6" t="str">
        <f t="shared" ref="J33" si="90">+J32</f>
        <v xml:space="preserve"> </v>
      </c>
      <c r="K33" s="5">
        <f t="shared" ref="K33:M33" si="91">+K32</f>
        <v>0</v>
      </c>
      <c r="L33" s="1">
        <f t="shared" si="91"/>
        <v>0</v>
      </c>
      <c r="M33" s="1">
        <f t="shared" si="91"/>
        <v>0</v>
      </c>
      <c r="N33" s="6" t="s">
        <v>32</v>
      </c>
    </row>
    <row r="34" spans="1:14" x14ac:dyDescent="0.3">
      <c r="A34" s="8">
        <f t="shared" ref="A34" si="92">1+A30</f>
        <v>9</v>
      </c>
      <c r="B34" s="5" t="str">
        <f>+'libro compras'!$AK$1</f>
        <v>281110</v>
      </c>
      <c r="C34" s="1" t="str">
        <f>+'libro compras'!Q35</f>
        <v>103</v>
      </c>
      <c r="D34" s="1"/>
      <c r="E34" s="11" t="str">
        <f>+'libro compras'!S35</f>
        <v/>
      </c>
      <c r="F34" s="6"/>
      <c r="G34" s="2">
        <f>+'libro compras'!AM35</f>
        <v>0</v>
      </c>
      <c r="H34" s="6"/>
      <c r="I34" s="6" t="s">
        <v>31</v>
      </c>
      <c r="J34" s="6" t="str">
        <f>+CONCATENATE('libro compras'!C35," ",'libro compras'!D35)</f>
        <v xml:space="preserve"> </v>
      </c>
      <c r="K34" s="5">
        <f>+'libro compras'!F35</f>
        <v>0</v>
      </c>
      <c r="L34" s="1">
        <f>+'libro compras'!C35</f>
        <v>0</v>
      </c>
      <c r="M34" s="5">
        <f>+'libro compras'!D35</f>
        <v>0</v>
      </c>
      <c r="N34" s="6" t="s">
        <v>32</v>
      </c>
    </row>
    <row r="35" spans="1:14" x14ac:dyDescent="0.3">
      <c r="A35" s="8">
        <f t="shared" ref="A35:A37" si="93">+A34</f>
        <v>9</v>
      </c>
      <c r="B35" s="5" t="str">
        <f>+'libro compras'!$AL$1</f>
        <v>401110</v>
      </c>
      <c r="C35" s="5" t="str">
        <f t="shared" ref="C35" si="94">+C34</f>
        <v>103</v>
      </c>
      <c r="D35" s="1"/>
      <c r="E35" s="11" t="str">
        <f t="shared" si="7"/>
        <v/>
      </c>
      <c r="F35" s="6"/>
      <c r="G35" s="2">
        <f>+'libro compras'!L35</f>
        <v>0</v>
      </c>
      <c r="H35" s="6"/>
      <c r="I35" s="6" t="s">
        <v>31</v>
      </c>
      <c r="J35" s="6" t="str">
        <f t="shared" ref="J35" si="95">+J34</f>
        <v xml:space="preserve"> </v>
      </c>
      <c r="K35" s="5">
        <f t="shared" ref="K35:M35" si="96">+K34</f>
        <v>0</v>
      </c>
      <c r="L35" s="1">
        <f t="shared" si="96"/>
        <v>0</v>
      </c>
      <c r="M35" s="1">
        <f t="shared" si="96"/>
        <v>0</v>
      </c>
      <c r="N35" s="6" t="s">
        <v>32</v>
      </c>
    </row>
    <row r="36" spans="1:14" x14ac:dyDescent="0.3">
      <c r="A36" s="8">
        <f t="shared" si="93"/>
        <v>9</v>
      </c>
      <c r="B36" s="5" t="str">
        <f>+'libro compras'!$AN$1</f>
        <v>421202</v>
      </c>
      <c r="C36" s="1" t="str">
        <f t="shared" ref="C36" si="97">+C35</f>
        <v>103</v>
      </c>
      <c r="D36" s="1"/>
      <c r="E36" s="11" t="str">
        <f t="shared" ref="E36" si="98">+E35</f>
        <v/>
      </c>
      <c r="F36" s="6"/>
      <c r="G36" s="2">
        <f>-'libro compras'!H35</f>
        <v>0</v>
      </c>
      <c r="H36" s="6"/>
      <c r="I36" s="1" t="s">
        <v>1</v>
      </c>
      <c r="J36" s="6" t="str">
        <f t="shared" ref="J36" si="99">+J35</f>
        <v xml:space="preserve"> </v>
      </c>
      <c r="K36" s="5">
        <f t="shared" ref="K36:M36" si="100">+K35</f>
        <v>0</v>
      </c>
      <c r="L36" s="1">
        <f t="shared" si="100"/>
        <v>0</v>
      </c>
      <c r="M36" s="1">
        <f t="shared" si="100"/>
        <v>0</v>
      </c>
      <c r="N36" s="6" t="s">
        <v>32</v>
      </c>
    </row>
    <row r="37" spans="1:14" x14ac:dyDescent="0.3">
      <c r="A37" s="8">
        <f t="shared" si="93"/>
        <v>9</v>
      </c>
      <c r="B37" s="5" t="str">
        <f>+'libro compras'!$AB$1</f>
        <v>0131</v>
      </c>
      <c r="C37" s="1" t="str">
        <f t="shared" ref="C37" si="101">+C36</f>
        <v>103</v>
      </c>
      <c r="D37" s="1"/>
      <c r="E37" s="11" t="str">
        <f t="shared" ref="E37" si="102">+E36</f>
        <v/>
      </c>
      <c r="F37" s="6"/>
      <c r="G37" s="2">
        <f>-'libro compras'!I35</f>
        <v>0</v>
      </c>
      <c r="H37" s="6"/>
      <c r="I37" s="1" t="s">
        <v>1</v>
      </c>
      <c r="J37" s="6" t="str">
        <f t="shared" ref="J37" si="103">+J36</f>
        <v xml:space="preserve"> </v>
      </c>
      <c r="K37" s="5">
        <f t="shared" ref="K37:M37" si="104">+K36</f>
        <v>0</v>
      </c>
      <c r="L37" s="1">
        <f t="shared" si="104"/>
        <v>0</v>
      </c>
      <c r="M37" s="1">
        <f t="shared" si="104"/>
        <v>0</v>
      </c>
      <c r="N37" s="6" t="s">
        <v>32</v>
      </c>
    </row>
    <row r="38" spans="1:14" hidden="1" x14ac:dyDescent="0.3">
      <c r="A38" s="8">
        <f t="shared" ref="A38" si="105">1+A34</f>
        <v>10</v>
      </c>
      <c r="B38" s="5" t="str">
        <f>+'libro compras'!$AK$1</f>
        <v>281110</v>
      </c>
      <c r="C38" s="1" t="str">
        <f>+'libro compras'!Q39</f>
        <v>103</v>
      </c>
      <c r="D38" s="1"/>
      <c r="E38" s="11" t="str">
        <f>+'libro compras'!S39</f>
        <v/>
      </c>
      <c r="F38" s="6"/>
      <c r="G38" s="2">
        <f>+'libro compras'!AM39</f>
        <v>0</v>
      </c>
      <c r="H38" s="6"/>
      <c r="I38" s="6" t="s">
        <v>31</v>
      </c>
      <c r="J38" s="6" t="str">
        <f>+CONCATENATE('libro compras'!C39," ",'libro compras'!D39)</f>
        <v xml:space="preserve"> </v>
      </c>
      <c r="K38" s="5">
        <f>+'libro compras'!F39</f>
        <v>0</v>
      </c>
      <c r="L38" s="1">
        <f>+'libro compras'!C39</f>
        <v>0</v>
      </c>
      <c r="M38" s="5">
        <f>+'libro compras'!D39</f>
        <v>0</v>
      </c>
      <c r="N38" s="6" t="s">
        <v>32</v>
      </c>
    </row>
    <row r="39" spans="1:14" x14ac:dyDescent="0.3">
      <c r="A39" s="8">
        <f t="shared" ref="A39:A41" si="106">+A38</f>
        <v>10</v>
      </c>
      <c r="B39" s="5" t="str">
        <f>+'libro compras'!$AL$1</f>
        <v>401110</v>
      </c>
      <c r="C39" s="5" t="str">
        <f t="shared" ref="C39" si="107">+C38</f>
        <v>103</v>
      </c>
      <c r="D39" s="1"/>
      <c r="E39" s="11" t="str">
        <f t="shared" si="7"/>
        <v/>
      </c>
      <c r="F39" s="6"/>
      <c r="G39" s="2">
        <f>+'libro compras'!L39</f>
        <v>0</v>
      </c>
      <c r="H39" s="6"/>
      <c r="I39" s="6" t="s">
        <v>31</v>
      </c>
      <c r="J39" s="6" t="str">
        <f t="shared" ref="J39" si="108">+J38</f>
        <v xml:space="preserve"> </v>
      </c>
      <c r="K39" s="5">
        <f t="shared" ref="K39:M39" si="109">+K38</f>
        <v>0</v>
      </c>
      <c r="L39" s="1">
        <f t="shared" si="109"/>
        <v>0</v>
      </c>
      <c r="M39" s="1">
        <f t="shared" si="109"/>
        <v>0</v>
      </c>
      <c r="N39" s="6" t="s">
        <v>32</v>
      </c>
    </row>
    <row r="40" spans="1:14" x14ac:dyDescent="0.3">
      <c r="A40" s="8">
        <f t="shared" si="106"/>
        <v>10</v>
      </c>
      <c r="B40" s="5" t="str">
        <f>+'libro compras'!$AN$1</f>
        <v>421202</v>
      </c>
      <c r="C40" s="1" t="str">
        <f t="shared" ref="C40" si="110">+C39</f>
        <v>103</v>
      </c>
      <c r="D40" s="1"/>
      <c r="E40" s="11" t="str">
        <f t="shared" ref="E40" si="111">+E39</f>
        <v/>
      </c>
      <c r="F40" s="6"/>
      <c r="G40" s="2">
        <f>-'libro compras'!H39</f>
        <v>0</v>
      </c>
      <c r="H40" s="6"/>
      <c r="I40" s="1" t="s">
        <v>1</v>
      </c>
      <c r="J40" s="6" t="str">
        <f t="shared" ref="J40" si="112">+J39</f>
        <v xml:space="preserve"> </v>
      </c>
      <c r="K40" s="5">
        <f t="shared" ref="K40:M40" si="113">+K39</f>
        <v>0</v>
      </c>
      <c r="L40" s="1">
        <f t="shared" si="113"/>
        <v>0</v>
      </c>
      <c r="M40" s="1">
        <f t="shared" si="113"/>
        <v>0</v>
      </c>
      <c r="N40" s="6" t="s">
        <v>32</v>
      </c>
    </row>
    <row r="41" spans="1:14" x14ac:dyDescent="0.3">
      <c r="A41" s="8">
        <f t="shared" si="106"/>
        <v>10</v>
      </c>
      <c r="B41" s="5" t="str">
        <f>+'libro compras'!$AB$1</f>
        <v>0131</v>
      </c>
      <c r="C41" s="1" t="str">
        <f t="shared" ref="C41" si="114">+C40</f>
        <v>103</v>
      </c>
      <c r="D41" s="1"/>
      <c r="E41" s="11" t="str">
        <f t="shared" ref="E41" si="115">+E40</f>
        <v/>
      </c>
      <c r="F41" s="6"/>
      <c r="G41" s="2">
        <f>-'libro compras'!I39</f>
        <v>0</v>
      </c>
      <c r="H41" s="6"/>
      <c r="I41" s="1" t="s">
        <v>1</v>
      </c>
      <c r="J41" s="6" t="str">
        <f t="shared" ref="J41" si="116">+J40</f>
        <v xml:space="preserve"> </v>
      </c>
      <c r="K41" s="5">
        <f t="shared" ref="K41:M41" si="117">+K40</f>
        <v>0</v>
      </c>
      <c r="L41" s="1">
        <f t="shared" si="117"/>
        <v>0</v>
      </c>
      <c r="M41" s="1">
        <f t="shared" si="117"/>
        <v>0</v>
      </c>
      <c r="N41" s="6" t="s">
        <v>32</v>
      </c>
    </row>
    <row r="42" spans="1:14" hidden="1" x14ac:dyDescent="0.3">
      <c r="A42" s="8">
        <f t="shared" ref="A42" si="118">1+A38</f>
        <v>11</v>
      </c>
      <c r="B42" s="5" t="str">
        <f>+'libro compras'!$AK$1</f>
        <v>281110</v>
      </c>
      <c r="C42" s="1" t="str">
        <f>+'libro compras'!Q43</f>
        <v>103</v>
      </c>
      <c r="D42" s="1"/>
      <c r="E42" s="11" t="str">
        <f>+'libro compras'!S43</f>
        <v/>
      </c>
      <c r="F42" s="6"/>
      <c r="G42" s="2">
        <f>+'libro compras'!AM43</f>
        <v>0</v>
      </c>
      <c r="H42" s="6"/>
      <c r="I42" s="6" t="s">
        <v>31</v>
      </c>
      <c r="J42" s="6" t="str">
        <f>+CONCATENATE('libro compras'!C43," ",'libro compras'!D43)</f>
        <v xml:space="preserve"> </v>
      </c>
      <c r="K42" s="5">
        <f>+'libro compras'!F43</f>
        <v>0</v>
      </c>
      <c r="L42" s="1">
        <f>+'libro compras'!C43</f>
        <v>0</v>
      </c>
      <c r="M42" s="5">
        <f>+'libro compras'!D43</f>
        <v>0</v>
      </c>
      <c r="N42" s="6" t="s">
        <v>32</v>
      </c>
    </row>
    <row r="43" spans="1:14" x14ac:dyDescent="0.3">
      <c r="A43" s="8">
        <f t="shared" ref="A43:A45" si="119">+A42</f>
        <v>11</v>
      </c>
      <c r="B43" s="5" t="str">
        <f>+'libro compras'!$AL$1</f>
        <v>401110</v>
      </c>
      <c r="C43" s="5" t="str">
        <f t="shared" ref="C43" si="120">+C42</f>
        <v>103</v>
      </c>
      <c r="D43" s="1"/>
      <c r="E43" s="11" t="str">
        <f t="shared" si="7"/>
        <v/>
      </c>
      <c r="F43" s="6"/>
      <c r="G43" s="2">
        <f>+'libro compras'!L43</f>
        <v>0</v>
      </c>
      <c r="H43" s="6"/>
      <c r="I43" s="6" t="s">
        <v>31</v>
      </c>
      <c r="J43" s="6" t="str">
        <f t="shared" ref="J43" si="121">+J42</f>
        <v xml:space="preserve"> </v>
      </c>
      <c r="K43" s="5">
        <f t="shared" ref="K43:M43" si="122">+K42</f>
        <v>0</v>
      </c>
      <c r="L43" s="1">
        <f t="shared" si="122"/>
        <v>0</v>
      </c>
      <c r="M43" s="1">
        <f t="shared" si="122"/>
        <v>0</v>
      </c>
      <c r="N43" s="6" t="s">
        <v>32</v>
      </c>
    </row>
    <row r="44" spans="1:14" x14ac:dyDescent="0.3">
      <c r="A44" s="8">
        <f t="shared" si="119"/>
        <v>11</v>
      </c>
      <c r="B44" s="5" t="str">
        <f>+'libro compras'!$AN$1</f>
        <v>421202</v>
      </c>
      <c r="C44" s="1" t="str">
        <f t="shared" ref="C44" si="123">+C43</f>
        <v>103</v>
      </c>
      <c r="D44" s="1"/>
      <c r="E44" s="11" t="str">
        <f t="shared" ref="E44" si="124">+E43</f>
        <v/>
      </c>
      <c r="F44" s="6"/>
      <c r="G44" s="2">
        <f>-'libro compras'!H43</f>
        <v>0</v>
      </c>
      <c r="H44" s="6"/>
      <c r="I44" s="1" t="s">
        <v>1</v>
      </c>
      <c r="J44" s="6" t="str">
        <f t="shared" ref="J44" si="125">+J43</f>
        <v xml:space="preserve"> </v>
      </c>
      <c r="K44" s="5">
        <f t="shared" ref="K44:M44" si="126">+K43</f>
        <v>0</v>
      </c>
      <c r="L44" s="1">
        <f t="shared" si="126"/>
        <v>0</v>
      </c>
      <c r="M44" s="1">
        <f t="shared" si="126"/>
        <v>0</v>
      </c>
      <c r="N44" s="6" t="s">
        <v>32</v>
      </c>
    </row>
    <row r="45" spans="1:14" x14ac:dyDescent="0.3">
      <c r="A45" s="8">
        <f t="shared" si="119"/>
        <v>11</v>
      </c>
      <c r="B45" s="5" t="str">
        <f>+'libro compras'!$AB$1</f>
        <v>0131</v>
      </c>
      <c r="C45" s="1" t="str">
        <f t="shared" ref="C45" si="127">+C44</f>
        <v>103</v>
      </c>
      <c r="D45" s="1"/>
      <c r="E45" s="11" t="str">
        <f t="shared" ref="E45" si="128">+E44</f>
        <v/>
      </c>
      <c r="F45" s="6"/>
      <c r="G45" s="2">
        <f>-'libro compras'!I43</f>
        <v>0</v>
      </c>
      <c r="H45" s="6"/>
      <c r="I45" s="1" t="s">
        <v>1</v>
      </c>
      <c r="J45" s="6" t="str">
        <f t="shared" ref="J45" si="129">+J44</f>
        <v xml:space="preserve"> </v>
      </c>
      <c r="K45" s="5">
        <f t="shared" ref="K45:M45" si="130">+K44</f>
        <v>0</v>
      </c>
      <c r="L45" s="1">
        <f t="shared" si="130"/>
        <v>0</v>
      </c>
      <c r="M45" s="1">
        <f t="shared" si="130"/>
        <v>0</v>
      </c>
      <c r="N45" s="6" t="s">
        <v>32</v>
      </c>
    </row>
    <row r="46" spans="1:14" x14ac:dyDescent="0.3">
      <c r="A46" s="8">
        <f t="shared" ref="A46" si="131">1+A42</f>
        <v>12</v>
      </c>
      <c r="B46" s="5" t="str">
        <f>+'libro compras'!$AK$1</f>
        <v>281110</v>
      </c>
      <c r="C46" s="1" t="str">
        <f>+'libro compras'!Q47</f>
        <v>103</v>
      </c>
      <c r="D46" s="1"/>
      <c r="E46" s="11" t="str">
        <f>+'libro compras'!S47</f>
        <v/>
      </c>
      <c r="F46" s="6"/>
      <c r="G46" s="2">
        <f>+'libro compras'!AM47</f>
        <v>0</v>
      </c>
      <c r="H46" s="6"/>
      <c r="I46" s="6" t="s">
        <v>31</v>
      </c>
      <c r="J46" s="6" t="str">
        <f>+CONCATENATE('libro compras'!C47," ",'libro compras'!D47)</f>
        <v xml:space="preserve"> </v>
      </c>
      <c r="K46" s="5">
        <f>+'libro compras'!F47</f>
        <v>0</v>
      </c>
      <c r="L46" s="1">
        <f>+'libro compras'!C47</f>
        <v>0</v>
      </c>
      <c r="M46" s="5">
        <f>+'libro compras'!D47</f>
        <v>0</v>
      </c>
      <c r="N46" s="6" t="s">
        <v>32</v>
      </c>
    </row>
    <row r="47" spans="1:14" x14ac:dyDescent="0.3">
      <c r="A47" s="8">
        <f t="shared" ref="A47:A49" si="132">+A46</f>
        <v>12</v>
      </c>
      <c r="B47" s="5" t="str">
        <f>+'libro compras'!$AL$1</f>
        <v>401110</v>
      </c>
      <c r="C47" s="5" t="str">
        <f t="shared" ref="C47" si="133">+C46</f>
        <v>103</v>
      </c>
      <c r="D47" s="1"/>
      <c r="E47" s="11" t="str">
        <f t="shared" si="7"/>
        <v/>
      </c>
      <c r="F47" s="6"/>
      <c r="G47" s="2">
        <f>+'libro compras'!L47</f>
        <v>0</v>
      </c>
      <c r="H47" s="6"/>
      <c r="I47" s="6" t="s">
        <v>31</v>
      </c>
      <c r="J47" s="6" t="str">
        <f t="shared" ref="J47" si="134">+J46</f>
        <v xml:space="preserve"> </v>
      </c>
      <c r="K47" s="5">
        <f t="shared" ref="K47:M47" si="135">+K46</f>
        <v>0</v>
      </c>
      <c r="L47" s="1">
        <f t="shared" si="135"/>
        <v>0</v>
      </c>
      <c r="M47" s="1">
        <f t="shared" si="135"/>
        <v>0</v>
      </c>
      <c r="N47" s="6" t="s">
        <v>32</v>
      </c>
    </row>
    <row r="48" spans="1:14" x14ac:dyDescent="0.3">
      <c r="A48" s="8">
        <f t="shared" si="132"/>
        <v>12</v>
      </c>
      <c r="B48" s="5" t="str">
        <f>+'libro compras'!$AN$1</f>
        <v>421202</v>
      </c>
      <c r="C48" s="1" t="str">
        <f t="shared" ref="C48" si="136">+C47</f>
        <v>103</v>
      </c>
      <c r="D48" s="1"/>
      <c r="E48" s="11" t="str">
        <f t="shared" ref="E48" si="137">+E47</f>
        <v/>
      </c>
      <c r="F48" s="6"/>
      <c r="G48" s="2">
        <f>-'libro compras'!H47</f>
        <v>0</v>
      </c>
      <c r="H48" s="6"/>
      <c r="I48" s="1" t="s">
        <v>1</v>
      </c>
      <c r="J48" s="6" t="str">
        <f t="shared" ref="J48" si="138">+J47</f>
        <v xml:space="preserve"> </v>
      </c>
      <c r="K48" s="5">
        <f t="shared" ref="K48:M48" si="139">+K47</f>
        <v>0</v>
      </c>
      <c r="L48" s="1">
        <f t="shared" si="139"/>
        <v>0</v>
      </c>
      <c r="M48" s="1">
        <f t="shared" si="139"/>
        <v>0</v>
      </c>
      <c r="N48" s="6" t="s">
        <v>32</v>
      </c>
    </row>
    <row r="49" spans="1:14" x14ac:dyDescent="0.3">
      <c r="A49" s="8">
        <f t="shared" si="132"/>
        <v>12</v>
      </c>
      <c r="B49" s="5" t="str">
        <f>+'libro compras'!$AB$1</f>
        <v>0131</v>
      </c>
      <c r="C49" s="1" t="str">
        <f t="shared" ref="C49" si="140">+C48</f>
        <v>103</v>
      </c>
      <c r="D49" s="1"/>
      <c r="E49" s="11" t="str">
        <f t="shared" ref="E49" si="141">+E48</f>
        <v/>
      </c>
      <c r="F49" s="6"/>
      <c r="G49" s="2">
        <f>-'libro compras'!I47</f>
        <v>0</v>
      </c>
      <c r="H49" s="6"/>
      <c r="I49" s="1" t="s">
        <v>1</v>
      </c>
      <c r="J49" s="6" t="str">
        <f t="shared" ref="J49" si="142">+J48</f>
        <v xml:space="preserve"> </v>
      </c>
      <c r="K49" s="5">
        <f t="shared" ref="K49:M49" si="143">+K48</f>
        <v>0</v>
      </c>
      <c r="L49" s="1">
        <f t="shared" si="143"/>
        <v>0</v>
      </c>
      <c r="M49" s="1">
        <f t="shared" si="143"/>
        <v>0</v>
      </c>
      <c r="N49" s="6" t="s">
        <v>32</v>
      </c>
    </row>
    <row r="50" spans="1:14" x14ac:dyDescent="0.3">
      <c r="A50" s="8">
        <f t="shared" ref="A50" si="144">1+A46</f>
        <v>13</v>
      </c>
      <c r="B50" s="5" t="str">
        <f>+'libro compras'!$AK$1</f>
        <v>281110</v>
      </c>
      <c r="C50" s="1" t="str">
        <f>+'libro compras'!Q51</f>
        <v>103</v>
      </c>
      <c r="D50" s="1"/>
      <c r="E50" s="11" t="str">
        <f>+'libro compras'!S51</f>
        <v/>
      </c>
      <c r="F50" s="6"/>
      <c r="G50" s="2">
        <f>+'libro compras'!AM51</f>
        <v>0</v>
      </c>
      <c r="H50" s="6"/>
      <c r="I50" s="6" t="s">
        <v>31</v>
      </c>
      <c r="J50" s="6" t="str">
        <f>+CONCATENATE('libro compras'!C51," ",'libro compras'!D51)</f>
        <v xml:space="preserve"> </v>
      </c>
      <c r="K50" s="5">
        <f>+'libro compras'!F51</f>
        <v>0</v>
      </c>
      <c r="L50" s="1">
        <f>+'libro compras'!C51</f>
        <v>0</v>
      </c>
      <c r="M50" s="5">
        <f>+'libro compras'!D51</f>
        <v>0</v>
      </c>
      <c r="N50" s="6" t="s">
        <v>32</v>
      </c>
    </row>
    <row r="51" spans="1:14" x14ac:dyDescent="0.3">
      <c r="A51" s="8">
        <f t="shared" ref="A51:A53" si="145">+A50</f>
        <v>13</v>
      </c>
      <c r="B51" s="5" t="str">
        <f>+'libro compras'!$AL$1</f>
        <v>401110</v>
      </c>
      <c r="C51" s="5" t="str">
        <f t="shared" ref="C51" si="146">+C50</f>
        <v>103</v>
      </c>
      <c r="D51" s="1"/>
      <c r="E51" s="11" t="str">
        <f t="shared" si="7"/>
        <v/>
      </c>
      <c r="F51" s="6"/>
      <c r="G51" s="2">
        <f>+'libro compras'!L51</f>
        <v>0</v>
      </c>
      <c r="H51" s="6"/>
      <c r="I51" s="6" t="s">
        <v>31</v>
      </c>
      <c r="J51" s="6" t="str">
        <f t="shared" ref="J51" si="147">+J50</f>
        <v xml:space="preserve"> </v>
      </c>
      <c r="K51" s="5">
        <f t="shared" ref="K51:M51" si="148">+K50</f>
        <v>0</v>
      </c>
      <c r="L51" s="1">
        <f t="shared" si="148"/>
        <v>0</v>
      </c>
      <c r="M51" s="1">
        <f t="shared" si="148"/>
        <v>0</v>
      </c>
      <c r="N51" s="6" t="s">
        <v>32</v>
      </c>
    </row>
    <row r="52" spans="1:14" x14ac:dyDescent="0.3">
      <c r="A52" s="8">
        <f t="shared" si="145"/>
        <v>13</v>
      </c>
      <c r="B52" s="5" t="str">
        <f>+'libro compras'!$AN$1</f>
        <v>421202</v>
      </c>
      <c r="C52" s="1" t="str">
        <f t="shared" ref="C52" si="149">+C51</f>
        <v>103</v>
      </c>
      <c r="D52" s="1"/>
      <c r="E52" s="11" t="str">
        <f t="shared" ref="E52" si="150">+E51</f>
        <v/>
      </c>
      <c r="F52" s="6"/>
      <c r="G52" s="2">
        <f>-'libro compras'!H51</f>
        <v>0</v>
      </c>
      <c r="H52" s="6"/>
      <c r="I52" s="1" t="s">
        <v>1</v>
      </c>
      <c r="J52" s="6" t="str">
        <f t="shared" ref="J52" si="151">+J51</f>
        <v xml:space="preserve"> </v>
      </c>
      <c r="K52" s="5">
        <f t="shared" ref="K52:M52" si="152">+K51</f>
        <v>0</v>
      </c>
      <c r="L52" s="1">
        <f t="shared" si="152"/>
        <v>0</v>
      </c>
      <c r="M52" s="1">
        <f t="shared" si="152"/>
        <v>0</v>
      </c>
      <c r="N52" s="6" t="s">
        <v>32</v>
      </c>
    </row>
    <row r="53" spans="1:14" x14ac:dyDescent="0.3">
      <c r="A53" s="8">
        <f t="shared" si="145"/>
        <v>13</v>
      </c>
      <c r="B53" s="5" t="str">
        <f>+'libro compras'!$AB$1</f>
        <v>0131</v>
      </c>
      <c r="C53" s="1" t="str">
        <f t="shared" ref="C53" si="153">+C52</f>
        <v>103</v>
      </c>
      <c r="D53" s="1"/>
      <c r="E53" s="11" t="str">
        <f t="shared" ref="E53" si="154">+E52</f>
        <v/>
      </c>
      <c r="F53" s="6"/>
      <c r="G53" s="2">
        <f>-'libro compras'!I51</f>
        <v>0</v>
      </c>
      <c r="H53" s="6"/>
      <c r="I53" s="1" t="s">
        <v>1</v>
      </c>
      <c r="J53" s="6" t="str">
        <f t="shared" ref="J53" si="155">+J52</f>
        <v xml:space="preserve"> </v>
      </c>
      <c r="K53" s="5">
        <f t="shared" ref="K53:M53" si="156">+K52</f>
        <v>0</v>
      </c>
      <c r="L53" s="1">
        <f t="shared" si="156"/>
        <v>0</v>
      </c>
      <c r="M53" s="1">
        <f t="shared" si="156"/>
        <v>0</v>
      </c>
      <c r="N53" s="6" t="s">
        <v>32</v>
      </c>
    </row>
    <row r="54" spans="1:14" hidden="1" x14ac:dyDescent="0.3">
      <c r="A54" s="8">
        <f t="shared" ref="A54" si="157">1+A50</f>
        <v>14</v>
      </c>
      <c r="B54" s="5" t="str">
        <f>+'libro compras'!$AK$1</f>
        <v>281110</v>
      </c>
      <c r="C54" s="1" t="str">
        <f>+'libro compras'!Q55</f>
        <v>103</v>
      </c>
      <c r="D54" s="1"/>
      <c r="E54" s="11" t="str">
        <f>+'libro compras'!S55</f>
        <v/>
      </c>
      <c r="F54" s="6"/>
      <c r="G54" s="2">
        <f>+'libro compras'!AM55</f>
        <v>0</v>
      </c>
      <c r="H54" s="6"/>
      <c r="I54" s="6" t="s">
        <v>31</v>
      </c>
      <c r="J54" s="6" t="str">
        <f>+CONCATENATE('libro compras'!C55," ",'libro compras'!D55)</f>
        <v xml:space="preserve"> </v>
      </c>
      <c r="K54" s="5">
        <f>+'libro compras'!F55</f>
        <v>0</v>
      </c>
      <c r="L54" s="1">
        <f>+'libro compras'!C55</f>
        <v>0</v>
      </c>
      <c r="M54" s="5">
        <f>+'libro compras'!D55</f>
        <v>0</v>
      </c>
      <c r="N54" s="6" t="s">
        <v>32</v>
      </c>
    </row>
    <row r="55" spans="1:14" x14ac:dyDescent="0.3">
      <c r="A55" s="8">
        <f t="shared" ref="A55:A57" si="158">+A54</f>
        <v>14</v>
      </c>
      <c r="B55" s="5" t="str">
        <f>+'libro compras'!$AL$1</f>
        <v>401110</v>
      </c>
      <c r="C55" s="5" t="str">
        <f t="shared" ref="C55" si="159">+C54</f>
        <v>103</v>
      </c>
      <c r="D55" s="1"/>
      <c r="E55" s="11" t="str">
        <f t="shared" si="7"/>
        <v/>
      </c>
      <c r="F55" s="6"/>
      <c r="G55" s="2">
        <f>+'libro compras'!L55</f>
        <v>0</v>
      </c>
      <c r="H55" s="6"/>
      <c r="I55" s="6" t="s">
        <v>31</v>
      </c>
      <c r="J55" s="6" t="str">
        <f t="shared" ref="J55" si="160">+J54</f>
        <v xml:space="preserve"> </v>
      </c>
      <c r="K55" s="5">
        <f t="shared" ref="K55:M55" si="161">+K54</f>
        <v>0</v>
      </c>
      <c r="L55" s="1">
        <f t="shared" si="161"/>
        <v>0</v>
      </c>
      <c r="M55" s="1">
        <f t="shared" si="161"/>
        <v>0</v>
      </c>
      <c r="N55" s="6" t="s">
        <v>32</v>
      </c>
    </row>
    <row r="56" spans="1:14" x14ac:dyDescent="0.3">
      <c r="A56" s="8">
        <f t="shared" si="158"/>
        <v>14</v>
      </c>
      <c r="B56" s="5" t="str">
        <f>+'libro compras'!$AN$1</f>
        <v>421202</v>
      </c>
      <c r="C56" s="1" t="str">
        <f t="shared" ref="C56" si="162">+C55</f>
        <v>103</v>
      </c>
      <c r="D56" s="1"/>
      <c r="E56" s="11" t="str">
        <f t="shared" ref="E56" si="163">+E55</f>
        <v/>
      </c>
      <c r="F56" s="6"/>
      <c r="G56" s="2">
        <f>-'libro compras'!H55</f>
        <v>0</v>
      </c>
      <c r="H56" s="6"/>
      <c r="I56" s="1" t="s">
        <v>1</v>
      </c>
      <c r="J56" s="6" t="str">
        <f t="shared" ref="J56" si="164">+J55</f>
        <v xml:space="preserve"> </v>
      </c>
      <c r="K56" s="5">
        <f t="shared" ref="K56:M56" si="165">+K55</f>
        <v>0</v>
      </c>
      <c r="L56" s="1">
        <f t="shared" si="165"/>
        <v>0</v>
      </c>
      <c r="M56" s="1">
        <f t="shared" si="165"/>
        <v>0</v>
      </c>
      <c r="N56" s="6" t="s">
        <v>32</v>
      </c>
    </row>
    <row r="57" spans="1:14" x14ac:dyDescent="0.3">
      <c r="A57" s="8">
        <f t="shared" si="158"/>
        <v>14</v>
      </c>
      <c r="B57" s="5" t="str">
        <f>+'libro compras'!$AB$1</f>
        <v>0131</v>
      </c>
      <c r="C57" s="1" t="str">
        <f t="shared" ref="C57" si="166">+C56</f>
        <v>103</v>
      </c>
      <c r="D57" s="1"/>
      <c r="E57" s="11" t="str">
        <f t="shared" ref="E57" si="167">+E56</f>
        <v/>
      </c>
      <c r="F57" s="6"/>
      <c r="G57" s="2">
        <f>-'libro compras'!I55</f>
        <v>0</v>
      </c>
      <c r="H57" s="6"/>
      <c r="I57" s="1" t="s">
        <v>1</v>
      </c>
      <c r="J57" s="6" t="str">
        <f t="shared" ref="J57" si="168">+J56</f>
        <v xml:space="preserve"> </v>
      </c>
      <c r="K57" s="5">
        <f t="shared" ref="K57:M57" si="169">+K56</f>
        <v>0</v>
      </c>
      <c r="L57" s="1">
        <f t="shared" si="169"/>
        <v>0</v>
      </c>
      <c r="M57" s="1">
        <f t="shared" si="169"/>
        <v>0</v>
      </c>
      <c r="N57" s="6" t="s">
        <v>32</v>
      </c>
    </row>
    <row r="58" spans="1:14" x14ac:dyDescent="0.3">
      <c r="A58" s="8">
        <f t="shared" ref="A58" si="170">1+A54</f>
        <v>15</v>
      </c>
      <c r="B58" s="5" t="str">
        <f>+'libro compras'!$AK$1</f>
        <v>281110</v>
      </c>
      <c r="C58" s="1" t="str">
        <f>+'libro compras'!Q59</f>
        <v>103</v>
      </c>
      <c r="D58" s="1"/>
      <c r="E58" s="11" t="str">
        <f>+'libro compras'!S59</f>
        <v/>
      </c>
      <c r="F58" s="6"/>
      <c r="G58" s="2">
        <f>+'libro compras'!AM59</f>
        <v>0</v>
      </c>
      <c r="H58" s="6"/>
      <c r="I58" s="6" t="s">
        <v>31</v>
      </c>
      <c r="J58" s="6" t="str">
        <f>+CONCATENATE('libro compras'!C59," ",'libro compras'!D59)</f>
        <v xml:space="preserve"> </v>
      </c>
      <c r="K58" s="5">
        <f>+'libro compras'!F59</f>
        <v>0</v>
      </c>
      <c r="L58" s="1">
        <f>+'libro compras'!C59</f>
        <v>0</v>
      </c>
      <c r="M58" s="5">
        <f>+'libro compras'!D59</f>
        <v>0</v>
      </c>
      <c r="N58" s="6" t="s">
        <v>32</v>
      </c>
    </row>
    <row r="59" spans="1:14" x14ac:dyDescent="0.3">
      <c r="A59" s="8">
        <f t="shared" ref="A59:A61" si="171">+A58</f>
        <v>15</v>
      </c>
      <c r="B59" s="5" t="str">
        <f>+'libro compras'!$AL$1</f>
        <v>401110</v>
      </c>
      <c r="C59" s="5" t="str">
        <f t="shared" ref="C59" si="172">+C58</f>
        <v>103</v>
      </c>
      <c r="D59" s="1"/>
      <c r="E59" s="11" t="str">
        <f t="shared" si="7"/>
        <v/>
      </c>
      <c r="F59" s="6"/>
      <c r="G59" s="2">
        <f>+'libro compras'!L59</f>
        <v>0</v>
      </c>
      <c r="H59" s="6"/>
      <c r="I59" s="6" t="s">
        <v>31</v>
      </c>
      <c r="J59" s="6" t="str">
        <f t="shared" ref="J59" si="173">+J58</f>
        <v xml:space="preserve"> </v>
      </c>
      <c r="K59" s="5">
        <f t="shared" ref="K59:M59" si="174">+K58</f>
        <v>0</v>
      </c>
      <c r="L59" s="1">
        <f t="shared" si="174"/>
        <v>0</v>
      </c>
      <c r="M59" s="1">
        <f t="shared" si="174"/>
        <v>0</v>
      </c>
      <c r="N59" s="6" t="s">
        <v>32</v>
      </c>
    </row>
    <row r="60" spans="1:14" x14ac:dyDescent="0.3">
      <c r="A60" s="8">
        <f t="shared" si="171"/>
        <v>15</v>
      </c>
      <c r="B60" s="5" t="str">
        <f>+'libro compras'!$AN$1</f>
        <v>421202</v>
      </c>
      <c r="C60" s="1" t="str">
        <f t="shared" ref="C60" si="175">+C59</f>
        <v>103</v>
      </c>
      <c r="D60" s="1"/>
      <c r="E60" s="11" t="str">
        <f t="shared" ref="E60" si="176">+E59</f>
        <v/>
      </c>
      <c r="F60" s="6"/>
      <c r="G60" s="2">
        <f>-'libro compras'!H59</f>
        <v>0</v>
      </c>
      <c r="H60" s="6"/>
      <c r="I60" s="1" t="s">
        <v>1</v>
      </c>
      <c r="J60" s="6" t="str">
        <f t="shared" ref="J60" si="177">+J59</f>
        <v xml:space="preserve"> </v>
      </c>
      <c r="K60" s="5">
        <f t="shared" ref="K60:M60" si="178">+K59</f>
        <v>0</v>
      </c>
      <c r="L60" s="1">
        <f t="shared" si="178"/>
        <v>0</v>
      </c>
      <c r="M60" s="1">
        <f t="shared" si="178"/>
        <v>0</v>
      </c>
      <c r="N60" s="6" t="s">
        <v>32</v>
      </c>
    </row>
    <row r="61" spans="1:14" x14ac:dyDescent="0.3">
      <c r="A61" s="8">
        <f t="shared" si="171"/>
        <v>15</v>
      </c>
      <c r="B61" s="5" t="str">
        <f>+'libro compras'!$AB$1</f>
        <v>0131</v>
      </c>
      <c r="C61" s="1" t="str">
        <f t="shared" ref="C61" si="179">+C60</f>
        <v>103</v>
      </c>
      <c r="D61" s="1"/>
      <c r="E61" s="11" t="str">
        <f t="shared" ref="E61" si="180">+E60</f>
        <v/>
      </c>
      <c r="F61" s="6"/>
      <c r="G61" s="2">
        <f>-'libro compras'!I59</f>
        <v>0</v>
      </c>
      <c r="H61" s="6"/>
      <c r="I61" s="1" t="s">
        <v>1</v>
      </c>
      <c r="J61" s="6" t="str">
        <f t="shared" ref="J61" si="181">+J60</f>
        <v xml:space="preserve"> </v>
      </c>
      <c r="K61" s="5">
        <f t="shared" ref="K61:M61" si="182">+K60</f>
        <v>0</v>
      </c>
      <c r="L61" s="1">
        <f t="shared" si="182"/>
        <v>0</v>
      </c>
      <c r="M61" s="1">
        <f t="shared" si="182"/>
        <v>0</v>
      </c>
      <c r="N61" s="6" t="s">
        <v>32</v>
      </c>
    </row>
    <row r="62" spans="1:14" hidden="1" x14ac:dyDescent="0.3">
      <c r="A62" s="8">
        <f t="shared" ref="A62" si="183">1+A58</f>
        <v>16</v>
      </c>
      <c r="B62" s="5" t="str">
        <f>+'libro compras'!$AK$1</f>
        <v>281110</v>
      </c>
      <c r="C62" s="1" t="str">
        <f>+'libro compras'!Q63</f>
        <v>103</v>
      </c>
      <c r="D62" s="1"/>
      <c r="E62" s="11" t="str">
        <f>+'libro compras'!S63</f>
        <v/>
      </c>
      <c r="F62" s="6"/>
      <c r="G62" s="2">
        <f>+'libro compras'!AM63</f>
        <v>0</v>
      </c>
      <c r="H62" s="6"/>
      <c r="I62" s="6" t="s">
        <v>31</v>
      </c>
      <c r="J62" s="6" t="str">
        <f>+CONCATENATE('libro compras'!C63," ",'libro compras'!D63)</f>
        <v xml:space="preserve"> </v>
      </c>
      <c r="K62" s="5">
        <f>+'libro compras'!F63</f>
        <v>0</v>
      </c>
      <c r="L62" s="1">
        <f>+'libro compras'!C63</f>
        <v>0</v>
      </c>
      <c r="M62" s="5">
        <f>+'libro compras'!D63</f>
        <v>0</v>
      </c>
      <c r="N62" s="6" t="s">
        <v>32</v>
      </c>
    </row>
    <row r="63" spans="1:14" x14ac:dyDescent="0.3">
      <c r="A63" s="8">
        <f t="shared" ref="A63:A65" si="184">+A62</f>
        <v>16</v>
      </c>
      <c r="B63" s="5" t="str">
        <f>+'libro compras'!$AL$1</f>
        <v>401110</v>
      </c>
      <c r="C63" s="5" t="str">
        <f t="shared" ref="C63" si="185">+C62</f>
        <v>103</v>
      </c>
      <c r="D63" s="1"/>
      <c r="E63" s="11" t="str">
        <f t="shared" si="7"/>
        <v/>
      </c>
      <c r="F63" s="6"/>
      <c r="G63" s="2">
        <f>+'libro compras'!L63</f>
        <v>0</v>
      </c>
      <c r="H63" s="6"/>
      <c r="I63" s="6" t="s">
        <v>31</v>
      </c>
      <c r="J63" s="6" t="str">
        <f t="shared" ref="J63" si="186">+J62</f>
        <v xml:space="preserve"> </v>
      </c>
      <c r="K63" s="5">
        <f t="shared" ref="K63:M63" si="187">+K62</f>
        <v>0</v>
      </c>
      <c r="L63" s="1">
        <f t="shared" si="187"/>
        <v>0</v>
      </c>
      <c r="M63" s="1">
        <f t="shared" si="187"/>
        <v>0</v>
      </c>
      <c r="N63" s="6" t="s">
        <v>32</v>
      </c>
    </row>
    <row r="64" spans="1:14" x14ac:dyDescent="0.3">
      <c r="A64" s="8">
        <f t="shared" si="184"/>
        <v>16</v>
      </c>
      <c r="B64" s="5" t="str">
        <f>+'libro compras'!$AN$1</f>
        <v>421202</v>
      </c>
      <c r="C64" s="1" t="str">
        <f t="shared" ref="C64" si="188">+C63</f>
        <v>103</v>
      </c>
      <c r="D64" s="1"/>
      <c r="E64" s="11" t="str">
        <f t="shared" ref="E64" si="189">+E63</f>
        <v/>
      </c>
      <c r="F64" s="6"/>
      <c r="G64" s="2">
        <f>-'libro compras'!H63</f>
        <v>0</v>
      </c>
      <c r="H64" s="6"/>
      <c r="I64" s="1" t="s">
        <v>1</v>
      </c>
      <c r="J64" s="6" t="str">
        <f t="shared" ref="J64" si="190">+J63</f>
        <v xml:space="preserve"> </v>
      </c>
      <c r="K64" s="5">
        <f t="shared" ref="K64:M64" si="191">+K63</f>
        <v>0</v>
      </c>
      <c r="L64" s="1">
        <f t="shared" si="191"/>
        <v>0</v>
      </c>
      <c r="M64" s="1">
        <f t="shared" si="191"/>
        <v>0</v>
      </c>
      <c r="N64" s="6" t="s">
        <v>32</v>
      </c>
    </row>
    <row r="65" spans="1:14" x14ac:dyDescent="0.3">
      <c r="A65" s="8">
        <f t="shared" si="184"/>
        <v>16</v>
      </c>
      <c r="B65" s="5" t="str">
        <f>+'libro compras'!$AB$1</f>
        <v>0131</v>
      </c>
      <c r="C65" s="1" t="str">
        <f t="shared" ref="C65" si="192">+C64</f>
        <v>103</v>
      </c>
      <c r="D65" s="1"/>
      <c r="E65" s="11" t="str">
        <f t="shared" ref="E65" si="193">+E64</f>
        <v/>
      </c>
      <c r="F65" s="6"/>
      <c r="G65" s="2">
        <f>-'libro compras'!I63</f>
        <v>0</v>
      </c>
      <c r="H65" s="6"/>
      <c r="I65" s="1" t="s">
        <v>1</v>
      </c>
      <c r="J65" s="6" t="str">
        <f t="shared" ref="J65" si="194">+J64</f>
        <v xml:space="preserve"> </v>
      </c>
      <c r="K65" s="5">
        <f t="shared" ref="K65:M65" si="195">+K64</f>
        <v>0</v>
      </c>
      <c r="L65" s="1">
        <f t="shared" si="195"/>
        <v>0</v>
      </c>
      <c r="M65" s="1">
        <f t="shared" si="195"/>
        <v>0</v>
      </c>
      <c r="N65" s="6" t="s">
        <v>32</v>
      </c>
    </row>
    <row r="66" spans="1:14" hidden="1" x14ac:dyDescent="0.3">
      <c r="A66" s="8">
        <f t="shared" ref="A66" si="196">1+A62</f>
        <v>17</v>
      </c>
      <c r="B66" s="5" t="str">
        <f>+'libro compras'!$AK$1</f>
        <v>281110</v>
      </c>
      <c r="C66" s="1" t="str">
        <f>+'libro compras'!Q67</f>
        <v>103</v>
      </c>
      <c r="D66" s="1"/>
      <c r="E66" s="11" t="str">
        <f>+'libro compras'!S67</f>
        <v/>
      </c>
      <c r="F66" s="6"/>
      <c r="G66" s="2">
        <f>+'libro compras'!AM67</f>
        <v>0</v>
      </c>
      <c r="H66" s="6"/>
      <c r="I66" s="6" t="s">
        <v>31</v>
      </c>
      <c r="J66" s="6" t="str">
        <f>+CONCATENATE('libro compras'!C67," ",'libro compras'!D67)</f>
        <v xml:space="preserve"> </v>
      </c>
      <c r="K66" s="5">
        <f>+'libro compras'!F67</f>
        <v>0</v>
      </c>
      <c r="L66" s="1">
        <f>+'libro compras'!C67</f>
        <v>0</v>
      </c>
      <c r="M66" s="5">
        <f>+'libro compras'!D67</f>
        <v>0</v>
      </c>
      <c r="N66" s="6" t="s">
        <v>32</v>
      </c>
    </row>
    <row r="67" spans="1:14" x14ac:dyDescent="0.3">
      <c r="A67" s="8">
        <f t="shared" ref="A67:A69" si="197">+A66</f>
        <v>17</v>
      </c>
      <c r="B67" s="5" t="str">
        <f>+'libro compras'!$AL$1</f>
        <v>401110</v>
      </c>
      <c r="C67" s="5" t="str">
        <f t="shared" ref="C67" si="198">+C66</f>
        <v>103</v>
      </c>
      <c r="D67" s="1"/>
      <c r="E67" s="11" t="str">
        <f t="shared" si="7"/>
        <v/>
      </c>
      <c r="F67" s="6"/>
      <c r="G67" s="2">
        <f>+'libro compras'!L67</f>
        <v>0</v>
      </c>
      <c r="H67" s="6"/>
      <c r="I67" s="6" t="s">
        <v>31</v>
      </c>
      <c r="J67" s="6" t="str">
        <f t="shared" ref="J67" si="199">+J66</f>
        <v xml:space="preserve"> </v>
      </c>
      <c r="K67" s="5">
        <f t="shared" ref="K67:M67" si="200">+K66</f>
        <v>0</v>
      </c>
      <c r="L67" s="1">
        <f t="shared" si="200"/>
        <v>0</v>
      </c>
      <c r="M67" s="1">
        <f t="shared" si="200"/>
        <v>0</v>
      </c>
      <c r="N67" s="6" t="s">
        <v>32</v>
      </c>
    </row>
    <row r="68" spans="1:14" x14ac:dyDescent="0.3">
      <c r="A68" s="8">
        <f t="shared" si="197"/>
        <v>17</v>
      </c>
      <c r="B68" s="5" t="str">
        <f>+'libro compras'!$AN$1</f>
        <v>421202</v>
      </c>
      <c r="C68" s="1" t="str">
        <f t="shared" ref="C68" si="201">+C67</f>
        <v>103</v>
      </c>
      <c r="D68" s="1"/>
      <c r="E68" s="11" t="str">
        <f t="shared" ref="E68" si="202">+E67</f>
        <v/>
      </c>
      <c r="F68" s="6"/>
      <c r="G68" s="2">
        <f>-'libro compras'!H67</f>
        <v>0</v>
      </c>
      <c r="H68" s="6"/>
      <c r="I68" s="1" t="s">
        <v>1</v>
      </c>
      <c r="J68" s="6" t="str">
        <f t="shared" ref="J68" si="203">+J67</f>
        <v xml:space="preserve"> </v>
      </c>
      <c r="K68" s="5">
        <f t="shared" ref="K68:M68" si="204">+K67</f>
        <v>0</v>
      </c>
      <c r="L68" s="1">
        <f t="shared" si="204"/>
        <v>0</v>
      </c>
      <c r="M68" s="1">
        <f t="shared" si="204"/>
        <v>0</v>
      </c>
      <c r="N68" s="6" t="s">
        <v>32</v>
      </c>
    </row>
    <row r="69" spans="1:14" x14ac:dyDescent="0.3">
      <c r="A69" s="8">
        <f t="shared" si="197"/>
        <v>17</v>
      </c>
      <c r="B69" s="5" t="str">
        <f>+'libro compras'!$AB$1</f>
        <v>0131</v>
      </c>
      <c r="C69" s="1" t="str">
        <f t="shared" ref="C69" si="205">+C68</f>
        <v>103</v>
      </c>
      <c r="D69" s="1"/>
      <c r="E69" s="11" t="str">
        <f t="shared" ref="E69" si="206">+E68</f>
        <v/>
      </c>
      <c r="F69" s="6"/>
      <c r="G69" s="2">
        <f>-'libro compras'!I67</f>
        <v>0</v>
      </c>
      <c r="H69" s="6"/>
      <c r="I69" s="1" t="s">
        <v>1</v>
      </c>
      <c r="J69" s="6" t="str">
        <f t="shared" ref="J69" si="207">+J68</f>
        <v xml:space="preserve"> </v>
      </c>
      <c r="K69" s="5">
        <f t="shared" ref="K69:M69" si="208">+K68</f>
        <v>0</v>
      </c>
      <c r="L69" s="1">
        <f t="shared" si="208"/>
        <v>0</v>
      </c>
      <c r="M69" s="1">
        <f t="shared" si="208"/>
        <v>0</v>
      </c>
      <c r="N69" s="6" t="s">
        <v>32</v>
      </c>
    </row>
    <row r="70" spans="1:14" hidden="1" x14ac:dyDescent="0.3">
      <c r="A70" s="8">
        <f t="shared" ref="A70" si="209">1+A66</f>
        <v>18</v>
      </c>
      <c r="B70" s="5" t="str">
        <f>+'libro compras'!$AK$1</f>
        <v>281110</v>
      </c>
      <c r="C70" s="1" t="str">
        <f>+'libro compras'!Q71</f>
        <v>103</v>
      </c>
      <c r="D70" s="1"/>
      <c r="E70" s="11" t="str">
        <f>+'libro compras'!S71</f>
        <v/>
      </c>
      <c r="F70" s="6"/>
      <c r="G70" s="2">
        <f>+'libro compras'!AM71</f>
        <v>0</v>
      </c>
      <c r="H70" s="6"/>
      <c r="I70" s="6" t="s">
        <v>31</v>
      </c>
      <c r="J70" s="6" t="str">
        <f>+CONCATENATE('libro compras'!C71," ",'libro compras'!D71)</f>
        <v xml:space="preserve"> </v>
      </c>
      <c r="K70" s="5">
        <f>+'libro compras'!F71</f>
        <v>0</v>
      </c>
      <c r="L70" s="1">
        <f>+'libro compras'!C71</f>
        <v>0</v>
      </c>
      <c r="M70" s="5">
        <f>+'libro compras'!D71</f>
        <v>0</v>
      </c>
      <c r="N70" s="6" t="s">
        <v>32</v>
      </c>
    </row>
    <row r="71" spans="1:14" x14ac:dyDescent="0.3">
      <c r="A71" s="8">
        <f t="shared" ref="A71:A73" si="210">+A70</f>
        <v>18</v>
      </c>
      <c r="B71" s="5" t="str">
        <f>+'libro compras'!$AL$1</f>
        <v>401110</v>
      </c>
      <c r="C71" s="5" t="str">
        <f t="shared" ref="C71" si="211">+C70</f>
        <v>103</v>
      </c>
      <c r="D71" s="1"/>
      <c r="E71" s="11" t="str">
        <f t="shared" ref="E71:E131" si="212">+E70</f>
        <v/>
      </c>
      <c r="F71" s="6"/>
      <c r="G71" s="2">
        <f>+'libro compras'!L71</f>
        <v>0</v>
      </c>
      <c r="H71" s="6"/>
      <c r="I71" s="6" t="s">
        <v>31</v>
      </c>
      <c r="J71" s="6" t="str">
        <f t="shared" ref="J71" si="213">+J70</f>
        <v xml:space="preserve"> </v>
      </c>
      <c r="K71" s="5">
        <f t="shared" ref="K71:M71" si="214">+K70</f>
        <v>0</v>
      </c>
      <c r="L71" s="1">
        <f t="shared" si="214"/>
        <v>0</v>
      </c>
      <c r="M71" s="1">
        <f t="shared" si="214"/>
        <v>0</v>
      </c>
      <c r="N71" s="6" t="s">
        <v>32</v>
      </c>
    </row>
    <row r="72" spans="1:14" x14ac:dyDescent="0.3">
      <c r="A72" s="8">
        <f t="shared" si="210"/>
        <v>18</v>
      </c>
      <c r="B72" s="5" t="str">
        <f>+'libro compras'!$AN$1</f>
        <v>421202</v>
      </c>
      <c r="C72" s="1" t="str">
        <f t="shared" ref="C72" si="215">+C71</f>
        <v>103</v>
      </c>
      <c r="D72" s="1"/>
      <c r="E72" s="11" t="str">
        <f t="shared" ref="E72" si="216">+E71</f>
        <v/>
      </c>
      <c r="F72" s="6"/>
      <c r="G72" s="2">
        <f>-'libro compras'!H71</f>
        <v>0</v>
      </c>
      <c r="H72" s="6"/>
      <c r="I72" s="1" t="s">
        <v>1</v>
      </c>
      <c r="J72" s="6" t="str">
        <f t="shared" ref="J72" si="217">+J71</f>
        <v xml:space="preserve"> </v>
      </c>
      <c r="K72" s="5">
        <f t="shared" ref="K72:M72" si="218">+K71</f>
        <v>0</v>
      </c>
      <c r="L72" s="1">
        <f t="shared" si="218"/>
        <v>0</v>
      </c>
      <c r="M72" s="1">
        <f t="shared" si="218"/>
        <v>0</v>
      </c>
      <c r="N72" s="6" t="s">
        <v>32</v>
      </c>
    </row>
    <row r="73" spans="1:14" x14ac:dyDescent="0.3">
      <c r="A73" s="8">
        <f t="shared" si="210"/>
        <v>18</v>
      </c>
      <c r="B73" s="5" t="str">
        <f>+'libro compras'!$AB$1</f>
        <v>0131</v>
      </c>
      <c r="C73" s="1" t="str">
        <f t="shared" ref="C73" si="219">+C72</f>
        <v>103</v>
      </c>
      <c r="D73" s="1"/>
      <c r="E73" s="11" t="str">
        <f t="shared" ref="E73" si="220">+E72</f>
        <v/>
      </c>
      <c r="F73" s="6"/>
      <c r="G73" s="2">
        <f>-'libro compras'!I71</f>
        <v>0</v>
      </c>
      <c r="H73" s="6"/>
      <c r="I73" s="1" t="s">
        <v>1</v>
      </c>
      <c r="J73" s="6" t="str">
        <f t="shared" ref="J73" si="221">+J72</f>
        <v xml:space="preserve"> </v>
      </c>
      <c r="K73" s="5">
        <f t="shared" ref="K73:M73" si="222">+K72</f>
        <v>0</v>
      </c>
      <c r="L73" s="1">
        <f t="shared" si="222"/>
        <v>0</v>
      </c>
      <c r="M73" s="1">
        <f t="shared" si="222"/>
        <v>0</v>
      </c>
      <c r="N73" s="6" t="s">
        <v>32</v>
      </c>
    </row>
    <row r="74" spans="1:14" hidden="1" x14ac:dyDescent="0.3">
      <c r="A74" s="8">
        <f t="shared" ref="A74" si="223">1+A70</f>
        <v>19</v>
      </c>
      <c r="B74" s="5" t="str">
        <f>+'libro compras'!$AK$1</f>
        <v>281110</v>
      </c>
      <c r="C74" s="1" t="str">
        <f>+'libro compras'!Q75</f>
        <v>103</v>
      </c>
      <c r="D74" s="1"/>
      <c r="E74" s="11" t="str">
        <f>+'libro compras'!S75</f>
        <v/>
      </c>
      <c r="F74" s="6"/>
      <c r="G74" s="2">
        <f>+'libro compras'!AM75</f>
        <v>0</v>
      </c>
      <c r="H74" s="6"/>
      <c r="I74" s="6" t="s">
        <v>31</v>
      </c>
      <c r="J74" s="6" t="str">
        <f>+CONCATENATE('libro compras'!C75," ",'libro compras'!D75)</f>
        <v xml:space="preserve"> </v>
      </c>
      <c r="K74" s="5">
        <f>+'libro compras'!F75</f>
        <v>0</v>
      </c>
      <c r="L74" s="1">
        <f>+'libro compras'!C75</f>
        <v>0</v>
      </c>
      <c r="M74" s="5">
        <f>+'libro compras'!D75</f>
        <v>0</v>
      </c>
      <c r="N74" s="6" t="s">
        <v>32</v>
      </c>
    </row>
    <row r="75" spans="1:14" x14ac:dyDescent="0.3">
      <c r="A75" s="8">
        <f t="shared" ref="A75:A77" si="224">+A74</f>
        <v>19</v>
      </c>
      <c r="B75" s="5" t="str">
        <f>+'libro compras'!$AL$1</f>
        <v>401110</v>
      </c>
      <c r="C75" s="5" t="str">
        <f t="shared" ref="C75" si="225">+C74</f>
        <v>103</v>
      </c>
      <c r="D75" s="1"/>
      <c r="E75" s="11" t="str">
        <f t="shared" si="212"/>
        <v/>
      </c>
      <c r="F75" s="6"/>
      <c r="G75" s="2">
        <f>+'libro compras'!L75</f>
        <v>0</v>
      </c>
      <c r="H75" s="6"/>
      <c r="I75" s="6" t="s">
        <v>31</v>
      </c>
      <c r="J75" s="6" t="str">
        <f t="shared" ref="J75" si="226">+J74</f>
        <v xml:space="preserve"> </v>
      </c>
      <c r="K75" s="5">
        <f t="shared" ref="K75:M75" si="227">+K74</f>
        <v>0</v>
      </c>
      <c r="L75" s="1">
        <f t="shared" si="227"/>
        <v>0</v>
      </c>
      <c r="M75" s="1">
        <f t="shared" si="227"/>
        <v>0</v>
      </c>
      <c r="N75" s="6" t="s">
        <v>32</v>
      </c>
    </row>
    <row r="76" spans="1:14" x14ac:dyDescent="0.3">
      <c r="A76" s="8">
        <f t="shared" si="224"/>
        <v>19</v>
      </c>
      <c r="B76" s="5" t="str">
        <f>+'libro compras'!$AN$1</f>
        <v>421202</v>
      </c>
      <c r="C76" s="1" t="str">
        <f t="shared" ref="C76" si="228">+C75</f>
        <v>103</v>
      </c>
      <c r="D76" s="1"/>
      <c r="E76" s="11" t="str">
        <f t="shared" ref="E76" si="229">+E75</f>
        <v/>
      </c>
      <c r="F76" s="6"/>
      <c r="G76" s="2">
        <f>-'libro compras'!H75</f>
        <v>0</v>
      </c>
      <c r="H76" s="6"/>
      <c r="I76" s="1" t="s">
        <v>1</v>
      </c>
      <c r="J76" s="6" t="str">
        <f t="shared" ref="J76" si="230">+J75</f>
        <v xml:space="preserve"> </v>
      </c>
      <c r="K76" s="5">
        <f t="shared" ref="K76:M76" si="231">+K75</f>
        <v>0</v>
      </c>
      <c r="L76" s="1">
        <f t="shared" si="231"/>
        <v>0</v>
      </c>
      <c r="M76" s="1">
        <f t="shared" si="231"/>
        <v>0</v>
      </c>
      <c r="N76" s="6" t="s">
        <v>32</v>
      </c>
    </row>
    <row r="77" spans="1:14" x14ac:dyDescent="0.3">
      <c r="A77" s="8">
        <f t="shared" si="224"/>
        <v>19</v>
      </c>
      <c r="B77" s="5" t="str">
        <f>+'libro compras'!$AB$1</f>
        <v>0131</v>
      </c>
      <c r="C77" s="1" t="str">
        <f t="shared" ref="C77" si="232">+C76</f>
        <v>103</v>
      </c>
      <c r="D77" s="1"/>
      <c r="E77" s="11" t="str">
        <f t="shared" ref="E77" si="233">+E76</f>
        <v/>
      </c>
      <c r="F77" s="6"/>
      <c r="G77" s="2">
        <f>-'libro compras'!I75</f>
        <v>0</v>
      </c>
      <c r="H77" s="6"/>
      <c r="I77" s="1" t="s">
        <v>1</v>
      </c>
      <c r="J77" s="6" t="str">
        <f t="shared" ref="J77" si="234">+J76</f>
        <v xml:space="preserve"> </v>
      </c>
      <c r="K77" s="5">
        <f t="shared" ref="K77:M77" si="235">+K76</f>
        <v>0</v>
      </c>
      <c r="L77" s="1">
        <f t="shared" si="235"/>
        <v>0</v>
      </c>
      <c r="M77" s="1">
        <f t="shared" si="235"/>
        <v>0</v>
      </c>
      <c r="N77" s="6" t="s">
        <v>32</v>
      </c>
    </row>
    <row r="78" spans="1:14" x14ac:dyDescent="0.3">
      <c r="A78" s="8">
        <f t="shared" ref="A78" si="236">1+A74</f>
        <v>20</v>
      </c>
      <c r="B78" s="5" t="str">
        <f>+'libro compras'!$AK$1</f>
        <v>281110</v>
      </c>
      <c r="C78" s="1" t="str">
        <f>+'libro compras'!Q79</f>
        <v>103</v>
      </c>
      <c r="D78" s="1"/>
      <c r="E78" s="11" t="str">
        <f>+'libro compras'!S79</f>
        <v/>
      </c>
      <c r="F78" s="6"/>
      <c r="G78" s="2">
        <f>+'libro compras'!AM79</f>
        <v>0</v>
      </c>
      <c r="H78" s="6"/>
      <c r="I78" s="6" t="s">
        <v>31</v>
      </c>
      <c r="J78" s="6" t="str">
        <f>+CONCATENATE('libro compras'!C79," ",'libro compras'!D79)</f>
        <v xml:space="preserve"> </v>
      </c>
      <c r="K78" s="5">
        <f>+'libro compras'!F79</f>
        <v>0</v>
      </c>
      <c r="L78" s="1">
        <f>+'libro compras'!C79</f>
        <v>0</v>
      </c>
      <c r="M78" s="5">
        <f>+'libro compras'!D79</f>
        <v>0</v>
      </c>
      <c r="N78" s="6" t="s">
        <v>32</v>
      </c>
    </row>
    <row r="79" spans="1:14" x14ac:dyDescent="0.3">
      <c r="A79" s="8">
        <f t="shared" ref="A79:A81" si="237">+A78</f>
        <v>20</v>
      </c>
      <c r="B79" s="5" t="str">
        <f>+'libro compras'!$AL$1</f>
        <v>401110</v>
      </c>
      <c r="C79" s="5" t="str">
        <f t="shared" ref="C79" si="238">+C78</f>
        <v>103</v>
      </c>
      <c r="D79" s="1"/>
      <c r="E79" s="11" t="str">
        <f t="shared" si="212"/>
        <v/>
      </c>
      <c r="F79" s="6"/>
      <c r="G79" s="2">
        <f>+'libro compras'!L79</f>
        <v>0</v>
      </c>
      <c r="H79" s="6"/>
      <c r="I79" s="6" t="s">
        <v>31</v>
      </c>
      <c r="J79" s="6" t="str">
        <f t="shared" ref="J79" si="239">+J78</f>
        <v xml:space="preserve"> </v>
      </c>
      <c r="K79" s="5">
        <f t="shared" ref="K79:M79" si="240">+K78</f>
        <v>0</v>
      </c>
      <c r="L79" s="1">
        <f t="shared" si="240"/>
        <v>0</v>
      </c>
      <c r="M79" s="1">
        <f t="shared" si="240"/>
        <v>0</v>
      </c>
      <c r="N79" s="6" t="s">
        <v>32</v>
      </c>
    </row>
    <row r="80" spans="1:14" x14ac:dyDescent="0.3">
      <c r="A80" s="8">
        <f t="shared" si="237"/>
        <v>20</v>
      </c>
      <c r="B80" s="5" t="str">
        <f>+'libro compras'!$AN$1</f>
        <v>421202</v>
      </c>
      <c r="C80" s="1" t="str">
        <f t="shared" ref="C80" si="241">+C79</f>
        <v>103</v>
      </c>
      <c r="D80" s="1"/>
      <c r="E80" s="11" t="str">
        <f t="shared" ref="E80" si="242">+E79</f>
        <v/>
      </c>
      <c r="F80" s="6"/>
      <c r="G80" s="2">
        <f>-'libro compras'!H79</f>
        <v>0</v>
      </c>
      <c r="H80" s="6"/>
      <c r="I80" s="1" t="s">
        <v>1</v>
      </c>
      <c r="J80" s="6" t="str">
        <f t="shared" ref="J80" si="243">+J79</f>
        <v xml:space="preserve"> </v>
      </c>
      <c r="K80" s="5">
        <f t="shared" ref="K80:M80" si="244">+K79</f>
        <v>0</v>
      </c>
      <c r="L80" s="1">
        <f t="shared" si="244"/>
        <v>0</v>
      </c>
      <c r="M80" s="1">
        <f t="shared" si="244"/>
        <v>0</v>
      </c>
      <c r="N80" s="6" t="s">
        <v>32</v>
      </c>
    </row>
    <row r="81" spans="1:14" x14ac:dyDescent="0.3">
      <c r="A81" s="8">
        <f t="shared" si="237"/>
        <v>20</v>
      </c>
      <c r="B81" s="5" t="str">
        <f>+'libro compras'!$AB$1</f>
        <v>0131</v>
      </c>
      <c r="C81" s="1" t="str">
        <f t="shared" ref="C81" si="245">+C80</f>
        <v>103</v>
      </c>
      <c r="D81" s="1"/>
      <c r="E81" s="11" t="str">
        <f t="shared" ref="E81" si="246">+E80</f>
        <v/>
      </c>
      <c r="F81" s="6"/>
      <c r="G81" s="2">
        <f>-'libro compras'!I79</f>
        <v>0</v>
      </c>
      <c r="H81" s="6"/>
      <c r="I81" s="1" t="s">
        <v>1</v>
      </c>
      <c r="J81" s="6" t="str">
        <f t="shared" ref="J81" si="247">+J80</f>
        <v xml:space="preserve"> </v>
      </c>
      <c r="K81" s="5">
        <f t="shared" ref="K81:M81" si="248">+K80</f>
        <v>0</v>
      </c>
      <c r="L81" s="1">
        <f t="shared" si="248"/>
        <v>0</v>
      </c>
      <c r="M81" s="1">
        <f t="shared" si="248"/>
        <v>0</v>
      </c>
      <c r="N81" s="6" t="s">
        <v>32</v>
      </c>
    </row>
    <row r="82" spans="1:14" hidden="1" x14ac:dyDescent="0.3">
      <c r="A82" s="8">
        <f t="shared" ref="A82" si="249">1+A78</f>
        <v>21</v>
      </c>
      <c r="B82" s="5" t="str">
        <f>+'libro compras'!$AK$1</f>
        <v>281110</v>
      </c>
      <c r="C82" s="1" t="str">
        <f>+'libro compras'!Q83</f>
        <v>103</v>
      </c>
      <c r="D82" s="1"/>
      <c r="E82" s="11" t="str">
        <f>+'libro compras'!S83</f>
        <v/>
      </c>
      <c r="F82" s="6"/>
      <c r="G82" s="2">
        <f>+'libro compras'!AM83</f>
        <v>0</v>
      </c>
      <c r="H82" s="6"/>
      <c r="I82" s="6" t="s">
        <v>31</v>
      </c>
      <c r="J82" s="6" t="str">
        <f>+CONCATENATE('libro compras'!C83," ",'libro compras'!D83)</f>
        <v xml:space="preserve"> </v>
      </c>
      <c r="K82" s="5">
        <f>+'libro compras'!F83</f>
        <v>0</v>
      </c>
      <c r="L82" s="1">
        <f>+'libro compras'!C83</f>
        <v>0</v>
      </c>
      <c r="M82" s="5">
        <f>+'libro compras'!D83</f>
        <v>0</v>
      </c>
      <c r="N82" s="6" t="s">
        <v>32</v>
      </c>
    </row>
    <row r="83" spans="1:14" x14ac:dyDescent="0.3">
      <c r="A83" s="8">
        <f t="shared" ref="A83:A85" si="250">+A82</f>
        <v>21</v>
      </c>
      <c r="B83" s="5" t="str">
        <f>+'libro compras'!$AL$1</f>
        <v>401110</v>
      </c>
      <c r="C83" s="5" t="str">
        <f t="shared" ref="C83" si="251">+C82</f>
        <v>103</v>
      </c>
      <c r="D83" s="1"/>
      <c r="E83" s="11" t="str">
        <f t="shared" si="212"/>
        <v/>
      </c>
      <c r="F83" s="6"/>
      <c r="G83" s="2">
        <f>+'libro compras'!L83</f>
        <v>0</v>
      </c>
      <c r="H83" s="6"/>
      <c r="I83" s="6" t="s">
        <v>31</v>
      </c>
      <c r="J83" s="6" t="str">
        <f t="shared" ref="J83" si="252">+J82</f>
        <v xml:space="preserve"> </v>
      </c>
      <c r="K83" s="5">
        <f t="shared" ref="K83:M83" si="253">+K82</f>
        <v>0</v>
      </c>
      <c r="L83" s="1">
        <f t="shared" si="253"/>
        <v>0</v>
      </c>
      <c r="M83" s="1">
        <f t="shared" si="253"/>
        <v>0</v>
      </c>
      <c r="N83" s="6" t="s">
        <v>32</v>
      </c>
    </row>
    <row r="84" spans="1:14" x14ac:dyDescent="0.3">
      <c r="A84" s="8">
        <f t="shared" si="250"/>
        <v>21</v>
      </c>
      <c r="B84" s="5" t="str">
        <f>+'libro compras'!$AN$1</f>
        <v>421202</v>
      </c>
      <c r="C84" s="1" t="str">
        <f t="shared" ref="C84" si="254">+C83</f>
        <v>103</v>
      </c>
      <c r="D84" s="1"/>
      <c r="E84" s="11" t="str">
        <f t="shared" ref="E84" si="255">+E83</f>
        <v/>
      </c>
      <c r="F84" s="6"/>
      <c r="G84" s="2">
        <f>-'libro compras'!H83</f>
        <v>0</v>
      </c>
      <c r="H84" s="6"/>
      <c r="I84" s="1" t="s">
        <v>1</v>
      </c>
      <c r="J84" s="6" t="str">
        <f t="shared" ref="J84" si="256">+J83</f>
        <v xml:space="preserve"> </v>
      </c>
      <c r="K84" s="5">
        <f t="shared" ref="K84:M84" si="257">+K83</f>
        <v>0</v>
      </c>
      <c r="L84" s="1">
        <f t="shared" si="257"/>
        <v>0</v>
      </c>
      <c r="M84" s="1">
        <f t="shared" si="257"/>
        <v>0</v>
      </c>
      <c r="N84" s="6" t="s">
        <v>32</v>
      </c>
    </row>
    <row r="85" spans="1:14" x14ac:dyDescent="0.3">
      <c r="A85" s="8">
        <f t="shared" si="250"/>
        <v>21</v>
      </c>
      <c r="B85" s="5" t="str">
        <f>+'libro compras'!$AB$1</f>
        <v>0131</v>
      </c>
      <c r="C85" s="1" t="str">
        <f t="shared" ref="C85" si="258">+C84</f>
        <v>103</v>
      </c>
      <c r="D85" s="1"/>
      <c r="E85" s="11" t="str">
        <f t="shared" ref="E85" si="259">+E84</f>
        <v/>
      </c>
      <c r="F85" s="6"/>
      <c r="G85" s="2">
        <f>-'libro compras'!I83</f>
        <v>0</v>
      </c>
      <c r="H85" s="6"/>
      <c r="I85" s="1" t="s">
        <v>1</v>
      </c>
      <c r="J85" s="6" t="str">
        <f t="shared" ref="J85" si="260">+J84</f>
        <v xml:space="preserve"> </v>
      </c>
      <c r="K85" s="5">
        <f t="shared" ref="K85:M85" si="261">+K84</f>
        <v>0</v>
      </c>
      <c r="L85" s="1">
        <f t="shared" si="261"/>
        <v>0</v>
      </c>
      <c r="M85" s="1">
        <f t="shared" si="261"/>
        <v>0</v>
      </c>
      <c r="N85" s="6" t="s">
        <v>32</v>
      </c>
    </row>
    <row r="86" spans="1:14" hidden="1" x14ac:dyDescent="0.3">
      <c r="A86" s="8">
        <f t="shared" ref="A86" si="262">1+A82</f>
        <v>22</v>
      </c>
      <c r="B86" s="5" t="str">
        <f>+'libro compras'!$AK$1</f>
        <v>281110</v>
      </c>
      <c r="C86" s="1" t="str">
        <f>+'libro compras'!Q87</f>
        <v>103</v>
      </c>
      <c r="D86" s="1"/>
      <c r="E86" s="11" t="str">
        <f>+'libro compras'!S87</f>
        <v/>
      </c>
      <c r="F86" s="6"/>
      <c r="G86" s="2">
        <f>+'libro compras'!AM87</f>
        <v>0</v>
      </c>
      <c r="H86" s="6"/>
      <c r="I86" s="6" t="s">
        <v>31</v>
      </c>
      <c r="J86" s="6" t="str">
        <f>+CONCATENATE('libro compras'!C87," ",'libro compras'!D87)</f>
        <v xml:space="preserve"> </v>
      </c>
      <c r="K86" s="5">
        <f>+'libro compras'!F87</f>
        <v>0</v>
      </c>
      <c r="L86" s="1">
        <f>+'libro compras'!C87</f>
        <v>0</v>
      </c>
      <c r="M86" s="5">
        <f>+'libro compras'!D87</f>
        <v>0</v>
      </c>
      <c r="N86" s="6" t="s">
        <v>32</v>
      </c>
    </row>
    <row r="87" spans="1:14" x14ac:dyDescent="0.3">
      <c r="A87" s="8">
        <f t="shared" ref="A87:A89" si="263">+A86</f>
        <v>22</v>
      </c>
      <c r="B87" s="5" t="str">
        <f>+'libro compras'!$AL$1</f>
        <v>401110</v>
      </c>
      <c r="C87" s="5" t="str">
        <f t="shared" ref="C87" si="264">+C86</f>
        <v>103</v>
      </c>
      <c r="D87" s="1"/>
      <c r="E87" s="11" t="str">
        <f t="shared" si="212"/>
        <v/>
      </c>
      <c r="F87" s="6"/>
      <c r="G87" s="2">
        <f>+'libro compras'!L87</f>
        <v>0</v>
      </c>
      <c r="H87" s="6"/>
      <c r="I87" s="6" t="s">
        <v>31</v>
      </c>
      <c r="J87" s="6" t="str">
        <f t="shared" ref="J87" si="265">+J86</f>
        <v xml:space="preserve"> </v>
      </c>
      <c r="K87" s="5">
        <f t="shared" ref="K87:M87" si="266">+K86</f>
        <v>0</v>
      </c>
      <c r="L87" s="1">
        <f t="shared" si="266"/>
        <v>0</v>
      </c>
      <c r="M87" s="1">
        <f t="shared" si="266"/>
        <v>0</v>
      </c>
      <c r="N87" s="6" t="s">
        <v>32</v>
      </c>
    </row>
    <row r="88" spans="1:14" x14ac:dyDescent="0.3">
      <c r="A88" s="8">
        <f t="shared" si="263"/>
        <v>22</v>
      </c>
      <c r="B88" s="5" t="str">
        <f>+'libro compras'!$AN$1</f>
        <v>421202</v>
      </c>
      <c r="C88" s="1" t="str">
        <f t="shared" ref="C88" si="267">+C87</f>
        <v>103</v>
      </c>
      <c r="D88" s="1"/>
      <c r="E88" s="11" t="str">
        <f t="shared" ref="E88" si="268">+E87</f>
        <v/>
      </c>
      <c r="F88" s="6"/>
      <c r="G88" s="2">
        <f>-'libro compras'!H87</f>
        <v>0</v>
      </c>
      <c r="H88" s="6"/>
      <c r="I88" s="1" t="s">
        <v>1</v>
      </c>
      <c r="J88" s="6" t="str">
        <f t="shared" ref="J88" si="269">+J87</f>
        <v xml:space="preserve"> </v>
      </c>
      <c r="K88" s="5">
        <f t="shared" ref="K88:M88" si="270">+K87</f>
        <v>0</v>
      </c>
      <c r="L88" s="1">
        <f t="shared" si="270"/>
        <v>0</v>
      </c>
      <c r="M88" s="1">
        <f t="shared" si="270"/>
        <v>0</v>
      </c>
      <c r="N88" s="6" t="s">
        <v>32</v>
      </c>
    </row>
    <row r="89" spans="1:14" x14ac:dyDescent="0.3">
      <c r="A89" s="8">
        <f t="shared" si="263"/>
        <v>22</v>
      </c>
      <c r="B89" s="5" t="str">
        <f>+'libro compras'!$AB$1</f>
        <v>0131</v>
      </c>
      <c r="C89" s="1" t="str">
        <f t="shared" ref="C89" si="271">+C88</f>
        <v>103</v>
      </c>
      <c r="D89" s="1"/>
      <c r="E89" s="11" t="str">
        <f t="shared" ref="E89" si="272">+E88</f>
        <v/>
      </c>
      <c r="F89" s="6"/>
      <c r="G89" s="2">
        <f>-'libro compras'!I87</f>
        <v>0</v>
      </c>
      <c r="H89" s="6"/>
      <c r="I89" s="1" t="s">
        <v>1</v>
      </c>
      <c r="J89" s="6" t="str">
        <f t="shared" ref="J89" si="273">+J88</f>
        <v xml:space="preserve"> </v>
      </c>
      <c r="K89" s="5">
        <f t="shared" ref="K89:M89" si="274">+K88</f>
        <v>0</v>
      </c>
      <c r="L89" s="1">
        <f t="shared" si="274"/>
        <v>0</v>
      </c>
      <c r="M89" s="1">
        <f t="shared" si="274"/>
        <v>0</v>
      </c>
      <c r="N89" s="6" t="s">
        <v>32</v>
      </c>
    </row>
    <row r="90" spans="1:14" hidden="1" x14ac:dyDescent="0.3">
      <c r="A90" s="8">
        <f t="shared" ref="A90" si="275">1+A86</f>
        <v>23</v>
      </c>
      <c r="B90" s="5" t="str">
        <f>+'libro compras'!$AK$1</f>
        <v>281110</v>
      </c>
      <c r="C90" s="1" t="str">
        <f>+'libro compras'!Q91</f>
        <v>103</v>
      </c>
      <c r="D90" s="1"/>
      <c r="E90" s="11" t="str">
        <f>+'libro compras'!S91</f>
        <v/>
      </c>
      <c r="F90" s="6"/>
      <c r="G90" s="2">
        <f>+'libro compras'!AM91</f>
        <v>0</v>
      </c>
      <c r="H90" s="6"/>
      <c r="I90" s="6" t="s">
        <v>31</v>
      </c>
      <c r="J90" s="6" t="str">
        <f>+CONCATENATE('libro compras'!C91," ",'libro compras'!D91)</f>
        <v xml:space="preserve"> </v>
      </c>
      <c r="K90" s="5">
        <f>+'libro compras'!F91</f>
        <v>0</v>
      </c>
      <c r="L90" s="1">
        <f>+'libro compras'!C91</f>
        <v>0</v>
      </c>
      <c r="M90" s="5">
        <f>+'libro compras'!D91</f>
        <v>0</v>
      </c>
      <c r="N90" s="6" t="s">
        <v>32</v>
      </c>
    </row>
    <row r="91" spans="1:14" x14ac:dyDescent="0.3">
      <c r="A91" s="8">
        <f t="shared" ref="A91:A93" si="276">+A90</f>
        <v>23</v>
      </c>
      <c r="B91" s="5" t="str">
        <f>+'libro compras'!$AL$1</f>
        <v>401110</v>
      </c>
      <c r="C91" s="5" t="str">
        <f t="shared" ref="C91" si="277">+C90</f>
        <v>103</v>
      </c>
      <c r="D91" s="1"/>
      <c r="E91" s="11" t="str">
        <f t="shared" si="212"/>
        <v/>
      </c>
      <c r="F91" s="6"/>
      <c r="G91" s="2">
        <f>+'libro compras'!L91</f>
        <v>0</v>
      </c>
      <c r="H91" s="6"/>
      <c r="I91" s="6" t="s">
        <v>31</v>
      </c>
      <c r="J91" s="6" t="str">
        <f t="shared" ref="J91" si="278">+J90</f>
        <v xml:space="preserve"> </v>
      </c>
      <c r="K91" s="5">
        <f t="shared" ref="K91:M91" si="279">+K90</f>
        <v>0</v>
      </c>
      <c r="L91" s="1">
        <f t="shared" si="279"/>
        <v>0</v>
      </c>
      <c r="M91" s="1">
        <f t="shared" si="279"/>
        <v>0</v>
      </c>
      <c r="N91" s="6" t="s">
        <v>32</v>
      </c>
    </row>
    <row r="92" spans="1:14" x14ac:dyDescent="0.3">
      <c r="A92" s="8">
        <f t="shared" si="276"/>
        <v>23</v>
      </c>
      <c r="B92" s="5" t="str">
        <f>+'libro compras'!$AN$1</f>
        <v>421202</v>
      </c>
      <c r="C92" s="1" t="str">
        <f t="shared" ref="C92" si="280">+C91</f>
        <v>103</v>
      </c>
      <c r="D92" s="1"/>
      <c r="E92" s="11" t="str">
        <f t="shared" ref="E92" si="281">+E91</f>
        <v/>
      </c>
      <c r="F92" s="6"/>
      <c r="G92" s="2">
        <f>-'libro compras'!H91</f>
        <v>0</v>
      </c>
      <c r="H92" s="6"/>
      <c r="I92" s="1" t="s">
        <v>1</v>
      </c>
      <c r="J92" s="6" t="str">
        <f t="shared" ref="J92" si="282">+J91</f>
        <v xml:space="preserve"> </v>
      </c>
      <c r="K92" s="5">
        <f t="shared" ref="K92:M92" si="283">+K91</f>
        <v>0</v>
      </c>
      <c r="L92" s="1">
        <f t="shared" si="283"/>
        <v>0</v>
      </c>
      <c r="M92" s="1">
        <f t="shared" si="283"/>
        <v>0</v>
      </c>
      <c r="N92" s="6" t="s">
        <v>32</v>
      </c>
    </row>
    <row r="93" spans="1:14" x14ac:dyDescent="0.3">
      <c r="A93" s="8">
        <f t="shared" si="276"/>
        <v>23</v>
      </c>
      <c r="B93" s="5" t="str">
        <f>+'libro compras'!$AB$1</f>
        <v>0131</v>
      </c>
      <c r="C93" s="1" t="str">
        <f t="shared" ref="C93" si="284">+C92</f>
        <v>103</v>
      </c>
      <c r="D93" s="1"/>
      <c r="E93" s="11" t="str">
        <f t="shared" ref="E93" si="285">+E92</f>
        <v/>
      </c>
      <c r="F93" s="6"/>
      <c r="G93" s="2">
        <f>-'libro compras'!I91</f>
        <v>0</v>
      </c>
      <c r="H93" s="6"/>
      <c r="I93" s="1" t="s">
        <v>1</v>
      </c>
      <c r="J93" s="6" t="str">
        <f t="shared" ref="J93" si="286">+J92</f>
        <v xml:space="preserve"> </v>
      </c>
      <c r="K93" s="5">
        <f t="shared" ref="K93:M93" si="287">+K92</f>
        <v>0</v>
      </c>
      <c r="L93" s="1">
        <f t="shared" si="287"/>
        <v>0</v>
      </c>
      <c r="M93" s="1">
        <f t="shared" si="287"/>
        <v>0</v>
      </c>
      <c r="N93" s="6" t="s">
        <v>32</v>
      </c>
    </row>
    <row r="94" spans="1:14" hidden="1" x14ac:dyDescent="0.3">
      <c r="A94" s="8">
        <f t="shared" ref="A94" si="288">1+A90</f>
        <v>24</v>
      </c>
      <c r="B94" s="5" t="str">
        <f>+'libro compras'!$AK$1</f>
        <v>281110</v>
      </c>
      <c r="C94" s="1" t="str">
        <f>+'libro compras'!Q95</f>
        <v>103</v>
      </c>
      <c r="D94" s="1"/>
      <c r="E94" s="11" t="str">
        <f>+'libro compras'!S95</f>
        <v/>
      </c>
      <c r="F94" s="6"/>
      <c r="G94" s="2">
        <f>+'libro compras'!AM95</f>
        <v>0</v>
      </c>
      <c r="H94" s="6"/>
      <c r="I94" s="6" t="s">
        <v>31</v>
      </c>
      <c r="J94" s="6" t="str">
        <f>+CONCATENATE('libro compras'!C95," ",'libro compras'!D95)</f>
        <v xml:space="preserve"> </v>
      </c>
      <c r="K94" s="5">
        <f>+'libro compras'!F95</f>
        <v>0</v>
      </c>
      <c r="L94" s="1">
        <f>+'libro compras'!C95</f>
        <v>0</v>
      </c>
      <c r="M94" s="5">
        <f>+'libro compras'!D95</f>
        <v>0</v>
      </c>
      <c r="N94" s="6" t="s">
        <v>32</v>
      </c>
    </row>
    <row r="95" spans="1:14" x14ac:dyDescent="0.3">
      <c r="A95" s="8">
        <f t="shared" ref="A95:A97" si="289">+A94</f>
        <v>24</v>
      </c>
      <c r="B95" s="5" t="str">
        <f>+'libro compras'!$AL$1</f>
        <v>401110</v>
      </c>
      <c r="C95" s="5" t="str">
        <f t="shared" ref="C95" si="290">+C94</f>
        <v>103</v>
      </c>
      <c r="D95" s="1"/>
      <c r="E95" s="11" t="str">
        <f t="shared" si="212"/>
        <v/>
      </c>
      <c r="F95" s="6"/>
      <c r="G95" s="2">
        <f>+'libro compras'!L95</f>
        <v>0</v>
      </c>
      <c r="H95" s="6"/>
      <c r="I95" s="6" t="s">
        <v>31</v>
      </c>
      <c r="J95" s="6" t="str">
        <f t="shared" ref="J95" si="291">+J94</f>
        <v xml:space="preserve"> </v>
      </c>
      <c r="K95" s="5">
        <f t="shared" ref="K95:M95" si="292">+K94</f>
        <v>0</v>
      </c>
      <c r="L95" s="1">
        <f t="shared" si="292"/>
        <v>0</v>
      </c>
      <c r="M95" s="1">
        <f t="shared" si="292"/>
        <v>0</v>
      </c>
      <c r="N95" s="6" t="s">
        <v>32</v>
      </c>
    </row>
    <row r="96" spans="1:14" x14ac:dyDescent="0.3">
      <c r="A96" s="8">
        <f t="shared" si="289"/>
        <v>24</v>
      </c>
      <c r="B96" s="5" t="str">
        <f>+'libro compras'!$AN$1</f>
        <v>421202</v>
      </c>
      <c r="C96" s="1" t="str">
        <f t="shared" ref="C96" si="293">+C95</f>
        <v>103</v>
      </c>
      <c r="D96" s="1"/>
      <c r="E96" s="11" t="str">
        <f t="shared" ref="E96" si="294">+E95</f>
        <v/>
      </c>
      <c r="F96" s="6"/>
      <c r="G96" s="2">
        <f>-'libro compras'!H95</f>
        <v>0</v>
      </c>
      <c r="H96" s="6"/>
      <c r="I96" s="1" t="s">
        <v>1</v>
      </c>
      <c r="J96" s="6" t="str">
        <f t="shared" ref="J96" si="295">+J95</f>
        <v xml:space="preserve"> </v>
      </c>
      <c r="K96" s="5">
        <f t="shared" ref="K96:M96" si="296">+K95</f>
        <v>0</v>
      </c>
      <c r="L96" s="1">
        <f t="shared" si="296"/>
        <v>0</v>
      </c>
      <c r="M96" s="1">
        <f t="shared" si="296"/>
        <v>0</v>
      </c>
      <c r="N96" s="6" t="s">
        <v>32</v>
      </c>
    </row>
    <row r="97" spans="1:14" x14ac:dyDescent="0.3">
      <c r="A97" s="8">
        <f t="shared" si="289"/>
        <v>24</v>
      </c>
      <c r="B97" s="5" t="str">
        <f>+'libro compras'!$AB$1</f>
        <v>0131</v>
      </c>
      <c r="C97" s="1" t="str">
        <f t="shared" ref="C97" si="297">+C96</f>
        <v>103</v>
      </c>
      <c r="D97" s="1"/>
      <c r="E97" s="11" t="str">
        <f t="shared" ref="E97" si="298">+E96</f>
        <v/>
      </c>
      <c r="F97" s="6"/>
      <c r="G97" s="2">
        <f>-'libro compras'!I95</f>
        <v>0</v>
      </c>
      <c r="H97" s="6"/>
      <c r="I97" s="1" t="s">
        <v>1</v>
      </c>
      <c r="J97" s="6" t="str">
        <f t="shared" ref="J97" si="299">+J96</f>
        <v xml:space="preserve"> </v>
      </c>
      <c r="K97" s="5">
        <f t="shared" ref="K97:M97" si="300">+K96</f>
        <v>0</v>
      </c>
      <c r="L97" s="1">
        <f t="shared" si="300"/>
        <v>0</v>
      </c>
      <c r="M97" s="1">
        <f t="shared" si="300"/>
        <v>0</v>
      </c>
      <c r="N97" s="6" t="s">
        <v>32</v>
      </c>
    </row>
    <row r="98" spans="1:14" hidden="1" x14ac:dyDescent="0.3">
      <c r="A98" s="8">
        <f t="shared" ref="A98" si="301">1+A94</f>
        <v>25</v>
      </c>
      <c r="B98" s="5" t="str">
        <f>+'libro compras'!$AK$1</f>
        <v>281110</v>
      </c>
      <c r="C98" s="1" t="str">
        <f>+'libro compras'!Q99</f>
        <v>103</v>
      </c>
      <c r="D98" s="1"/>
      <c r="E98" s="11" t="str">
        <f>+'libro compras'!S99</f>
        <v/>
      </c>
      <c r="F98" s="6"/>
      <c r="G98" s="2">
        <f>+'libro compras'!AM99</f>
        <v>0</v>
      </c>
      <c r="H98" s="6"/>
      <c r="I98" s="6" t="s">
        <v>31</v>
      </c>
      <c r="J98" s="6" t="str">
        <f>+CONCATENATE('libro compras'!C99," ",'libro compras'!D99)</f>
        <v xml:space="preserve"> </v>
      </c>
      <c r="K98" s="5">
        <f>+'libro compras'!F99</f>
        <v>0</v>
      </c>
      <c r="L98" s="1">
        <f>+'libro compras'!C99</f>
        <v>0</v>
      </c>
      <c r="M98" s="5">
        <f>+'libro compras'!D99</f>
        <v>0</v>
      </c>
      <c r="N98" s="6" t="s">
        <v>32</v>
      </c>
    </row>
    <row r="99" spans="1:14" x14ac:dyDescent="0.3">
      <c r="A99" s="8">
        <f t="shared" ref="A99:A101" si="302">+A98</f>
        <v>25</v>
      </c>
      <c r="B99" s="5" t="str">
        <f>+'libro compras'!$AL$1</f>
        <v>401110</v>
      </c>
      <c r="C99" s="5" t="str">
        <f t="shared" ref="C99" si="303">+C98</f>
        <v>103</v>
      </c>
      <c r="D99" s="1"/>
      <c r="E99" s="11" t="str">
        <f t="shared" si="212"/>
        <v/>
      </c>
      <c r="F99" s="6"/>
      <c r="G99" s="2">
        <f>+'libro compras'!L99</f>
        <v>0</v>
      </c>
      <c r="H99" s="6"/>
      <c r="I99" s="6" t="s">
        <v>31</v>
      </c>
      <c r="J99" s="6" t="str">
        <f t="shared" ref="J99" si="304">+J98</f>
        <v xml:space="preserve"> </v>
      </c>
      <c r="K99" s="5">
        <f t="shared" ref="K99:M99" si="305">+K98</f>
        <v>0</v>
      </c>
      <c r="L99" s="1">
        <f t="shared" si="305"/>
        <v>0</v>
      </c>
      <c r="M99" s="1">
        <f t="shared" si="305"/>
        <v>0</v>
      </c>
      <c r="N99" s="6" t="s">
        <v>32</v>
      </c>
    </row>
    <row r="100" spans="1:14" x14ac:dyDescent="0.3">
      <c r="A100" s="8">
        <f t="shared" si="302"/>
        <v>25</v>
      </c>
      <c r="B100" s="5" t="str">
        <f>+'libro compras'!$AN$1</f>
        <v>421202</v>
      </c>
      <c r="C100" s="1" t="str">
        <f t="shared" ref="C100" si="306">+C99</f>
        <v>103</v>
      </c>
      <c r="D100" s="1"/>
      <c r="E100" s="11" t="str">
        <f t="shared" ref="E100" si="307">+E99</f>
        <v/>
      </c>
      <c r="F100" s="6"/>
      <c r="G100" s="2">
        <f>-'libro compras'!H99</f>
        <v>0</v>
      </c>
      <c r="H100" s="6"/>
      <c r="I100" s="1" t="s">
        <v>1</v>
      </c>
      <c r="J100" s="6" t="str">
        <f t="shared" ref="J100" si="308">+J99</f>
        <v xml:space="preserve"> </v>
      </c>
      <c r="K100" s="5">
        <f t="shared" ref="K100:M100" si="309">+K99</f>
        <v>0</v>
      </c>
      <c r="L100" s="1">
        <f t="shared" si="309"/>
        <v>0</v>
      </c>
      <c r="M100" s="1">
        <f t="shared" si="309"/>
        <v>0</v>
      </c>
      <c r="N100" s="6" t="s">
        <v>32</v>
      </c>
    </row>
    <row r="101" spans="1:14" x14ac:dyDescent="0.3">
      <c r="A101" s="8">
        <f t="shared" si="302"/>
        <v>25</v>
      </c>
      <c r="B101" s="5" t="str">
        <f>+'libro compras'!$AB$1</f>
        <v>0131</v>
      </c>
      <c r="C101" s="1" t="str">
        <f t="shared" ref="C101" si="310">+C100</f>
        <v>103</v>
      </c>
      <c r="D101" s="1"/>
      <c r="E101" s="11" t="str">
        <f t="shared" ref="E101" si="311">+E100</f>
        <v/>
      </c>
      <c r="F101" s="6"/>
      <c r="G101" s="2">
        <f>-'libro compras'!I99</f>
        <v>0</v>
      </c>
      <c r="H101" s="6"/>
      <c r="I101" s="1" t="s">
        <v>1</v>
      </c>
      <c r="J101" s="6" t="str">
        <f t="shared" ref="J101" si="312">+J100</f>
        <v xml:space="preserve"> </v>
      </c>
      <c r="K101" s="5">
        <f t="shared" ref="K101:M101" si="313">+K100</f>
        <v>0</v>
      </c>
      <c r="L101" s="1">
        <f t="shared" si="313"/>
        <v>0</v>
      </c>
      <c r="M101" s="1">
        <f t="shared" si="313"/>
        <v>0</v>
      </c>
      <c r="N101" s="6" t="s">
        <v>32</v>
      </c>
    </row>
    <row r="102" spans="1:14" hidden="1" x14ac:dyDescent="0.3">
      <c r="A102" s="8">
        <f t="shared" ref="A102" si="314">1+A98</f>
        <v>26</v>
      </c>
      <c r="B102" s="5" t="str">
        <f>+'libro compras'!$AK$1</f>
        <v>281110</v>
      </c>
      <c r="C102" s="1" t="str">
        <f>+'libro compras'!Q103</f>
        <v>103</v>
      </c>
      <c r="D102" s="1"/>
      <c r="E102" s="11" t="str">
        <f>+'libro compras'!S103</f>
        <v/>
      </c>
      <c r="F102" s="6"/>
      <c r="G102" s="2">
        <f>+'libro compras'!AM103</f>
        <v>0</v>
      </c>
      <c r="H102" s="6"/>
      <c r="I102" s="6" t="s">
        <v>31</v>
      </c>
      <c r="J102" s="6" t="str">
        <f>+CONCATENATE('libro compras'!C103," ",'libro compras'!D103)</f>
        <v xml:space="preserve"> </v>
      </c>
      <c r="K102" s="5">
        <f>+'libro compras'!F103</f>
        <v>0</v>
      </c>
      <c r="L102" s="1">
        <f>+'libro compras'!C103</f>
        <v>0</v>
      </c>
      <c r="M102" s="5">
        <f>+'libro compras'!D103</f>
        <v>0</v>
      </c>
      <c r="N102" s="6" t="s">
        <v>32</v>
      </c>
    </row>
    <row r="103" spans="1:14" x14ac:dyDescent="0.3">
      <c r="A103" s="8">
        <f t="shared" ref="A103:A105" si="315">+A102</f>
        <v>26</v>
      </c>
      <c r="B103" s="5" t="str">
        <f>+'libro compras'!$AL$1</f>
        <v>401110</v>
      </c>
      <c r="C103" s="5" t="str">
        <f t="shared" ref="C103" si="316">+C102</f>
        <v>103</v>
      </c>
      <c r="D103" s="1"/>
      <c r="E103" s="11" t="str">
        <f t="shared" si="212"/>
        <v/>
      </c>
      <c r="F103" s="6"/>
      <c r="G103" s="2">
        <f>+'libro compras'!L103</f>
        <v>0</v>
      </c>
      <c r="H103" s="6"/>
      <c r="I103" s="6" t="s">
        <v>31</v>
      </c>
      <c r="J103" s="6" t="str">
        <f t="shared" ref="J103" si="317">+J102</f>
        <v xml:space="preserve"> </v>
      </c>
      <c r="K103" s="5">
        <f t="shared" ref="K103:M103" si="318">+K102</f>
        <v>0</v>
      </c>
      <c r="L103" s="1">
        <f t="shared" si="318"/>
        <v>0</v>
      </c>
      <c r="M103" s="1">
        <f t="shared" si="318"/>
        <v>0</v>
      </c>
      <c r="N103" s="6" t="s">
        <v>32</v>
      </c>
    </row>
    <row r="104" spans="1:14" x14ac:dyDescent="0.3">
      <c r="A104" s="8">
        <f t="shared" si="315"/>
        <v>26</v>
      </c>
      <c r="B104" s="5" t="str">
        <f>+'libro compras'!$AN$1</f>
        <v>421202</v>
      </c>
      <c r="C104" s="1" t="str">
        <f t="shared" ref="C104" si="319">+C103</f>
        <v>103</v>
      </c>
      <c r="D104" s="1"/>
      <c r="E104" s="11" t="str">
        <f t="shared" ref="E104" si="320">+E103</f>
        <v/>
      </c>
      <c r="F104" s="6"/>
      <c r="G104" s="2">
        <f>-'libro compras'!H103</f>
        <v>0</v>
      </c>
      <c r="H104" s="6"/>
      <c r="I104" s="1" t="s">
        <v>1</v>
      </c>
      <c r="J104" s="6" t="str">
        <f t="shared" ref="J104" si="321">+J103</f>
        <v xml:space="preserve"> </v>
      </c>
      <c r="K104" s="5">
        <f t="shared" ref="K104:M104" si="322">+K103</f>
        <v>0</v>
      </c>
      <c r="L104" s="1">
        <f t="shared" si="322"/>
        <v>0</v>
      </c>
      <c r="M104" s="1">
        <f t="shared" si="322"/>
        <v>0</v>
      </c>
      <c r="N104" s="6" t="s">
        <v>32</v>
      </c>
    </row>
    <row r="105" spans="1:14" x14ac:dyDescent="0.3">
      <c r="A105" s="8">
        <f t="shared" si="315"/>
        <v>26</v>
      </c>
      <c r="B105" s="5" t="str">
        <f>+'libro compras'!$AB$1</f>
        <v>0131</v>
      </c>
      <c r="C105" s="1" t="str">
        <f t="shared" ref="C105" si="323">+C104</f>
        <v>103</v>
      </c>
      <c r="D105" s="1"/>
      <c r="E105" s="11" t="str">
        <f t="shared" ref="E105" si="324">+E104</f>
        <v/>
      </c>
      <c r="F105" s="6"/>
      <c r="G105" s="2">
        <f>-'libro compras'!I103</f>
        <v>0</v>
      </c>
      <c r="H105" s="6"/>
      <c r="I105" s="1" t="s">
        <v>1</v>
      </c>
      <c r="J105" s="6" t="str">
        <f t="shared" ref="J105" si="325">+J104</f>
        <v xml:space="preserve"> </v>
      </c>
      <c r="K105" s="5">
        <f t="shared" ref="K105:M105" si="326">+K104</f>
        <v>0</v>
      </c>
      <c r="L105" s="1">
        <f t="shared" si="326"/>
        <v>0</v>
      </c>
      <c r="M105" s="1">
        <f t="shared" si="326"/>
        <v>0</v>
      </c>
      <c r="N105" s="6" t="s">
        <v>32</v>
      </c>
    </row>
    <row r="106" spans="1:14" hidden="1" x14ac:dyDescent="0.3">
      <c r="A106" s="8">
        <f t="shared" ref="A106" si="327">1+A102</f>
        <v>27</v>
      </c>
      <c r="B106" s="5" t="str">
        <f>+'libro compras'!$AK$1</f>
        <v>281110</v>
      </c>
      <c r="C106" s="1" t="str">
        <f>+'libro compras'!Q107</f>
        <v>103</v>
      </c>
      <c r="D106" s="1"/>
      <c r="E106" s="11" t="str">
        <f>+'libro compras'!S107</f>
        <v/>
      </c>
      <c r="F106" s="6"/>
      <c r="G106" s="2">
        <f>+'libro compras'!AM107</f>
        <v>0</v>
      </c>
      <c r="H106" s="6"/>
      <c r="I106" s="6" t="s">
        <v>31</v>
      </c>
      <c r="J106" s="6" t="str">
        <f>+CONCATENATE('libro compras'!C107," ",'libro compras'!D107)</f>
        <v xml:space="preserve"> </v>
      </c>
      <c r="K106" s="5">
        <f>+'libro compras'!F107</f>
        <v>0</v>
      </c>
      <c r="L106" s="1">
        <f>+'libro compras'!C107</f>
        <v>0</v>
      </c>
      <c r="M106" s="5">
        <f>+'libro compras'!D107</f>
        <v>0</v>
      </c>
      <c r="N106" s="6" t="s">
        <v>32</v>
      </c>
    </row>
    <row r="107" spans="1:14" x14ac:dyDescent="0.3">
      <c r="A107" s="8">
        <f t="shared" ref="A107:A109" si="328">+A106</f>
        <v>27</v>
      </c>
      <c r="B107" s="5" t="str">
        <f>+'libro compras'!$AL$1</f>
        <v>401110</v>
      </c>
      <c r="C107" s="5" t="str">
        <f t="shared" ref="C107" si="329">+C106</f>
        <v>103</v>
      </c>
      <c r="D107" s="1"/>
      <c r="E107" s="11" t="str">
        <f t="shared" si="212"/>
        <v/>
      </c>
      <c r="F107" s="6"/>
      <c r="G107" s="2">
        <f>+'libro compras'!L107</f>
        <v>0</v>
      </c>
      <c r="H107" s="6"/>
      <c r="I107" s="6" t="s">
        <v>31</v>
      </c>
      <c r="J107" s="6" t="str">
        <f t="shared" ref="J107" si="330">+J106</f>
        <v xml:space="preserve"> </v>
      </c>
      <c r="K107" s="5">
        <f t="shared" ref="K107:M107" si="331">+K106</f>
        <v>0</v>
      </c>
      <c r="L107" s="1">
        <f t="shared" si="331"/>
        <v>0</v>
      </c>
      <c r="M107" s="1">
        <f t="shared" si="331"/>
        <v>0</v>
      </c>
      <c r="N107" s="6" t="s">
        <v>32</v>
      </c>
    </row>
    <row r="108" spans="1:14" x14ac:dyDescent="0.3">
      <c r="A108" s="8">
        <f t="shared" si="328"/>
        <v>27</v>
      </c>
      <c r="B108" s="5" t="str">
        <f>+'libro compras'!$AN$1</f>
        <v>421202</v>
      </c>
      <c r="C108" s="1" t="str">
        <f t="shared" ref="C108" si="332">+C107</f>
        <v>103</v>
      </c>
      <c r="D108" s="1"/>
      <c r="E108" s="11" t="str">
        <f t="shared" ref="E108" si="333">+E107</f>
        <v/>
      </c>
      <c r="F108" s="6"/>
      <c r="G108" s="2">
        <f>-'libro compras'!H107</f>
        <v>0</v>
      </c>
      <c r="H108" s="6"/>
      <c r="I108" s="1" t="s">
        <v>1</v>
      </c>
      <c r="J108" s="6" t="str">
        <f t="shared" ref="J108" si="334">+J107</f>
        <v xml:space="preserve"> </v>
      </c>
      <c r="K108" s="5">
        <f t="shared" ref="K108:M108" si="335">+K107</f>
        <v>0</v>
      </c>
      <c r="L108" s="1">
        <f t="shared" si="335"/>
        <v>0</v>
      </c>
      <c r="M108" s="1">
        <f t="shared" si="335"/>
        <v>0</v>
      </c>
      <c r="N108" s="6" t="s">
        <v>32</v>
      </c>
    </row>
    <row r="109" spans="1:14" x14ac:dyDescent="0.3">
      <c r="A109" s="8">
        <f t="shared" si="328"/>
        <v>27</v>
      </c>
      <c r="B109" s="5" t="str">
        <f>+'libro compras'!$AB$1</f>
        <v>0131</v>
      </c>
      <c r="C109" s="1" t="str">
        <f t="shared" ref="C109" si="336">+C108</f>
        <v>103</v>
      </c>
      <c r="D109" s="1"/>
      <c r="E109" s="11" t="str">
        <f t="shared" ref="E109" si="337">+E108</f>
        <v/>
      </c>
      <c r="F109" s="6"/>
      <c r="G109" s="2">
        <f>-'libro compras'!I107</f>
        <v>0</v>
      </c>
      <c r="H109" s="6"/>
      <c r="I109" s="1" t="s">
        <v>1</v>
      </c>
      <c r="J109" s="6" t="str">
        <f t="shared" ref="J109" si="338">+J108</f>
        <v xml:space="preserve"> </v>
      </c>
      <c r="K109" s="5">
        <f t="shared" ref="K109:M109" si="339">+K108</f>
        <v>0</v>
      </c>
      <c r="L109" s="1">
        <f t="shared" si="339"/>
        <v>0</v>
      </c>
      <c r="M109" s="1">
        <f t="shared" si="339"/>
        <v>0</v>
      </c>
      <c r="N109" s="6" t="s">
        <v>32</v>
      </c>
    </row>
    <row r="110" spans="1:14" x14ac:dyDescent="0.3">
      <c r="A110" s="8">
        <f t="shared" ref="A110" si="340">1+A106</f>
        <v>28</v>
      </c>
      <c r="B110" s="5" t="str">
        <f>+'libro compras'!$AK$1</f>
        <v>281110</v>
      </c>
      <c r="C110" s="1" t="str">
        <f>+'libro compras'!Q111</f>
        <v>103</v>
      </c>
      <c r="D110" s="1"/>
      <c r="E110" s="11" t="str">
        <f>+'libro compras'!S111</f>
        <v/>
      </c>
      <c r="F110" s="6"/>
      <c r="G110" s="2">
        <f>+'libro compras'!AM111</f>
        <v>0</v>
      </c>
      <c r="H110" s="6"/>
      <c r="I110" s="6" t="s">
        <v>31</v>
      </c>
      <c r="J110" s="6" t="str">
        <f>+CONCATENATE('libro compras'!C111," ",'libro compras'!D111)</f>
        <v xml:space="preserve"> </v>
      </c>
      <c r="K110" s="5">
        <f>+'libro compras'!F111</f>
        <v>0</v>
      </c>
      <c r="L110" s="1">
        <f>+'libro compras'!C111</f>
        <v>0</v>
      </c>
      <c r="M110" s="5">
        <f>+'libro compras'!D111</f>
        <v>0</v>
      </c>
      <c r="N110" s="6" t="s">
        <v>32</v>
      </c>
    </row>
    <row r="111" spans="1:14" x14ac:dyDescent="0.3">
      <c r="A111" s="8">
        <f t="shared" ref="A111:A113" si="341">+A110</f>
        <v>28</v>
      </c>
      <c r="B111" s="5" t="str">
        <f>+'libro compras'!$AL$1</f>
        <v>401110</v>
      </c>
      <c r="C111" s="5" t="str">
        <f t="shared" ref="C111" si="342">+C110</f>
        <v>103</v>
      </c>
      <c r="D111" s="1"/>
      <c r="E111" s="11" t="str">
        <f t="shared" si="212"/>
        <v/>
      </c>
      <c r="F111" s="6"/>
      <c r="G111" s="2">
        <f>+'libro compras'!L111</f>
        <v>0</v>
      </c>
      <c r="H111" s="6"/>
      <c r="I111" s="6" t="s">
        <v>31</v>
      </c>
      <c r="J111" s="6" t="str">
        <f t="shared" ref="J111" si="343">+J110</f>
        <v xml:space="preserve"> </v>
      </c>
      <c r="K111" s="5">
        <f t="shared" ref="K111:M111" si="344">+K110</f>
        <v>0</v>
      </c>
      <c r="L111" s="1">
        <f t="shared" si="344"/>
        <v>0</v>
      </c>
      <c r="M111" s="1">
        <f t="shared" si="344"/>
        <v>0</v>
      </c>
      <c r="N111" s="6" t="s">
        <v>32</v>
      </c>
    </row>
    <row r="112" spans="1:14" x14ac:dyDescent="0.3">
      <c r="A112" s="8">
        <f t="shared" si="341"/>
        <v>28</v>
      </c>
      <c r="B112" s="5" t="str">
        <f>+'libro compras'!$AN$1</f>
        <v>421202</v>
      </c>
      <c r="C112" s="1" t="str">
        <f t="shared" ref="C112" si="345">+C111</f>
        <v>103</v>
      </c>
      <c r="D112" s="1"/>
      <c r="E112" s="11" t="str">
        <f t="shared" ref="E112" si="346">+E111</f>
        <v/>
      </c>
      <c r="F112" s="6"/>
      <c r="G112" s="2">
        <f>-'libro compras'!H111</f>
        <v>0</v>
      </c>
      <c r="H112" s="6"/>
      <c r="I112" s="1" t="s">
        <v>1</v>
      </c>
      <c r="J112" s="6" t="str">
        <f t="shared" ref="J112" si="347">+J111</f>
        <v xml:space="preserve"> </v>
      </c>
      <c r="K112" s="5">
        <f t="shared" ref="K112:M112" si="348">+K111</f>
        <v>0</v>
      </c>
      <c r="L112" s="1">
        <f t="shared" si="348"/>
        <v>0</v>
      </c>
      <c r="M112" s="1">
        <f t="shared" si="348"/>
        <v>0</v>
      </c>
      <c r="N112" s="6" t="s">
        <v>32</v>
      </c>
    </row>
    <row r="113" spans="1:14" x14ac:dyDescent="0.3">
      <c r="A113" s="8">
        <f t="shared" si="341"/>
        <v>28</v>
      </c>
      <c r="B113" s="5" t="str">
        <f>+'libro compras'!$AB$1</f>
        <v>0131</v>
      </c>
      <c r="C113" s="1" t="str">
        <f t="shared" ref="C113" si="349">+C112</f>
        <v>103</v>
      </c>
      <c r="D113" s="1"/>
      <c r="E113" s="11" t="str">
        <f t="shared" ref="E113" si="350">+E112</f>
        <v/>
      </c>
      <c r="F113" s="6"/>
      <c r="G113" s="2">
        <f>-'libro compras'!I111</f>
        <v>0</v>
      </c>
      <c r="H113" s="6"/>
      <c r="I113" s="1" t="s">
        <v>1</v>
      </c>
      <c r="J113" s="6" t="str">
        <f t="shared" ref="J113" si="351">+J112</f>
        <v xml:space="preserve"> </v>
      </c>
      <c r="K113" s="5">
        <f t="shared" ref="K113:M113" si="352">+K112</f>
        <v>0</v>
      </c>
      <c r="L113" s="1">
        <f t="shared" si="352"/>
        <v>0</v>
      </c>
      <c r="M113" s="1">
        <f t="shared" si="352"/>
        <v>0</v>
      </c>
      <c r="N113" s="6" t="s">
        <v>32</v>
      </c>
    </row>
    <row r="114" spans="1:14" x14ac:dyDescent="0.3">
      <c r="A114" s="8">
        <f t="shared" ref="A114" si="353">1+A110</f>
        <v>29</v>
      </c>
      <c r="B114" s="5" t="str">
        <f>+'libro compras'!$AK$1</f>
        <v>281110</v>
      </c>
      <c r="C114" s="1" t="str">
        <f>+'libro compras'!Q115</f>
        <v>103</v>
      </c>
      <c r="D114" s="1"/>
      <c r="E114" s="11" t="str">
        <f>+'libro compras'!S115</f>
        <v/>
      </c>
      <c r="F114" s="6"/>
      <c r="G114" s="2">
        <f>+'libro compras'!AM115</f>
        <v>0</v>
      </c>
      <c r="H114" s="6"/>
      <c r="I114" s="6" t="s">
        <v>31</v>
      </c>
      <c r="J114" s="6" t="str">
        <f>+CONCATENATE('libro compras'!C115," ",'libro compras'!D115)</f>
        <v xml:space="preserve"> </v>
      </c>
      <c r="K114" s="5">
        <f>+'libro compras'!F115</f>
        <v>0</v>
      </c>
      <c r="L114" s="1">
        <f>+'libro compras'!C115</f>
        <v>0</v>
      </c>
      <c r="M114" s="5">
        <f>+'libro compras'!D115</f>
        <v>0</v>
      </c>
      <c r="N114" s="6" t="s">
        <v>32</v>
      </c>
    </row>
    <row r="115" spans="1:14" x14ac:dyDescent="0.3">
      <c r="A115" s="8">
        <f t="shared" ref="A115:A117" si="354">+A114</f>
        <v>29</v>
      </c>
      <c r="B115" s="5" t="str">
        <f>+'libro compras'!$AL$1</f>
        <v>401110</v>
      </c>
      <c r="C115" s="5" t="str">
        <f t="shared" ref="C115" si="355">+C114</f>
        <v>103</v>
      </c>
      <c r="D115" s="1"/>
      <c r="E115" s="11" t="str">
        <f t="shared" si="212"/>
        <v/>
      </c>
      <c r="F115" s="6"/>
      <c r="G115" s="2">
        <f>+'libro compras'!L115</f>
        <v>0</v>
      </c>
      <c r="H115" s="6"/>
      <c r="I115" s="6" t="s">
        <v>31</v>
      </c>
      <c r="J115" s="6" t="str">
        <f t="shared" ref="J115" si="356">+J114</f>
        <v xml:space="preserve"> </v>
      </c>
      <c r="K115" s="5">
        <f t="shared" ref="K115:M115" si="357">+K114</f>
        <v>0</v>
      </c>
      <c r="L115" s="1">
        <f t="shared" si="357"/>
        <v>0</v>
      </c>
      <c r="M115" s="1">
        <f t="shared" si="357"/>
        <v>0</v>
      </c>
      <c r="N115" s="6" t="s">
        <v>32</v>
      </c>
    </row>
    <row r="116" spans="1:14" x14ac:dyDescent="0.3">
      <c r="A116" s="8">
        <f t="shared" si="354"/>
        <v>29</v>
      </c>
      <c r="B116" s="5" t="str">
        <f>+'libro compras'!$AN$1</f>
        <v>421202</v>
      </c>
      <c r="C116" s="1" t="str">
        <f t="shared" ref="C116" si="358">+C115</f>
        <v>103</v>
      </c>
      <c r="D116" s="1"/>
      <c r="E116" s="11" t="str">
        <f t="shared" ref="E116" si="359">+E115</f>
        <v/>
      </c>
      <c r="F116" s="6"/>
      <c r="G116" s="2">
        <f>-'libro compras'!H115</f>
        <v>0</v>
      </c>
      <c r="H116" s="6"/>
      <c r="I116" s="1" t="s">
        <v>1</v>
      </c>
      <c r="J116" s="6" t="str">
        <f t="shared" ref="J116" si="360">+J115</f>
        <v xml:space="preserve"> </v>
      </c>
      <c r="K116" s="5">
        <f t="shared" ref="K116:M116" si="361">+K115</f>
        <v>0</v>
      </c>
      <c r="L116" s="1">
        <f t="shared" si="361"/>
        <v>0</v>
      </c>
      <c r="M116" s="1">
        <f t="shared" si="361"/>
        <v>0</v>
      </c>
      <c r="N116" s="6" t="s">
        <v>32</v>
      </c>
    </row>
    <row r="117" spans="1:14" x14ac:dyDescent="0.3">
      <c r="A117" s="8">
        <f t="shared" si="354"/>
        <v>29</v>
      </c>
      <c r="B117" s="5" t="str">
        <f>+'libro compras'!$AB$1</f>
        <v>0131</v>
      </c>
      <c r="C117" s="1" t="str">
        <f t="shared" ref="C117" si="362">+C116</f>
        <v>103</v>
      </c>
      <c r="D117" s="1"/>
      <c r="E117" s="11" t="str">
        <f t="shared" ref="E117" si="363">+E116</f>
        <v/>
      </c>
      <c r="F117" s="6"/>
      <c r="G117" s="2">
        <f>-'libro compras'!I115</f>
        <v>0</v>
      </c>
      <c r="H117" s="6"/>
      <c r="I117" s="1" t="s">
        <v>1</v>
      </c>
      <c r="J117" s="6" t="str">
        <f t="shared" ref="J117" si="364">+J116</f>
        <v xml:space="preserve"> </v>
      </c>
      <c r="K117" s="5">
        <f t="shared" ref="K117:M117" si="365">+K116</f>
        <v>0</v>
      </c>
      <c r="L117" s="1">
        <f t="shared" si="365"/>
        <v>0</v>
      </c>
      <c r="M117" s="1">
        <f t="shared" si="365"/>
        <v>0</v>
      </c>
      <c r="N117" s="6" t="s">
        <v>32</v>
      </c>
    </row>
    <row r="118" spans="1:14" x14ac:dyDescent="0.3">
      <c r="A118" s="8">
        <f t="shared" ref="A118" si="366">1+A114</f>
        <v>30</v>
      </c>
      <c r="B118" s="5" t="str">
        <f>+'libro compras'!$AK$1</f>
        <v>281110</v>
      </c>
      <c r="C118" s="1" t="str">
        <f>+'libro compras'!Q119</f>
        <v>103</v>
      </c>
      <c r="D118" s="1"/>
      <c r="E118" s="11" t="str">
        <f>+'libro compras'!S119</f>
        <v/>
      </c>
      <c r="F118" s="6"/>
      <c r="G118" s="2">
        <f>+'libro compras'!AM119</f>
        <v>0</v>
      </c>
      <c r="H118" s="6"/>
      <c r="I118" s="6" t="s">
        <v>31</v>
      </c>
      <c r="J118" s="6" t="str">
        <f>+CONCATENATE('libro compras'!C119," ",'libro compras'!D119)</f>
        <v xml:space="preserve"> </v>
      </c>
      <c r="K118" s="5">
        <f>+'libro compras'!F119</f>
        <v>0</v>
      </c>
      <c r="L118" s="1">
        <f>+'libro compras'!C119</f>
        <v>0</v>
      </c>
      <c r="M118" s="5">
        <f>+'libro compras'!D119</f>
        <v>0</v>
      </c>
      <c r="N118" s="6" t="s">
        <v>32</v>
      </c>
    </row>
    <row r="119" spans="1:14" x14ac:dyDescent="0.3">
      <c r="A119" s="8">
        <f t="shared" ref="A119:A121" si="367">+A118</f>
        <v>30</v>
      </c>
      <c r="B119" s="5" t="str">
        <f>+'libro compras'!$AL$1</f>
        <v>401110</v>
      </c>
      <c r="C119" s="5" t="str">
        <f t="shared" ref="C119" si="368">+C118</f>
        <v>103</v>
      </c>
      <c r="D119" s="1"/>
      <c r="E119" s="11" t="str">
        <f t="shared" si="212"/>
        <v/>
      </c>
      <c r="F119" s="6"/>
      <c r="G119" s="2">
        <f>+'libro compras'!L119</f>
        <v>0</v>
      </c>
      <c r="H119" s="6"/>
      <c r="I119" s="6" t="s">
        <v>31</v>
      </c>
      <c r="J119" s="6" t="str">
        <f t="shared" ref="J119" si="369">+J118</f>
        <v xml:space="preserve"> </v>
      </c>
      <c r="K119" s="5">
        <f t="shared" ref="K119:M119" si="370">+K118</f>
        <v>0</v>
      </c>
      <c r="L119" s="1">
        <f t="shared" si="370"/>
        <v>0</v>
      </c>
      <c r="M119" s="1">
        <f t="shared" si="370"/>
        <v>0</v>
      </c>
      <c r="N119" s="6" t="s">
        <v>32</v>
      </c>
    </row>
    <row r="120" spans="1:14" x14ac:dyDescent="0.3">
      <c r="A120" s="8">
        <f t="shared" si="367"/>
        <v>30</v>
      </c>
      <c r="B120" s="5" t="str">
        <f>+'libro compras'!$AN$1</f>
        <v>421202</v>
      </c>
      <c r="C120" s="1" t="str">
        <f t="shared" ref="C120" si="371">+C119</f>
        <v>103</v>
      </c>
      <c r="D120" s="1"/>
      <c r="E120" s="11" t="str">
        <f t="shared" ref="E120" si="372">+E119</f>
        <v/>
      </c>
      <c r="F120" s="6"/>
      <c r="G120" s="2">
        <f>-'libro compras'!H119</f>
        <v>0</v>
      </c>
      <c r="H120" s="6"/>
      <c r="I120" s="1" t="s">
        <v>1</v>
      </c>
      <c r="J120" s="6" t="str">
        <f t="shared" ref="J120" si="373">+J119</f>
        <v xml:space="preserve"> </v>
      </c>
      <c r="K120" s="5">
        <f t="shared" ref="K120:M120" si="374">+K119</f>
        <v>0</v>
      </c>
      <c r="L120" s="1">
        <f t="shared" si="374"/>
        <v>0</v>
      </c>
      <c r="M120" s="1">
        <f t="shared" si="374"/>
        <v>0</v>
      </c>
      <c r="N120" s="6" t="s">
        <v>32</v>
      </c>
    </row>
    <row r="121" spans="1:14" x14ac:dyDescent="0.3">
      <c r="A121" s="8">
        <f t="shared" si="367"/>
        <v>30</v>
      </c>
      <c r="B121" s="5" t="str">
        <f>+'libro compras'!$AB$1</f>
        <v>0131</v>
      </c>
      <c r="C121" s="1" t="str">
        <f t="shared" ref="C121" si="375">+C120</f>
        <v>103</v>
      </c>
      <c r="D121" s="1"/>
      <c r="E121" s="11" t="str">
        <f t="shared" ref="E121" si="376">+E120</f>
        <v/>
      </c>
      <c r="F121" s="6"/>
      <c r="G121" s="2">
        <f>-'libro compras'!I119</f>
        <v>0</v>
      </c>
      <c r="H121" s="6"/>
      <c r="I121" s="1" t="s">
        <v>1</v>
      </c>
      <c r="J121" s="6" t="str">
        <f t="shared" ref="J121" si="377">+J120</f>
        <v xml:space="preserve"> </v>
      </c>
      <c r="K121" s="5">
        <f t="shared" ref="K121:M121" si="378">+K120</f>
        <v>0</v>
      </c>
      <c r="L121" s="1">
        <f t="shared" si="378"/>
        <v>0</v>
      </c>
      <c r="M121" s="1">
        <f t="shared" si="378"/>
        <v>0</v>
      </c>
      <c r="N121" s="6" t="s">
        <v>32</v>
      </c>
    </row>
    <row r="122" spans="1:14" x14ac:dyDescent="0.3">
      <c r="A122" s="8">
        <f t="shared" ref="A122" si="379">1+A118</f>
        <v>31</v>
      </c>
      <c r="B122" s="5" t="str">
        <f>+'libro compras'!$AK$1</f>
        <v>281110</v>
      </c>
      <c r="C122" s="1" t="str">
        <f>+'libro compras'!Q123</f>
        <v>103</v>
      </c>
      <c r="D122" s="1"/>
      <c r="E122" s="11" t="str">
        <f>+'libro compras'!S123</f>
        <v/>
      </c>
      <c r="F122" s="6"/>
      <c r="G122" s="2">
        <f>+'libro compras'!AM123</f>
        <v>0</v>
      </c>
      <c r="H122" s="6"/>
      <c r="I122" s="6" t="s">
        <v>31</v>
      </c>
      <c r="J122" s="6" t="str">
        <f>+CONCATENATE('libro compras'!C123," ",'libro compras'!D123)</f>
        <v xml:space="preserve"> </v>
      </c>
      <c r="K122" s="5">
        <f>+'libro compras'!F123</f>
        <v>0</v>
      </c>
      <c r="L122" s="1">
        <f>+'libro compras'!C123</f>
        <v>0</v>
      </c>
      <c r="M122" s="5">
        <f>+'libro compras'!D123</f>
        <v>0</v>
      </c>
      <c r="N122" s="6" t="s">
        <v>32</v>
      </c>
    </row>
    <row r="123" spans="1:14" x14ac:dyDescent="0.3">
      <c r="A123" s="8">
        <f t="shared" ref="A123:A125" si="380">+A122</f>
        <v>31</v>
      </c>
      <c r="B123" s="5" t="str">
        <f>+'libro compras'!$AL$1</f>
        <v>401110</v>
      </c>
      <c r="C123" s="5" t="str">
        <f t="shared" ref="C123" si="381">+C122</f>
        <v>103</v>
      </c>
      <c r="D123" s="1"/>
      <c r="E123" s="11" t="str">
        <f t="shared" si="212"/>
        <v/>
      </c>
      <c r="F123" s="6"/>
      <c r="G123" s="2">
        <f>+'libro compras'!L123</f>
        <v>0</v>
      </c>
      <c r="H123" s="6"/>
      <c r="I123" s="6" t="s">
        <v>31</v>
      </c>
      <c r="J123" s="6" t="str">
        <f t="shared" ref="J123" si="382">+J122</f>
        <v xml:space="preserve"> </v>
      </c>
      <c r="K123" s="5">
        <f t="shared" ref="K123:M123" si="383">+K122</f>
        <v>0</v>
      </c>
      <c r="L123" s="1">
        <f t="shared" si="383"/>
        <v>0</v>
      </c>
      <c r="M123" s="1">
        <f t="shared" si="383"/>
        <v>0</v>
      </c>
      <c r="N123" s="6" t="s">
        <v>32</v>
      </c>
    </row>
    <row r="124" spans="1:14" x14ac:dyDescent="0.3">
      <c r="A124" s="8">
        <f t="shared" si="380"/>
        <v>31</v>
      </c>
      <c r="B124" s="5" t="str">
        <f>+'libro compras'!$AN$1</f>
        <v>421202</v>
      </c>
      <c r="C124" s="1" t="str">
        <f t="shared" ref="C124" si="384">+C123</f>
        <v>103</v>
      </c>
      <c r="D124" s="1"/>
      <c r="E124" s="11" t="str">
        <f t="shared" ref="E124" si="385">+E123</f>
        <v/>
      </c>
      <c r="F124" s="6"/>
      <c r="G124" s="2">
        <f>-'libro compras'!H123</f>
        <v>0</v>
      </c>
      <c r="H124" s="6"/>
      <c r="I124" s="1" t="s">
        <v>1</v>
      </c>
      <c r="J124" s="6" t="str">
        <f t="shared" ref="J124" si="386">+J123</f>
        <v xml:space="preserve"> </v>
      </c>
      <c r="K124" s="5">
        <f t="shared" ref="K124:M124" si="387">+K123</f>
        <v>0</v>
      </c>
      <c r="L124" s="1">
        <f t="shared" si="387"/>
        <v>0</v>
      </c>
      <c r="M124" s="1">
        <f t="shared" si="387"/>
        <v>0</v>
      </c>
      <c r="N124" s="6" t="s">
        <v>32</v>
      </c>
    </row>
    <row r="125" spans="1:14" x14ac:dyDescent="0.3">
      <c r="A125" s="8">
        <f t="shared" si="380"/>
        <v>31</v>
      </c>
      <c r="B125" s="5" t="str">
        <f>+'libro compras'!$AB$1</f>
        <v>0131</v>
      </c>
      <c r="C125" s="1" t="str">
        <f t="shared" ref="C125" si="388">+C124</f>
        <v>103</v>
      </c>
      <c r="D125" s="1"/>
      <c r="E125" s="11" t="str">
        <f t="shared" ref="E125" si="389">+E124</f>
        <v/>
      </c>
      <c r="F125" s="6"/>
      <c r="G125" s="2">
        <f>-'libro compras'!I123</f>
        <v>0</v>
      </c>
      <c r="H125" s="6"/>
      <c r="I125" s="1" t="s">
        <v>1</v>
      </c>
      <c r="J125" s="6" t="str">
        <f t="shared" ref="J125" si="390">+J124</f>
        <v xml:space="preserve"> </v>
      </c>
      <c r="K125" s="5">
        <f t="shared" ref="K125:M125" si="391">+K124</f>
        <v>0</v>
      </c>
      <c r="L125" s="1">
        <f t="shared" si="391"/>
        <v>0</v>
      </c>
      <c r="M125" s="1">
        <f t="shared" si="391"/>
        <v>0</v>
      </c>
      <c r="N125" s="6" t="s">
        <v>32</v>
      </c>
    </row>
    <row r="126" spans="1:14" hidden="1" x14ac:dyDescent="0.3">
      <c r="A126" s="8">
        <f t="shared" ref="A126" si="392">1+A122</f>
        <v>32</v>
      </c>
      <c r="B126" s="5" t="str">
        <f>+'libro compras'!$AK$1</f>
        <v>281110</v>
      </c>
      <c r="C126" s="1" t="str">
        <f>+'libro compras'!Q127</f>
        <v>103</v>
      </c>
      <c r="D126" s="1"/>
      <c r="E126" s="11" t="str">
        <f>+'libro compras'!S127</f>
        <v/>
      </c>
      <c r="F126" s="6"/>
      <c r="G126" s="2">
        <f>+'libro compras'!AM127</f>
        <v>0</v>
      </c>
      <c r="H126" s="6"/>
      <c r="I126" s="6" t="s">
        <v>31</v>
      </c>
      <c r="J126" s="6" t="str">
        <f>+CONCATENATE('libro compras'!C127," ",'libro compras'!D127)</f>
        <v xml:space="preserve"> </v>
      </c>
      <c r="K126" s="5">
        <f>+'libro compras'!F127</f>
        <v>0</v>
      </c>
      <c r="L126" s="1">
        <f>+'libro compras'!C127</f>
        <v>0</v>
      </c>
      <c r="M126" s="5">
        <f>+'libro compras'!D127</f>
        <v>0</v>
      </c>
      <c r="N126" s="6" t="s">
        <v>32</v>
      </c>
    </row>
    <row r="127" spans="1:14" x14ac:dyDescent="0.3">
      <c r="A127" s="8">
        <f t="shared" ref="A127:A129" si="393">+A126</f>
        <v>32</v>
      </c>
      <c r="B127" s="5" t="str">
        <f>+'libro compras'!$AL$1</f>
        <v>401110</v>
      </c>
      <c r="C127" s="5" t="str">
        <f t="shared" ref="C127" si="394">+C126</f>
        <v>103</v>
      </c>
      <c r="D127" s="1"/>
      <c r="E127" s="11" t="str">
        <f t="shared" si="212"/>
        <v/>
      </c>
      <c r="F127" s="6"/>
      <c r="G127" s="2">
        <f>+'libro compras'!L127</f>
        <v>0</v>
      </c>
      <c r="H127" s="6"/>
      <c r="I127" s="6" t="s">
        <v>31</v>
      </c>
      <c r="J127" s="6" t="str">
        <f t="shared" ref="J127" si="395">+J126</f>
        <v xml:space="preserve"> </v>
      </c>
      <c r="K127" s="5">
        <f t="shared" ref="K127:M127" si="396">+K126</f>
        <v>0</v>
      </c>
      <c r="L127" s="1">
        <f t="shared" si="396"/>
        <v>0</v>
      </c>
      <c r="M127" s="1">
        <f t="shared" si="396"/>
        <v>0</v>
      </c>
      <c r="N127" s="6" t="s">
        <v>32</v>
      </c>
    </row>
    <row r="128" spans="1:14" x14ac:dyDescent="0.3">
      <c r="A128" s="8">
        <f t="shared" si="393"/>
        <v>32</v>
      </c>
      <c r="B128" s="5" t="str">
        <f>+'libro compras'!$AN$1</f>
        <v>421202</v>
      </c>
      <c r="C128" s="1" t="str">
        <f t="shared" ref="C128" si="397">+C127</f>
        <v>103</v>
      </c>
      <c r="D128" s="1"/>
      <c r="E128" s="11" t="str">
        <f t="shared" ref="E128" si="398">+E127</f>
        <v/>
      </c>
      <c r="F128" s="6"/>
      <c r="G128" s="2">
        <f>-'libro compras'!H127</f>
        <v>0</v>
      </c>
      <c r="H128" s="6"/>
      <c r="I128" s="1" t="s">
        <v>1</v>
      </c>
      <c r="J128" s="6" t="str">
        <f t="shared" ref="J128" si="399">+J127</f>
        <v xml:space="preserve"> </v>
      </c>
      <c r="K128" s="5">
        <f t="shared" ref="K128:M128" si="400">+K127</f>
        <v>0</v>
      </c>
      <c r="L128" s="1">
        <f t="shared" si="400"/>
        <v>0</v>
      </c>
      <c r="M128" s="1">
        <f t="shared" si="400"/>
        <v>0</v>
      </c>
      <c r="N128" s="6" t="s">
        <v>32</v>
      </c>
    </row>
    <row r="129" spans="1:14" x14ac:dyDescent="0.3">
      <c r="A129" s="8">
        <f t="shared" si="393"/>
        <v>32</v>
      </c>
      <c r="B129" s="5" t="str">
        <f>+'libro compras'!$AB$1</f>
        <v>0131</v>
      </c>
      <c r="C129" s="1" t="str">
        <f t="shared" ref="C129" si="401">+C128</f>
        <v>103</v>
      </c>
      <c r="D129" s="1"/>
      <c r="E129" s="11" t="str">
        <f t="shared" ref="E129" si="402">+E128</f>
        <v/>
      </c>
      <c r="F129" s="6"/>
      <c r="G129" s="2">
        <f>-'libro compras'!I127</f>
        <v>0</v>
      </c>
      <c r="H129" s="6"/>
      <c r="I129" s="1" t="s">
        <v>1</v>
      </c>
      <c r="J129" s="6" t="str">
        <f t="shared" ref="J129" si="403">+J128</f>
        <v xml:space="preserve"> </v>
      </c>
      <c r="K129" s="5">
        <f t="shared" ref="K129:M129" si="404">+K128</f>
        <v>0</v>
      </c>
      <c r="L129" s="1">
        <f t="shared" si="404"/>
        <v>0</v>
      </c>
      <c r="M129" s="1">
        <f t="shared" si="404"/>
        <v>0</v>
      </c>
      <c r="N129" s="6" t="s">
        <v>32</v>
      </c>
    </row>
    <row r="130" spans="1:14" hidden="1" x14ac:dyDescent="0.3">
      <c r="A130" s="8">
        <f t="shared" ref="A130" si="405">1+A126</f>
        <v>33</v>
      </c>
      <c r="B130" s="5" t="str">
        <f>+'libro compras'!$AK$1</f>
        <v>281110</v>
      </c>
      <c r="C130" s="1" t="str">
        <f>+'libro compras'!Q131</f>
        <v>103</v>
      </c>
      <c r="D130" s="1"/>
      <c r="E130" s="11" t="str">
        <f>+'libro compras'!S131</f>
        <v/>
      </c>
      <c r="F130" s="6"/>
      <c r="G130" s="2">
        <f>+'libro compras'!AM131</f>
        <v>0</v>
      </c>
      <c r="H130" s="6"/>
      <c r="I130" s="6" t="s">
        <v>31</v>
      </c>
      <c r="J130" s="6" t="str">
        <f>+CONCATENATE('libro compras'!C131," ",'libro compras'!D131)</f>
        <v xml:space="preserve"> </v>
      </c>
      <c r="K130" s="5">
        <f>+'libro compras'!F131</f>
        <v>0</v>
      </c>
      <c r="L130" s="1">
        <f>+'libro compras'!C131</f>
        <v>0</v>
      </c>
      <c r="M130" s="5">
        <f>+'libro compras'!D131</f>
        <v>0</v>
      </c>
      <c r="N130" s="6" t="s">
        <v>32</v>
      </c>
    </row>
    <row r="131" spans="1:14" x14ac:dyDescent="0.3">
      <c r="A131" s="8">
        <f t="shared" ref="A131:A133" si="406">+A130</f>
        <v>33</v>
      </c>
      <c r="B131" s="5" t="str">
        <f>+'libro compras'!$AL$1</f>
        <v>401110</v>
      </c>
      <c r="C131" s="5" t="str">
        <f t="shared" ref="C131" si="407">+C130</f>
        <v>103</v>
      </c>
      <c r="D131" s="1"/>
      <c r="E131" s="11" t="str">
        <f t="shared" si="212"/>
        <v/>
      </c>
      <c r="F131" s="6"/>
      <c r="G131" s="2">
        <f>+'libro compras'!L131</f>
        <v>0</v>
      </c>
      <c r="H131" s="6"/>
      <c r="I131" s="6" t="s">
        <v>31</v>
      </c>
      <c r="J131" s="6" t="str">
        <f t="shared" ref="J131" si="408">+J130</f>
        <v xml:space="preserve"> </v>
      </c>
      <c r="K131" s="5">
        <f t="shared" ref="K131:M131" si="409">+K130</f>
        <v>0</v>
      </c>
      <c r="L131" s="1">
        <f t="shared" si="409"/>
        <v>0</v>
      </c>
      <c r="M131" s="1">
        <f t="shared" si="409"/>
        <v>0</v>
      </c>
      <c r="N131" s="6" t="s">
        <v>32</v>
      </c>
    </row>
    <row r="132" spans="1:14" x14ac:dyDescent="0.3">
      <c r="A132" s="8">
        <f t="shared" si="406"/>
        <v>33</v>
      </c>
      <c r="B132" s="5" t="str">
        <f>+'libro compras'!$AN$1</f>
        <v>421202</v>
      </c>
      <c r="C132" s="1" t="str">
        <f t="shared" ref="C132" si="410">+C131</f>
        <v>103</v>
      </c>
      <c r="D132" s="1"/>
      <c r="E132" s="11" t="str">
        <f t="shared" ref="E132" si="411">+E131</f>
        <v/>
      </c>
      <c r="F132" s="6"/>
      <c r="G132" s="2">
        <f>-'libro compras'!H131</f>
        <v>0</v>
      </c>
      <c r="H132" s="6"/>
      <c r="I132" s="1" t="s">
        <v>1</v>
      </c>
      <c r="J132" s="6" t="str">
        <f t="shared" ref="J132" si="412">+J131</f>
        <v xml:space="preserve"> </v>
      </c>
      <c r="K132" s="5">
        <f t="shared" ref="K132:M132" si="413">+K131</f>
        <v>0</v>
      </c>
      <c r="L132" s="1">
        <f t="shared" si="413"/>
        <v>0</v>
      </c>
      <c r="M132" s="1">
        <f t="shared" si="413"/>
        <v>0</v>
      </c>
      <c r="N132" s="6" t="s">
        <v>32</v>
      </c>
    </row>
    <row r="133" spans="1:14" x14ac:dyDescent="0.3">
      <c r="A133" s="8">
        <f t="shared" si="406"/>
        <v>33</v>
      </c>
      <c r="B133" s="5" t="str">
        <f>+'libro compras'!$AB$1</f>
        <v>0131</v>
      </c>
      <c r="C133" s="1" t="str">
        <f t="shared" ref="C133" si="414">+C132</f>
        <v>103</v>
      </c>
      <c r="D133" s="1"/>
      <c r="E133" s="11" t="str">
        <f t="shared" ref="E133" si="415">+E132</f>
        <v/>
      </c>
      <c r="F133" s="6"/>
      <c r="G133" s="2">
        <f>-'libro compras'!I131</f>
        <v>0</v>
      </c>
      <c r="H133" s="6"/>
      <c r="I133" s="1" t="s">
        <v>1</v>
      </c>
      <c r="J133" s="6" t="str">
        <f t="shared" ref="J133" si="416">+J132</f>
        <v xml:space="preserve"> </v>
      </c>
      <c r="K133" s="5">
        <f t="shared" ref="K133:M133" si="417">+K132</f>
        <v>0</v>
      </c>
      <c r="L133" s="1">
        <f t="shared" si="417"/>
        <v>0</v>
      </c>
      <c r="M133" s="1">
        <f t="shared" si="417"/>
        <v>0</v>
      </c>
      <c r="N133" s="6" t="s">
        <v>32</v>
      </c>
    </row>
    <row r="134" spans="1:14" x14ac:dyDescent="0.3">
      <c r="A134" s="8">
        <f t="shared" ref="A134" si="418">1+A130</f>
        <v>34</v>
      </c>
      <c r="B134" s="5" t="str">
        <f>+'libro compras'!$AK$1</f>
        <v>281110</v>
      </c>
      <c r="C134" s="1" t="str">
        <f>+'libro compras'!Q135</f>
        <v>103</v>
      </c>
      <c r="D134" s="1"/>
      <c r="E134" s="11" t="str">
        <f>+'libro compras'!S135</f>
        <v/>
      </c>
      <c r="F134" s="6"/>
      <c r="G134" s="2">
        <f>+'libro compras'!AM135</f>
        <v>0</v>
      </c>
      <c r="H134" s="6"/>
      <c r="I134" s="6" t="s">
        <v>31</v>
      </c>
      <c r="J134" s="6" t="str">
        <f>+CONCATENATE('libro compras'!C135," ",'libro compras'!D135)</f>
        <v xml:space="preserve"> </v>
      </c>
      <c r="K134" s="5">
        <f>+'libro compras'!F135</f>
        <v>0</v>
      </c>
      <c r="L134" s="1">
        <f>+'libro compras'!C135</f>
        <v>0</v>
      </c>
      <c r="M134" s="5">
        <f>+'libro compras'!D135</f>
        <v>0</v>
      </c>
      <c r="N134" s="6" t="s">
        <v>32</v>
      </c>
    </row>
    <row r="135" spans="1:14" x14ac:dyDescent="0.3">
      <c r="A135" s="8">
        <f t="shared" ref="A135:A137" si="419">+A134</f>
        <v>34</v>
      </c>
      <c r="B135" s="5" t="str">
        <f>+'libro compras'!$AL$1</f>
        <v>401110</v>
      </c>
      <c r="C135" s="5" t="str">
        <f t="shared" ref="C135" si="420">+C134</f>
        <v>103</v>
      </c>
      <c r="D135" s="1"/>
      <c r="E135" s="11" t="str">
        <f t="shared" ref="E135:E179" si="421">+E134</f>
        <v/>
      </c>
      <c r="F135" s="6"/>
      <c r="G135" s="2">
        <f>+'libro compras'!L135</f>
        <v>0</v>
      </c>
      <c r="H135" s="6"/>
      <c r="I135" s="6" t="s">
        <v>31</v>
      </c>
      <c r="J135" s="6" t="str">
        <f t="shared" ref="J135" si="422">+J134</f>
        <v xml:space="preserve"> </v>
      </c>
      <c r="K135" s="5">
        <f t="shared" ref="K135:M135" si="423">+K134</f>
        <v>0</v>
      </c>
      <c r="L135" s="1">
        <f t="shared" si="423"/>
        <v>0</v>
      </c>
      <c r="M135" s="1">
        <f t="shared" si="423"/>
        <v>0</v>
      </c>
      <c r="N135" s="6" t="s">
        <v>32</v>
      </c>
    </row>
    <row r="136" spans="1:14" x14ac:dyDescent="0.3">
      <c r="A136" s="8">
        <f t="shared" si="419"/>
        <v>34</v>
      </c>
      <c r="B136" s="5" t="str">
        <f>+'libro compras'!$AN$1</f>
        <v>421202</v>
      </c>
      <c r="C136" s="1" t="str">
        <f t="shared" ref="C136" si="424">+C135</f>
        <v>103</v>
      </c>
      <c r="D136" s="1"/>
      <c r="E136" s="11" t="str">
        <f t="shared" ref="E136" si="425">+E135</f>
        <v/>
      </c>
      <c r="F136" s="6"/>
      <c r="G136" s="2">
        <f>-'libro compras'!H135</f>
        <v>0</v>
      </c>
      <c r="H136" s="6"/>
      <c r="I136" s="1" t="s">
        <v>1</v>
      </c>
      <c r="J136" s="6" t="str">
        <f t="shared" ref="J136" si="426">+J135</f>
        <v xml:space="preserve"> </v>
      </c>
      <c r="K136" s="5">
        <f t="shared" ref="K136:M136" si="427">+K135</f>
        <v>0</v>
      </c>
      <c r="L136" s="1">
        <f t="shared" si="427"/>
        <v>0</v>
      </c>
      <c r="M136" s="1">
        <f t="shared" si="427"/>
        <v>0</v>
      </c>
      <c r="N136" s="6" t="s">
        <v>32</v>
      </c>
    </row>
    <row r="137" spans="1:14" x14ac:dyDescent="0.3">
      <c r="A137" s="8">
        <f t="shared" si="419"/>
        <v>34</v>
      </c>
      <c r="B137" s="5" t="str">
        <f>+'libro compras'!$AB$1</f>
        <v>0131</v>
      </c>
      <c r="C137" s="1" t="str">
        <f t="shared" ref="C137" si="428">+C136</f>
        <v>103</v>
      </c>
      <c r="D137" s="1"/>
      <c r="E137" s="11" t="str">
        <f t="shared" ref="E137" si="429">+E136</f>
        <v/>
      </c>
      <c r="F137" s="6"/>
      <c r="G137" s="2">
        <f>-'libro compras'!I135</f>
        <v>0</v>
      </c>
      <c r="H137" s="6"/>
      <c r="I137" s="1" t="s">
        <v>1</v>
      </c>
      <c r="J137" s="6" t="str">
        <f t="shared" ref="J137" si="430">+J136</f>
        <v xml:space="preserve"> </v>
      </c>
      <c r="K137" s="5">
        <f t="shared" ref="K137:M137" si="431">+K136</f>
        <v>0</v>
      </c>
      <c r="L137" s="1">
        <f t="shared" si="431"/>
        <v>0</v>
      </c>
      <c r="M137" s="1">
        <f t="shared" si="431"/>
        <v>0</v>
      </c>
      <c r="N137" s="6" t="s">
        <v>32</v>
      </c>
    </row>
    <row r="138" spans="1:14" hidden="1" x14ac:dyDescent="0.3">
      <c r="A138" s="8">
        <f t="shared" ref="A138" si="432">1+A134</f>
        <v>35</v>
      </c>
      <c r="B138" s="5" t="str">
        <f>+'libro compras'!$AK$1</f>
        <v>281110</v>
      </c>
      <c r="C138" s="1" t="str">
        <f>+'libro compras'!Q139</f>
        <v>103</v>
      </c>
      <c r="D138" s="1"/>
      <c r="E138" s="11" t="str">
        <f>+'libro compras'!S139</f>
        <v/>
      </c>
      <c r="F138" s="6"/>
      <c r="G138" s="2">
        <f>+'libro compras'!AM139</f>
        <v>0</v>
      </c>
      <c r="H138" s="6"/>
      <c r="I138" s="6" t="s">
        <v>31</v>
      </c>
      <c r="J138" s="6" t="str">
        <f>+CONCATENATE('libro compras'!C139," ",'libro compras'!D139)</f>
        <v xml:space="preserve"> </v>
      </c>
      <c r="K138" s="5">
        <f>+'libro compras'!F139</f>
        <v>0</v>
      </c>
      <c r="L138" s="1">
        <f>+'libro compras'!C139</f>
        <v>0</v>
      </c>
      <c r="M138" s="5">
        <f>+'libro compras'!D139</f>
        <v>0</v>
      </c>
      <c r="N138" s="6" t="s">
        <v>32</v>
      </c>
    </row>
    <row r="139" spans="1:14" x14ac:dyDescent="0.3">
      <c r="A139" s="8">
        <f t="shared" ref="A139:A141" si="433">+A138</f>
        <v>35</v>
      </c>
      <c r="B139" s="5" t="str">
        <f>+'libro compras'!$AL$1</f>
        <v>401110</v>
      </c>
      <c r="C139" s="5" t="str">
        <f t="shared" ref="C139" si="434">+C138</f>
        <v>103</v>
      </c>
      <c r="D139" s="1"/>
      <c r="E139" s="11" t="str">
        <f t="shared" si="421"/>
        <v/>
      </c>
      <c r="F139" s="6"/>
      <c r="G139" s="2">
        <f>+'libro compras'!L139</f>
        <v>0</v>
      </c>
      <c r="H139" s="6"/>
      <c r="I139" s="6" t="s">
        <v>31</v>
      </c>
      <c r="J139" s="6" t="str">
        <f t="shared" ref="J139" si="435">+J138</f>
        <v xml:space="preserve"> </v>
      </c>
      <c r="K139" s="5">
        <f t="shared" ref="K139:M139" si="436">+K138</f>
        <v>0</v>
      </c>
      <c r="L139" s="1">
        <f t="shared" si="436"/>
        <v>0</v>
      </c>
      <c r="M139" s="1">
        <f t="shared" si="436"/>
        <v>0</v>
      </c>
      <c r="N139" s="6" t="s">
        <v>32</v>
      </c>
    </row>
    <row r="140" spans="1:14" x14ac:dyDescent="0.3">
      <c r="A140" s="8">
        <f t="shared" si="433"/>
        <v>35</v>
      </c>
      <c r="B140" s="5" t="str">
        <f>+'libro compras'!$AN$1</f>
        <v>421202</v>
      </c>
      <c r="C140" s="1" t="str">
        <f t="shared" ref="C140" si="437">+C139</f>
        <v>103</v>
      </c>
      <c r="D140" s="1"/>
      <c r="E140" s="11" t="str">
        <f t="shared" ref="E140" si="438">+E139</f>
        <v/>
      </c>
      <c r="F140" s="6"/>
      <c r="G140" s="2">
        <f>-'libro compras'!H139</f>
        <v>0</v>
      </c>
      <c r="H140" s="6"/>
      <c r="I140" s="1" t="s">
        <v>1</v>
      </c>
      <c r="J140" s="6" t="str">
        <f t="shared" ref="J140" si="439">+J139</f>
        <v xml:space="preserve"> </v>
      </c>
      <c r="K140" s="5">
        <f t="shared" ref="K140:M140" si="440">+K139</f>
        <v>0</v>
      </c>
      <c r="L140" s="1">
        <f t="shared" si="440"/>
        <v>0</v>
      </c>
      <c r="M140" s="1">
        <f t="shared" si="440"/>
        <v>0</v>
      </c>
      <c r="N140" s="6" t="s">
        <v>32</v>
      </c>
    </row>
    <row r="141" spans="1:14" x14ac:dyDescent="0.3">
      <c r="A141" s="8">
        <f t="shared" si="433"/>
        <v>35</v>
      </c>
      <c r="B141" s="5" t="str">
        <f>+'libro compras'!$AB$1</f>
        <v>0131</v>
      </c>
      <c r="C141" s="1" t="str">
        <f t="shared" ref="C141" si="441">+C140</f>
        <v>103</v>
      </c>
      <c r="D141" s="1"/>
      <c r="E141" s="11" t="str">
        <f t="shared" ref="E141" si="442">+E140</f>
        <v/>
      </c>
      <c r="F141" s="6"/>
      <c r="G141" s="2">
        <f>-'libro compras'!I139</f>
        <v>0</v>
      </c>
      <c r="H141" s="6"/>
      <c r="I141" s="1" t="s">
        <v>1</v>
      </c>
      <c r="J141" s="6" t="str">
        <f t="shared" ref="J141" si="443">+J140</f>
        <v xml:space="preserve"> </v>
      </c>
      <c r="K141" s="5">
        <f t="shared" ref="K141:M141" si="444">+K140</f>
        <v>0</v>
      </c>
      <c r="L141" s="1">
        <f t="shared" si="444"/>
        <v>0</v>
      </c>
      <c r="M141" s="1">
        <f t="shared" si="444"/>
        <v>0</v>
      </c>
      <c r="N141" s="6" t="s">
        <v>32</v>
      </c>
    </row>
    <row r="142" spans="1:14" hidden="1" x14ac:dyDescent="0.3">
      <c r="A142" s="8">
        <f t="shared" ref="A142" si="445">1+A138</f>
        <v>36</v>
      </c>
      <c r="B142" s="5" t="str">
        <f>+'libro compras'!$AK$1</f>
        <v>281110</v>
      </c>
      <c r="C142" s="1" t="str">
        <f>+'libro compras'!Q143</f>
        <v>103</v>
      </c>
      <c r="D142" s="1"/>
      <c r="E142" s="11" t="str">
        <f>+'libro compras'!S143</f>
        <v/>
      </c>
      <c r="F142" s="6"/>
      <c r="G142" s="2">
        <f>+'libro compras'!AM143</f>
        <v>0</v>
      </c>
      <c r="H142" s="6"/>
      <c r="I142" s="6" t="s">
        <v>31</v>
      </c>
      <c r="J142" s="6" t="str">
        <f>+CONCATENATE('libro compras'!C143," ",'libro compras'!D143)</f>
        <v xml:space="preserve"> </v>
      </c>
      <c r="K142" s="5">
        <f>+'libro compras'!F143</f>
        <v>0</v>
      </c>
      <c r="L142" s="1">
        <f>+'libro compras'!C143</f>
        <v>0</v>
      </c>
      <c r="M142" s="5">
        <f>+'libro compras'!D143</f>
        <v>0</v>
      </c>
      <c r="N142" s="6" t="s">
        <v>32</v>
      </c>
    </row>
    <row r="143" spans="1:14" x14ac:dyDescent="0.3">
      <c r="A143" s="8">
        <f t="shared" ref="A143:A145" si="446">+A142</f>
        <v>36</v>
      </c>
      <c r="B143" s="5" t="str">
        <f>+'libro compras'!$AL$1</f>
        <v>401110</v>
      </c>
      <c r="C143" s="5" t="str">
        <f t="shared" ref="C143" si="447">+C142</f>
        <v>103</v>
      </c>
      <c r="D143" s="1"/>
      <c r="E143" s="11" t="str">
        <f t="shared" si="421"/>
        <v/>
      </c>
      <c r="F143" s="6"/>
      <c r="G143" s="2">
        <f>+'libro compras'!L143</f>
        <v>0</v>
      </c>
      <c r="H143" s="6"/>
      <c r="I143" s="6" t="s">
        <v>31</v>
      </c>
      <c r="J143" s="6" t="str">
        <f t="shared" ref="J143" si="448">+J142</f>
        <v xml:space="preserve"> </v>
      </c>
      <c r="K143" s="5">
        <f t="shared" ref="K143:M143" si="449">+K142</f>
        <v>0</v>
      </c>
      <c r="L143" s="1">
        <f t="shared" si="449"/>
        <v>0</v>
      </c>
      <c r="M143" s="1">
        <f t="shared" si="449"/>
        <v>0</v>
      </c>
      <c r="N143" s="6" t="s">
        <v>32</v>
      </c>
    </row>
    <row r="144" spans="1:14" x14ac:dyDescent="0.3">
      <c r="A144" s="8">
        <f t="shared" si="446"/>
        <v>36</v>
      </c>
      <c r="B144" s="5" t="str">
        <f>+'libro compras'!$AN$1</f>
        <v>421202</v>
      </c>
      <c r="C144" s="1" t="str">
        <f t="shared" ref="C144" si="450">+C143</f>
        <v>103</v>
      </c>
      <c r="D144" s="1"/>
      <c r="E144" s="11" t="str">
        <f t="shared" ref="E144" si="451">+E143</f>
        <v/>
      </c>
      <c r="F144" s="6"/>
      <c r="G144" s="2">
        <f>-'libro compras'!H143</f>
        <v>0</v>
      </c>
      <c r="H144" s="6"/>
      <c r="I144" s="1" t="s">
        <v>1</v>
      </c>
      <c r="J144" s="6" t="str">
        <f t="shared" ref="J144" si="452">+J143</f>
        <v xml:space="preserve"> </v>
      </c>
      <c r="K144" s="5">
        <f t="shared" ref="K144:M144" si="453">+K143</f>
        <v>0</v>
      </c>
      <c r="L144" s="1">
        <f t="shared" si="453"/>
        <v>0</v>
      </c>
      <c r="M144" s="1">
        <f t="shared" si="453"/>
        <v>0</v>
      </c>
      <c r="N144" s="6" t="s">
        <v>32</v>
      </c>
    </row>
    <row r="145" spans="1:14" x14ac:dyDescent="0.3">
      <c r="A145" s="8">
        <f t="shared" si="446"/>
        <v>36</v>
      </c>
      <c r="B145" s="5" t="str">
        <f>+'libro compras'!$AB$1</f>
        <v>0131</v>
      </c>
      <c r="C145" s="1" t="str">
        <f t="shared" ref="C145" si="454">+C144</f>
        <v>103</v>
      </c>
      <c r="D145" s="1"/>
      <c r="E145" s="11" t="str">
        <f t="shared" ref="E145" si="455">+E144</f>
        <v/>
      </c>
      <c r="F145" s="6"/>
      <c r="G145" s="2">
        <f>-'libro compras'!I143</f>
        <v>0</v>
      </c>
      <c r="H145" s="6"/>
      <c r="I145" s="1" t="s">
        <v>1</v>
      </c>
      <c r="J145" s="6" t="str">
        <f t="shared" ref="J145" si="456">+J144</f>
        <v xml:space="preserve"> </v>
      </c>
      <c r="K145" s="5">
        <f t="shared" ref="K145:M145" si="457">+K144</f>
        <v>0</v>
      </c>
      <c r="L145" s="1">
        <f t="shared" si="457"/>
        <v>0</v>
      </c>
      <c r="M145" s="1">
        <f t="shared" si="457"/>
        <v>0</v>
      </c>
      <c r="N145" s="6" t="s">
        <v>32</v>
      </c>
    </row>
    <row r="146" spans="1:14" x14ac:dyDescent="0.3">
      <c r="A146" s="8">
        <f t="shared" ref="A146" si="458">1+A142</f>
        <v>37</v>
      </c>
      <c r="B146" s="5" t="str">
        <f>+'libro compras'!$AK$1</f>
        <v>281110</v>
      </c>
      <c r="C146" s="1" t="str">
        <f>+'libro compras'!Q147</f>
        <v>103</v>
      </c>
      <c r="D146" s="1"/>
      <c r="E146" s="11" t="str">
        <f>+'libro compras'!S147</f>
        <v/>
      </c>
      <c r="F146" s="6"/>
      <c r="G146" s="2">
        <f>+'libro compras'!AM147</f>
        <v>0</v>
      </c>
      <c r="H146" s="6"/>
      <c r="I146" s="6" t="s">
        <v>31</v>
      </c>
      <c r="J146" s="6" t="str">
        <f>+CONCATENATE('libro compras'!C147," ",'libro compras'!D147)</f>
        <v xml:space="preserve"> </v>
      </c>
      <c r="K146" s="5">
        <f>+'libro compras'!F147</f>
        <v>0</v>
      </c>
      <c r="L146" s="1">
        <f>+'libro compras'!C147</f>
        <v>0</v>
      </c>
      <c r="M146" s="5">
        <f>+'libro compras'!D147</f>
        <v>0</v>
      </c>
      <c r="N146" s="6" t="s">
        <v>32</v>
      </c>
    </row>
    <row r="147" spans="1:14" x14ac:dyDescent="0.3">
      <c r="A147" s="8">
        <f t="shared" ref="A147:A149" si="459">+A146</f>
        <v>37</v>
      </c>
      <c r="B147" s="5" t="str">
        <f>+'libro compras'!$AL$1</f>
        <v>401110</v>
      </c>
      <c r="C147" s="5" t="str">
        <f t="shared" ref="C147" si="460">+C146</f>
        <v>103</v>
      </c>
      <c r="D147" s="1"/>
      <c r="E147" s="11" t="str">
        <f t="shared" si="421"/>
        <v/>
      </c>
      <c r="F147" s="6"/>
      <c r="G147" s="2">
        <f>+'libro compras'!L147</f>
        <v>0</v>
      </c>
      <c r="H147" s="6"/>
      <c r="I147" s="6" t="s">
        <v>31</v>
      </c>
      <c r="J147" s="6" t="str">
        <f t="shared" ref="J147" si="461">+J146</f>
        <v xml:space="preserve"> </v>
      </c>
      <c r="K147" s="5">
        <f t="shared" ref="K147:M147" si="462">+K146</f>
        <v>0</v>
      </c>
      <c r="L147" s="1">
        <f t="shared" si="462"/>
        <v>0</v>
      </c>
      <c r="M147" s="1">
        <f t="shared" si="462"/>
        <v>0</v>
      </c>
      <c r="N147" s="6" t="s">
        <v>32</v>
      </c>
    </row>
    <row r="148" spans="1:14" x14ac:dyDescent="0.3">
      <c r="A148" s="8">
        <f t="shared" si="459"/>
        <v>37</v>
      </c>
      <c r="B148" s="5" t="str">
        <f>+'libro compras'!$AN$1</f>
        <v>421202</v>
      </c>
      <c r="C148" s="1" t="str">
        <f t="shared" ref="C148" si="463">+C147</f>
        <v>103</v>
      </c>
      <c r="D148" s="1"/>
      <c r="E148" s="11" t="str">
        <f t="shared" ref="E148" si="464">+E147</f>
        <v/>
      </c>
      <c r="F148" s="6"/>
      <c r="G148" s="2">
        <f>-'libro compras'!H147</f>
        <v>0</v>
      </c>
      <c r="H148" s="6"/>
      <c r="I148" s="1" t="s">
        <v>1</v>
      </c>
      <c r="J148" s="6" t="str">
        <f t="shared" ref="J148" si="465">+J147</f>
        <v xml:space="preserve"> </v>
      </c>
      <c r="K148" s="5">
        <f t="shared" ref="K148:M148" si="466">+K147</f>
        <v>0</v>
      </c>
      <c r="L148" s="1">
        <f t="shared" si="466"/>
        <v>0</v>
      </c>
      <c r="M148" s="1">
        <f t="shared" si="466"/>
        <v>0</v>
      </c>
      <c r="N148" s="6" t="s">
        <v>32</v>
      </c>
    </row>
    <row r="149" spans="1:14" x14ac:dyDescent="0.3">
      <c r="A149" s="8">
        <f t="shared" si="459"/>
        <v>37</v>
      </c>
      <c r="B149" s="5" t="str">
        <f>+'libro compras'!$AB$1</f>
        <v>0131</v>
      </c>
      <c r="C149" s="1" t="str">
        <f t="shared" ref="C149" si="467">+C148</f>
        <v>103</v>
      </c>
      <c r="D149" s="1"/>
      <c r="E149" s="11" t="str">
        <f t="shared" ref="E149" si="468">+E148</f>
        <v/>
      </c>
      <c r="F149" s="6"/>
      <c r="G149" s="2">
        <f>-'libro compras'!I147</f>
        <v>0</v>
      </c>
      <c r="H149" s="6"/>
      <c r="I149" s="1" t="s">
        <v>1</v>
      </c>
      <c r="J149" s="6" t="str">
        <f t="shared" ref="J149" si="469">+J148</f>
        <v xml:space="preserve"> </v>
      </c>
      <c r="K149" s="5">
        <f t="shared" ref="K149:M149" si="470">+K148</f>
        <v>0</v>
      </c>
      <c r="L149" s="1">
        <f t="shared" si="470"/>
        <v>0</v>
      </c>
      <c r="M149" s="1">
        <f t="shared" si="470"/>
        <v>0</v>
      </c>
      <c r="N149" s="6" t="s">
        <v>32</v>
      </c>
    </row>
    <row r="150" spans="1:14" hidden="1" x14ac:dyDescent="0.3">
      <c r="A150" s="8">
        <f t="shared" ref="A150" si="471">1+A146</f>
        <v>38</v>
      </c>
      <c r="B150" s="5" t="str">
        <f>+'libro compras'!$AK$1</f>
        <v>281110</v>
      </c>
      <c r="C150" s="1" t="str">
        <f>+'libro compras'!Q151</f>
        <v>103</v>
      </c>
      <c r="D150" s="1"/>
      <c r="E150" s="11" t="str">
        <f>+'libro compras'!S151</f>
        <v/>
      </c>
      <c r="F150" s="6"/>
      <c r="G150" s="2">
        <f>+'libro compras'!AM151</f>
        <v>0</v>
      </c>
      <c r="H150" s="6"/>
      <c r="I150" s="6" t="s">
        <v>31</v>
      </c>
      <c r="J150" s="6" t="str">
        <f>+CONCATENATE('libro compras'!C151," ",'libro compras'!D151)</f>
        <v xml:space="preserve"> </v>
      </c>
      <c r="K150" s="5">
        <f>+'libro compras'!F151</f>
        <v>0</v>
      </c>
      <c r="L150" s="1">
        <f>+'libro compras'!C151</f>
        <v>0</v>
      </c>
      <c r="M150" s="5">
        <f>+'libro compras'!D151</f>
        <v>0</v>
      </c>
      <c r="N150" s="6" t="s">
        <v>32</v>
      </c>
    </row>
    <row r="151" spans="1:14" x14ac:dyDescent="0.3">
      <c r="A151" s="8">
        <f t="shared" ref="A151:A153" si="472">+A150</f>
        <v>38</v>
      </c>
      <c r="B151" s="5" t="str">
        <f>+'libro compras'!$AL$1</f>
        <v>401110</v>
      </c>
      <c r="C151" s="5" t="str">
        <f t="shared" ref="C151" si="473">+C150</f>
        <v>103</v>
      </c>
      <c r="D151" s="1"/>
      <c r="E151" s="11" t="str">
        <f t="shared" si="421"/>
        <v/>
      </c>
      <c r="F151" s="6"/>
      <c r="G151" s="2">
        <f>+'libro compras'!L151</f>
        <v>0</v>
      </c>
      <c r="H151" s="6"/>
      <c r="I151" s="6" t="s">
        <v>31</v>
      </c>
      <c r="J151" s="6" t="str">
        <f t="shared" ref="J151" si="474">+J150</f>
        <v xml:space="preserve"> </v>
      </c>
      <c r="K151" s="5">
        <f t="shared" ref="K151:M151" si="475">+K150</f>
        <v>0</v>
      </c>
      <c r="L151" s="1">
        <f t="shared" si="475"/>
        <v>0</v>
      </c>
      <c r="M151" s="1">
        <f t="shared" si="475"/>
        <v>0</v>
      </c>
      <c r="N151" s="6" t="s">
        <v>32</v>
      </c>
    </row>
    <row r="152" spans="1:14" x14ac:dyDescent="0.3">
      <c r="A152" s="8">
        <f t="shared" si="472"/>
        <v>38</v>
      </c>
      <c r="B152" s="5" t="str">
        <f>+'libro compras'!$AN$1</f>
        <v>421202</v>
      </c>
      <c r="C152" s="1" t="str">
        <f t="shared" ref="C152" si="476">+C151</f>
        <v>103</v>
      </c>
      <c r="D152" s="1"/>
      <c r="E152" s="11" t="str">
        <f t="shared" ref="E152" si="477">+E151</f>
        <v/>
      </c>
      <c r="F152" s="6"/>
      <c r="G152" s="2">
        <f>-'libro compras'!H151</f>
        <v>0</v>
      </c>
      <c r="H152" s="6"/>
      <c r="I152" s="1" t="s">
        <v>1</v>
      </c>
      <c r="J152" s="6" t="str">
        <f t="shared" ref="J152" si="478">+J151</f>
        <v xml:space="preserve"> </v>
      </c>
      <c r="K152" s="5">
        <f t="shared" ref="K152:M152" si="479">+K151</f>
        <v>0</v>
      </c>
      <c r="L152" s="1">
        <f t="shared" si="479"/>
        <v>0</v>
      </c>
      <c r="M152" s="1">
        <f t="shared" si="479"/>
        <v>0</v>
      </c>
      <c r="N152" s="6" t="s">
        <v>32</v>
      </c>
    </row>
    <row r="153" spans="1:14" x14ac:dyDescent="0.3">
      <c r="A153" s="8">
        <f t="shared" si="472"/>
        <v>38</v>
      </c>
      <c r="B153" s="5" t="str">
        <f>+'libro compras'!$AB$1</f>
        <v>0131</v>
      </c>
      <c r="C153" s="1" t="str">
        <f t="shared" ref="C153" si="480">+C152</f>
        <v>103</v>
      </c>
      <c r="D153" s="1"/>
      <c r="E153" s="11" t="str">
        <f t="shared" ref="E153" si="481">+E152</f>
        <v/>
      </c>
      <c r="F153" s="6"/>
      <c r="G153" s="2">
        <f>-'libro compras'!I151</f>
        <v>0</v>
      </c>
      <c r="H153" s="6"/>
      <c r="I153" s="1" t="s">
        <v>1</v>
      </c>
      <c r="J153" s="6" t="str">
        <f t="shared" ref="J153" si="482">+J152</f>
        <v xml:space="preserve"> </v>
      </c>
      <c r="K153" s="5">
        <f t="shared" ref="K153:M153" si="483">+K152</f>
        <v>0</v>
      </c>
      <c r="L153" s="1">
        <f t="shared" si="483"/>
        <v>0</v>
      </c>
      <c r="M153" s="1">
        <f t="shared" si="483"/>
        <v>0</v>
      </c>
      <c r="N153" s="6" t="s">
        <v>32</v>
      </c>
    </row>
    <row r="154" spans="1:14" hidden="1" x14ac:dyDescent="0.3">
      <c r="A154" s="8">
        <f t="shared" ref="A154" si="484">1+A150</f>
        <v>39</v>
      </c>
      <c r="B154" s="5" t="str">
        <f>+'libro compras'!$AK$1</f>
        <v>281110</v>
      </c>
      <c r="C154" s="1" t="str">
        <f>+'libro compras'!Q155</f>
        <v>103</v>
      </c>
      <c r="D154" s="1"/>
      <c r="E154" s="11" t="str">
        <f>+'libro compras'!S155</f>
        <v/>
      </c>
      <c r="F154" s="6"/>
      <c r="G154" s="2">
        <f>+'libro compras'!AM155</f>
        <v>0</v>
      </c>
      <c r="H154" s="6"/>
      <c r="I154" s="6" t="s">
        <v>31</v>
      </c>
      <c r="J154" s="6" t="str">
        <f>+CONCATENATE('libro compras'!C155," ",'libro compras'!D155)</f>
        <v xml:space="preserve"> </v>
      </c>
      <c r="K154" s="5">
        <f>+'libro compras'!F155</f>
        <v>0</v>
      </c>
      <c r="L154" s="1">
        <f>+'libro compras'!C155</f>
        <v>0</v>
      </c>
      <c r="M154" s="5">
        <f>+'libro compras'!D155</f>
        <v>0</v>
      </c>
      <c r="N154" s="6" t="s">
        <v>32</v>
      </c>
    </row>
    <row r="155" spans="1:14" x14ac:dyDescent="0.3">
      <c r="A155" s="8">
        <f t="shared" ref="A155:A157" si="485">+A154</f>
        <v>39</v>
      </c>
      <c r="B155" s="5" t="str">
        <f>+'libro compras'!$AL$1</f>
        <v>401110</v>
      </c>
      <c r="C155" s="5" t="str">
        <f t="shared" ref="C155" si="486">+C154</f>
        <v>103</v>
      </c>
      <c r="D155" s="1"/>
      <c r="E155" s="11" t="str">
        <f t="shared" si="421"/>
        <v/>
      </c>
      <c r="F155" s="6"/>
      <c r="G155" s="2">
        <f>+'libro compras'!L155</f>
        <v>0</v>
      </c>
      <c r="H155" s="6"/>
      <c r="I155" s="6" t="s">
        <v>31</v>
      </c>
      <c r="J155" s="6" t="str">
        <f t="shared" ref="J155" si="487">+J154</f>
        <v xml:space="preserve"> </v>
      </c>
      <c r="K155" s="5">
        <f t="shared" ref="K155:M155" si="488">+K154</f>
        <v>0</v>
      </c>
      <c r="L155" s="1">
        <f t="shared" si="488"/>
        <v>0</v>
      </c>
      <c r="M155" s="1">
        <f t="shared" si="488"/>
        <v>0</v>
      </c>
      <c r="N155" s="6" t="s">
        <v>32</v>
      </c>
    </row>
    <row r="156" spans="1:14" x14ac:dyDescent="0.3">
      <c r="A156" s="8">
        <f t="shared" si="485"/>
        <v>39</v>
      </c>
      <c r="B156" s="5" t="str">
        <f>+'libro compras'!$AN$1</f>
        <v>421202</v>
      </c>
      <c r="C156" s="1" t="str">
        <f t="shared" ref="C156" si="489">+C155</f>
        <v>103</v>
      </c>
      <c r="D156" s="1"/>
      <c r="E156" s="11" t="str">
        <f t="shared" ref="E156" si="490">+E155</f>
        <v/>
      </c>
      <c r="F156" s="6"/>
      <c r="G156" s="2">
        <f>-'libro compras'!H155</f>
        <v>0</v>
      </c>
      <c r="H156" s="6"/>
      <c r="I156" s="1" t="s">
        <v>1</v>
      </c>
      <c r="J156" s="6" t="str">
        <f t="shared" ref="J156" si="491">+J155</f>
        <v xml:space="preserve"> </v>
      </c>
      <c r="K156" s="5">
        <f t="shared" ref="K156:M156" si="492">+K155</f>
        <v>0</v>
      </c>
      <c r="L156" s="1">
        <f t="shared" si="492"/>
        <v>0</v>
      </c>
      <c r="M156" s="1">
        <f t="shared" si="492"/>
        <v>0</v>
      </c>
      <c r="N156" s="6" t="s">
        <v>32</v>
      </c>
    </row>
    <row r="157" spans="1:14" x14ac:dyDescent="0.3">
      <c r="A157" s="8">
        <f t="shared" si="485"/>
        <v>39</v>
      </c>
      <c r="B157" s="5" t="str">
        <f>+'libro compras'!$AB$1</f>
        <v>0131</v>
      </c>
      <c r="C157" s="1" t="str">
        <f t="shared" ref="C157" si="493">+C156</f>
        <v>103</v>
      </c>
      <c r="D157" s="1"/>
      <c r="E157" s="11" t="str">
        <f t="shared" ref="E157" si="494">+E156</f>
        <v/>
      </c>
      <c r="F157" s="6"/>
      <c r="G157" s="2">
        <f>-'libro compras'!I155</f>
        <v>0</v>
      </c>
      <c r="H157" s="6"/>
      <c r="I157" s="1" t="s">
        <v>1</v>
      </c>
      <c r="J157" s="6" t="str">
        <f t="shared" ref="J157" si="495">+J156</f>
        <v xml:space="preserve"> </v>
      </c>
      <c r="K157" s="5">
        <f t="shared" ref="K157:M157" si="496">+K156</f>
        <v>0</v>
      </c>
      <c r="L157" s="1">
        <f t="shared" si="496"/>
        <v>0</v>
      </c>
      <c r="M157" s="1">
        <f t="shared" si="496"/>
        <v>0</v>
      </c>
      <c r="N157" s="6" t="s">
        <v>32</v>
      </c>
    </row>
    <row r="158" spans="1:14" hidden="1" x14ac:dyDescent="0.3">
      <c r="A158" s="8">
        <f t="shared" ref="A158" si="497">1+A154</f>
        <v>40</v>
      </c>
      <c r="B158" s="5" t="str">
        <f>+'libro compras'!$AK$1</f>
        <v>281110</v>
      </c>
      <c r="C158" s="1" t="str">
        <f>+'libro compras'!Q159</f>
        <v>103</v>
      </c>
      <c r="D158" s="1"/>
      <c r="E158" s="11" t="str">
        <f>+'libro compras'!S159</f>
        <v/>
      </c>
      <c r="F158" s="6"/>
      <c r="G158" s="2">
        <f>+'libro compras'!AM159</f>
        <v>0</v>
      </c>
      <c r="H158" s="6"/>
      <c r="I158" s="6" t="s">
        <v>31</v>
      </c>
      <c r="J158" s="6" t="str">
        <f>+CONCATENATE('libro compras'!C159," ",'libro compras'!D159)</f>
        <v xml:space="preserve"> </v>
      </c>
      <c r="K158" s="5">
        <f>+'libro compras'!F159</f>
        <v>0</v>
      </c>
      <c r="L158" s="1">
        <f>+'libro compras'!C159</f>
        <v>0</v>
      </c>
      <c r="M158" s="5">
        <f>+'libro compras'!D159</f>
        <v>0</v>
      </c>
      <c r="N158" s="6" t="s">
        <v>32</v>
      </c>
    </row>
    <row r="159" spans="1:14" x14ac:dyDescent="0.3">
      <c r="A159" s="8">
        <f t="shared" ref="A159:A161" si="498">+A158</f>
        <v>40</v>
      </c>
      <c r="B159" s="5" t="str">
        <f>+'libro compras'!$AL$1</f>
        <v>401110</v>
      </c>
      <c r="C159" s="5" t="str">
        <f t="shared" ref="C159" si="499">+C158</f>
        <v>103</v>
      </c>
      <c r="D159" s="1"/>
      <c r="E159" s="11" t="str">
        <f t="shared" si="421"/>
        <v/>
      </c>
      <c r="F159" s="6"/>
      <c r="G159" s="2">
        <f>+'libro compras'!L159</f>
        <v>0</v>
      </c>
      <c r="H159" s="6"/>
      <c r="I159" s="6" t="s">
        <v>31</v>
      </c>
      <c r="J159" s="6" t="str">
        <f t="shared" ref="J159" si="500">+J158</f>
        <v xml:space="preserve"> </v>
      </c>
      <c r="K159" s="5">
        <f t="shared" ref="K159:M159" si="501">+K158</f>
        <v>0</v>
      </c>
      <c r="L159" s="1">
        <f t="shared" si="501"/>
        <v>0</v>
      </c>
      <c r="M159" s="1">
        <f t="shared" si="501"/>
        <v>0</v>
      </c>
      <c r="N159" s="6" t="s">
        <v>32</v>
      </c>
    </row>
    <row r="160" spans="1:14" x14ac:dyDescent="0.3">
      <c r="A160" s="8">
        <f t="shared" si="498"/>
        <v>40</v>
      </c>
      <c r="B160" s="5" t="str">
        <f>+'libro compras'!$AN$1</f>
        <v>421202</v>
      </c>
      <c r="C160" s="1" t="str">
        <f t="shared" ref="C160" si="502">+C159</f>
        <v>103</v>
      </c>
      <c r="D160" s="1"/>
      <c r="E160" s="11" t="str">
        <f t="shared" ref="E160" si="503">+E159</f>
        <v/>
      </c>
      <c r="F160" s="6"/>
      <c r="G160" s="2">
        <f>-'libro compras'!H159</f>
        <v>0</v>
      </c>
      <c r="H160" s="6"/>
      <c r="I160" s="1" t="s">
        <v>1</v>
      </c>
      <c r="J160" s="6" t="str">
        <f t="shared" ref="J160" si="504">+J159</f>
        <v xml:space="preserve"> </v>
      </c>
      <c r="K160" s="5">
        <f t="shared" ref="K160:M160" si="505">+K159</f>
        <v>0</v>
      </c>
      <c r="L160" s="1">
        <f t="shared" si="505"/>
        <v>0</v>
      </c>
      <c r="M160" s="1">
        <f t="shared" si="505"/>
        <v>0</v>
      </c>
      <c r="N160" s="6" t="s">
        <v>32</v>
      </c>
    </row>
    <row r="161" spans="1:14" x14ac:dyDescent="0.3">
      <c r="A161" s="8">
        <f t="shared" si="498"/>
        <v>40</v>
      </c>
      <c r="B161" s="5" t="str">
        <f>+'libro compras'!$AB$1</f>
        <v>0131</v>
      </c>
      <c r="C161" s="1" t="str">
        <f t="shared" ref="C161" si="506">+C160</f>
        <v>103</v>
      </c>
      <c r="D161" s="1"/>
      <c r="E161" s="11" t="str">
        <f t="shared" ref="E161" si="507">+E160</f>
        <v/>
      </c>
      <c r="F161" s="6"/>
      <c r="G161" s="2">
        <f>-'libro compras'!I159</f>
        <v>0</v>
      </c>
      <c r="H161" s="6"/>
      <c r="I161" s="1" t="s">
        <v>1</v>
      </c>
      <c r="J161" s="6" t="str">
        <f t="shared" ref="J161" si="508">+J160</f>
        <v xml:space="preserve"> </v>
      </c>
      <c r="K161" s="5">
        <f t="shared" ref="K161:M161" si="509">+K160</f>
        <v>0</v>
      </c>
      <c r="L161" s="1">
        <f t="shared" si="509"/>
        <v>0</v>
      </c>
      <c r="M161" s="1">
        <f t="shared" si="509"/>
        <v>0</v>
      </c>
      <c r="N161" s="6" t="s">
        <v>32</v>
      </c>
    </row>
    <row r="162" spans="1:14" hidden="1" x14ac:dyDescent="0.3">
      <c r="A162" s="8">
        <f t="shared" ref="A162" si="510">1+A158</f>
        <v>41</v>
      </c>
      <c r="B162" s="5" t="str">
        <f>+'libro compras'!$AK$1</f>
        <v>281110</v>
      </c>
      <c r="C162" s="1" t="str">
        <f>+'libro compras'!Q163</f>
        <v>103</v>
      </c>
      <c r="D162" s="1"/>
      <c r="E162" s="11" t="str">
        <f>+'libro compras'!S163</f>
        <v/>
      </c>
      <c r="F162" s="6"/>
      <c r="G162" s="2">
        <f>+'libro compras'!AM163</f>
        <v>0</v>
      </c>
      <c r="H162" s="6"/>
      <c r="I162" s="6" t="s">
        <v>31</v>
      </c>
      <c r="J162" s="6" t="str">
        <f>+CONCATENATE('libro compras'!C163," ",'libro compras'!D163)</f>
        <v xml:space="preserve"> </v>
      </c>
      <c r="K162" s="5">
        <f>+'libro compras'!F163</f>
        <v>0</v>
      </c>
      <c r="L162" s="1">
        <f>+'libro compras'!C163</f>
        <v>0</v>
      </c>
      <c r="M162" s="5">
        <f>+'libro compras'!D163</f>
        <v>0</v>
      </c>
      <c r="N162" s="6" t="s">
        <v>32</v>
      </c>
    </row>
    <row r="163" spans="1:14" x14ac:dyDescent="0.3">
      <c r="A163" s="8">
        <f t="shared" ref="A163:A165" si="511">+A162</f>
        <v>41</v>
      </c>
      <c r="B163" s="5" t="str">
        <f>+'libro compras'!$AL$1</f>
        <v>401110</v>
      </c>
      <c r="C163" s="5" t="str">
        <f t="shared" ref="C163" si="512">+C162</f>
        <v>103</v>
      </c>
      <c r="D163" s="1"/>
      <c r="E163" s="11" t="str">
        <f t="shared" si="421"/>
        <v/>
      </c>
      <c r="F163" s="6"/>
      <c r="G163" s="2">
        <f>+'libro compras'!L163</f>
        <v>0</v>
      </c>
      <c r="H163" s="6"/>
      <c r="I163" s="6" t="s">
        <v>31</v>
      </c>
      <c r="J163" s="6" t="str">
        <f t="shared" ref="J163" si="513">+J162</f>
        <v xml:space="preserve"> </v>
      </c>
      <c r="K163" s="5">
        <f t="shared" ref="K163:M163" si="514">+K162</f>
        <v>0</v>
      </c>
      <c r="L163" s="1">
        <f t="shared" si="514"/>
        <v>0</v>
      </c>
      <c r="M163" s="1">
        <f t="shared" si="514"/>
        <v>0</v>
      </c>
      <c r="N163" s="6" t="s">
        <v>32</v>
      </c>
    </row>
    <row r="164" spans="1:14" x14ac:dyDescent="0.3">
      <c r="A164" s="8">
        <f t="shared" si="511"/>
        <v>41</v>
      </c>
      <c r="B164" s="5" t="str">
        <f>+'libro compras'!$AN$1</f>
        <v>421202</v>
      </c>
      <c r="C164" s="1" t="str">
        <f t="shared" ref="C164" si="515">+C163</f>
        <v>103</v>
      </c>
      <c r="D164" s="1"/>
      <c r="E164" s="11" t="str">
        <f t="shared" ref="E164" si="516">+E163</f>
        <v/>
      </c>
      <c r="F164" s="6"/>
      <c r="G164" s="2">
        <f>-'libro compras'!H163</f>
        <v>0</v>
      </c>
      <c r="H164" s="6"/>
      <c r="I164" s="1" t="s">
        <v>1</v>
      </c>
      <c r="J164" s="6" t="str">
        <f t="shared" ref="J164" si="517">+J163</f>
        <v xml:space="preserve"> </v>
      </c>
      <c r="K164" s="5">
        <f t="shared" ref="K164:M164" si="518">+K163</f>
        <v>0</v>
      </c>
      <c r="L164" s="1">
        <f t="shared" si="518"/>
        <v>0</v>
      </c>
      <c r="M164" s="1">
        <f t="shared" si="518"/>
        <v>0</v>
      </c>
      <c r="N164" s="6" t="s">
        <v>32</v>
      </c>
    </row>
    <row r="165" spans="1:14" x14ac:dyDescent="0.3">
      <c r="A165" s="8">
        <f t="shared" si="511"/>
        <v>41</v>
      </c>
      <c r="B165" s="5" t="str">
        <f>+'libro compras'!$AB$1</f>
        <v>0131</v>
      </c>
      <c r="C165" s="1" t="str">
        <f t="shared" ref="C165" si="519">+C164</f>
        <v>103</v>
      </c>
      <c r="D165" s="1"/>
      <c r="E165" s="11" t="str">
        <f t="shared" ref="E165" si="520">+E164</f>
        <v/>
      </c>
      <c r="F165" s="6"/>
      <c r="G165" s="2">
        <f>-'libro compras'!I163</f>
        <v>0</v>
      </c>
      <c r="H165" s="6"/>
      <c r="I165" s="1" t="s">
        <v>1</v>
      </c>
      <c r="J165" s="6" t="str">
        <f t="shared" ref="J165" si="521">+J164</f>
        <v xml:space="preserve"> </v>
      </c>
      <c r="K165" s="5">
        <f t="shared" ref="K165:M165" si="522">+K164</f>
        <v>0</v>
      </c>
      <c r="L165" s="1">
        <f t="shared" si="522"/>
        <v>0</v>
      </c>
      <c r="M165" s="1">
        <f t="shared" si="522"/>
        <v>0</v>
      </c>
      <c r="N165" s="6" t="s">
        <v>32</v>
      </c>
    </row>
    <row r="166" spans="1:14" x14ac:dyDescent="0.3">
      <c r="A166" s="8">
        <f t="shared" ref="A166" si="523">1+A162</f>
        <v>42</v>
      </c>
      <c r="B166" s="5" t="str">
        <f>+'libro compras'!$AK$1</f>
        <v>281110</v>
      </c>
      <c r="C166" s="1" t="str">
        <f>+'libro compras'!Q167</f>
        <v>103</v>
      </c>
      <c r="D166" s="1"/>
      <c r="E166" s="11" t="str">
        <f>+'libro compras'!S167</f>
        <v/>
      </c>
      <c r="F166" s="6"/>
      <c r="G166" s="2">
        <f>+'libro compras'!AM167</f>
        <v>0</v>
      </c>
      <c r="H166" s="6"/>
      <c r="I166" s="6" t="s">
        <v>31</v>
      </c>
      <c r="J166" s="6" t="str">
        <f>+CONCATENATE('libro compras'!C167," ",'libro compras'!D167)</f>
        <v xml:space="preserve"> </v>
      </c>
      <c r="K166" s="5">
        <f>+'libro compras'!F167</f>
        <v>0</v>
      </c>
      <c r="L166" s="1">
        <f>+'libro compras'!C167</f>
        <v>0</v>
      </c>
      <c r="M166" s="5">
        <f>+'libro compras'!D167</f>
        <v>0</v>
      </c>
      <c r="N166" s="6" t="s">
        <v>32</v>
      </c>
    </row>
    <row r="167" spans="1:14" x14ac:dyDescent="0.3">
      <c r="A167" s="8">
        <f t="shared" ref="A167:A169" si="524">+A166</f>
        <v>42</v>
      </c>
      <c r="B167" s="5" t="str">
        <f>+'libro compras'!$AL$1</f>
        <v>401110</v>
      </c>
      <c r="C167" s="5" t="str">
        <f t="shared" ref="C167" si="525">+C166</f>
        <v>103</v>
      </c>
      <c r="D167" s="1"/>
      <c r="E167" s="11" t="str">
        <f t="shared" si="421"/>
        <v/>
      </c>
      <c r="F167" s="6"/>
      <c r="G167" s="2">
        <f>+'libro compras'!L167</f>
        <v>0</v>
      </c>
      <c r="H167" s="6"/>
      <c r="I167" s="6" t="s">
        <v>31</v>
      </c>
      <c r="J167" s="6" t="str">
        <f t="shared" ref="J167" si="526">+J166</f>
        <v xml:space="preserve"> </v>
      </c>
      <c r="K167" s="5">
        <f t="shared" ref="K167:M167" si="527">+K166</f>
        <v>0</v>
      </c>
      <c r="L167" s="1">
        <f t="shared" si="527"/>
        <v>0</v>
      </c>
      <c r="M167" s="1">
        <f t="shared" si="527"/>
        <v>0</v>
      </c>
      <c r="N167" s="6" t="s">
        <v>32</v>
      </c>
    </row>
    <row r="168" spans="1:14" x14ac:dyDescent="0.3">
      <c r="A168" s="8">
        <f t="shared" si="524"/>
        <v>42</v>
      </c>
      <c r="B168" s="5" t="str">
        <f>+'libro compras'!$AN$1</f>
        <v>421202</v>
      </c>
      <c r="C168" s="1" t="str">
        <f t="shared" ref="C168" si="528">+C167</f>
        <v>103</v>
      </c>
      <c r="D168" s="1"/>
      <c r="E168" s="11" t="str">
        <f t="shared" ref="E168" si="529">+E167</f>
        <v/>
      </c>
      <c r="F168" s="6"/>
      <c r="G168" s="2">
        <f>-'libro compras'!H167</f>
        <v>0</v>
      </c>
      <c r="H168" s="6"/>
      <c r="I168" s="1" t="s">
        <v>1</v>
      </c>
      <c r="J168" s="6" t="str">
        <f t="shared" ref="J168" si="530">+J167</f>
        <v xml:space="preserve"> </v>
      </c>
      <c r="K168" s="5">
        <f t="shared" ref="K168:M168" si="531">+K167</f>
        <v>0</v>
      </c>
      <c r="L168" s="1">
        <f t="shared" si="531"/>
        <v>0</v>
      </c>
      <c r="M168" s="1">
        <f t="shared" si="531"/>
        <v>0</v>
      </c>
      <c r="N168" s="6" t="s">
        <v>32</v>
      </c>
    </row>
    <row r="169" spans="1:14" x14ac:dyDescent="0.3">
      <c r="A169" s="8">
        <f t="shared" si="524"/>
        <v>42</v>
      </c>
      <c r="B169" s="5" t="str">
        <f>+'libro compras'!$AB$1</f>
        <v>0131</v>
      </c>
      <c r="C169" s="1" t="str">
        <f t="shared" ref="C169" si="532">+C168</f>
        <v>103</v>
      </c>
      <c r="D169" s="1"/>
      <c r="E169" s="11" t="str">
        <f t="shared" ref="E169" si="533">+E168</f>
        <v/>
      </c>
      <c r="F169" s="6"/>
      <c r="G169" s="2">
        <f>-'libro compras'!I167</f>
        <v>0</v>
      </c>
      <c r="H169" s="6"/>
      <c r="I169" s="1" t="s">
        <v>1</v>
      </c>
      <c r="J169" s="6" t="str">
        <f t="shared" ref="J169" si="534">+J168</f>
        <v xml:space="preserve"> </v>
      </c>
      <c r="K169" s="5">
        <f t="shared" ref="K169:M169" si="535">+K168</f>
        <v>0</v>
      </c>
      <c r="L169" s="1">
        <f t="shared" si="535"/>
        <v>0</v>
      </c>
      <c r="M169" s="1">
        <f t="shared" si="535"/>
        <v>0</v>
      </c>
      <c r="N169" s="6" t="s">
        <v>32</v>
      </c>
    </row>
    <row r="170" spans="1:14" x14ac:dyDescent="0.3">
      <c r="A170" s="8">
        <f t="shared" ref="A170" si="536">1+A166</f>
        <v>43</v>
      </c>
      <c r="B170" s="5" t="str">
        <f>+'libro compras'!$AK$1</f>
        <v>281110</v>
      </c>
      <c r="C170" s="1" t="str">
        <f>+'libro compras'!Q171</f>
        <v>103</v>
      </c>
      <c r="D170" s="1"/>
      <c r="E170" s="11" t="str">
        <f>+'libro compras'!S171</f>
        <v/>
      </c>
      <c r="F170" s="6"/>
      <c r="G170" s="2">
        <f>+'libro compras'!AM171</f>
        <v>0</v>
      </c>
      <c r="H170" s="6"/>
      <c r="I170" s="6" t="s">
        <v>31</v>
      </c>
      <c r="J170" s="6" t="str">
        <f>+CONCATENATE('libro compras'!C171," ",'libro compras'!D171)</f>
        <v xml:space="preserve"> </v>
      </c>
      <c r="K170" s="5">
        <f>+'libro compras'!F171</f>
        <v>0</v>
      </c>
      <c r="L170" s="1">
        <f>+'libro compras'!C171</f>
        <v>0</v>
      </c>
      <c r="M170" s="5">
        <f>+'libro compras'!D171</f>
        <v>0</v>
      </c>
      <c r="N170" s="6" t="s">
        <v>32</v>
      </c>
    </row>
    <row r="171" spans="1:14" x14ac:dyDescent="0.3">
      <c r="A171" s="8">
        <f t="shared" ref="A171:A173" si="537">+A170</f>
        <v>43</v>
      </c>
      <c r="B171" s="5" t="str">
        <f>+'libro compras'!$AL$1</f>
        <v>401110</v>
      </c>
      <c r="C171" s="5" t="str">
        <f t="shared" ref="C171" si="538">+C170</f>
        <v>103</v>
      </c>
      <c r="D171" s="1"/>
      <c r="E171" s="11" t="str">
        <f t="shared" si="421"/>
        <v/>
      </c>
      <c r="F171" s="6"/>
      <c r="G171" s="2">
        <f>+'libro compras'!L171</f>
        <v>0</v>
      </c>
      <c r="H171" s="6"/>
      <c r="I171" s="6" t="s">
        <v>31</v>
      </c>
      <c r="J171" s="6" t="str">
        <f t="shared" ref="J171" si="539">+J170</f>
        <v xml:space="preserve"> </v>
      </c>
      <c r="K171" s="5">
        <f t="shared" ref="K171:M171" si="540">+K170</f>
        <v>0</v>
      </c>
      <c r="L171" s="1">
        <f t="shared" si="540"/>
        <v>0</v>
      </c>
      <c r="M171" s="1">
        <f t="shared" si="540"/>
        <v>0</v>
      </c>
      <c r="N171" s="6" t="s">
        <v>32</v>
      </c>
    </row>
    <row r="172" spans="1:14" x14ac:dyDescent="0.3">
      <c r="A172" s="8">
        <f t="shared" si="537"/>
        <v>43</v>
      </c>
      <c r="B172" s="5" t="str">
        <f>+'libro compras'!$AN$1</f>
        <v>421202</v>
      </c>
      <c r="C172" s="1" t="str">
        <f t="shared" ref="C172" si="541">+C171</f>
        <v>103</v>
      </c>
      <c r="D172" s="1"/>
      <c r="E172" s="11" t="str">
        <f t="shared" ref="E172" si="542">+E171</f>
        <v/>
      </c>
      <c r="F172" s="6"/>
      <c r="G172" s="2">
        <f>-'libro compras'!H171</f>
        <v>0</v>
      </c>
      <c r="H172" s="6"/>
      <c r="I172" s="1" t="s">
        <v>1</v>
      </c>
      <c r="J172" s="6" t="str">
        <f t="shared" ref="J172" si="543">+J171</f>
        <v xml:space="preserve"> </v>
      </c>
      <c r="K172" s="5">
        <f t="shared" ref="K172:M172" si="544">+K171</f>
        <v>0</v>
      </c>
      <c r="L172" s="1">
        <f t="shared" si="544"/>
        <v>0</v>
      </c>
      <c r="M172" s="1">
        <f t="shared" si="544"/>
        <v>0</v>
      </c>
      <c r="N172" s="6" t="s">
        <v>32</v>
      </c>
    </row>
    <row r="173" spans="1:14" x14ac:dyDescent="0.3">
      <c r="A173" s="8">
        <f t="shared" si="537"/>
        <v>43</v>
      </c>
      <c r="B173" s="5" t="str">
        <f>+'libro compras'!$AB$1</f>
        <v>0131</v>
      </c>
      <c r="C173" s="1" t="str">
        <f t="shared" ref="C173" si="545">+C172</f>
        <v>103</v>
      </c>
      <c r="D173" s="1"/>
      <c r="E173" s="11" t="str">
        <f t="shared" ref="E173" si="546">+E172</f>
        <v/>
      </c>
      <c r="F173" s="6"/>
      <c r="G173" s="2">
        <f>-'libro compras'!I171</f>
        <v>0</v>
      </c>
      <c r="H173" s="6"/>
      <c r="I173" s="1" t="s">
        <v>1</v>
      </c>
      <c r="J173" s="6" t="str">
        <f t="shared" ref="J173" si="547">+J172</f>
        <v xml:space="preserve"> </v>
      </c>
      <c r="K173" s="5">
        <f t="shared" ref="K173:M173" si="548">+K172</f>
        <v>0</v>
      </c>
      <c r="L173" s="1">
        <f t="shared" si="548"/>
        <v>0</v>
      </c>
      <c r="M173" s="1">
        <f t="shared" si="548"/>
        <v>0</v>
      </c>
      <c r="N173" s="6" t="s">
        <v>32</v>
      </c>
    </row>
    <row r="174" spans="1:14" x14ac:dyDescent="0.3">
      <c r="A174" s="8">
        <f t="shared" ref="A174" si="549">1+A170</f>
        <v>44</v>
      </c>
      <c r="B174" s="5" t="str">
        <f>+'libro compras'!$AK$1</f>
        <v>281110</v>
      </c>
      <c r="C174" s="1" t="str">
        <f>+'libro compras'!Q175</f>
        <v>103</v>
      </c>
      <c r="D174" s="1"/>
      <c r="E174" s="11" t="str">
        <f>+'libro compras'!S175</f>
        <v/>
      </c>
      <c r="F174" s="6"/>
      <c r="G174" s="2">
        <f>+'libro compras'!AM175</f>
        <v>0</v>
      </c>
      <c r="H174" s="6"/>
      <c r="I174" s="6" t="s">
        <v>31</v>
      </c>
      <c r="J174" s="6" t="str">
        <f>+CONCATENATE('libro compras'!C175," ",'libro compras'!D175)</f>
        <v xml:space="preserve"> </v>
      </c>
      <c r="K174" s="5">
        <f>+'libro compras'!F175</f>
        <v>0</v>
      </c>
      <c r="L174" s="1">
        <f>+'libro compras'!C175</f>
        <v>0</v>
      </c>
      <c r="M174" s="5">
        <f>+'libro compras'!D175</f>
        <v>0</v>
      </c>
      <c r="N174" s="6" t="s">
        <v>32</v>
      </c>
    </row>
    <row r="175" spans="1:14" x14ac:dyDescent="0.3">
      <c r="A175" s="8">
        <f t="shared" ref="A175:A177" si="550">+A174</f>
        <v>44</v>
      </c>
      <c r="B175" s="5" t="str">
        <f>+'libro compras'!$AL$1</f>
        <v>401110</v>
      </c>
      <c r="C175" s="5" t="str">
        <f t="shared" ref="C175" si="551">+C174</f>
        <v>103</v>
      </c>
      <c r="D175" s="1"/>
      <c r="E175" s="11" t="str">
        <f t="shared" si="421"/>
        <v/>
      </c>
      <c r="F175" s="6"/>
      <c r="G175" s="2">
        <f>+'libro compras'!L175</f>
        <v>0</v>
      </c>
      <c r="H175" s="6"/>
      <c r="I175" s="6" t="s">
        <v>31</v>
      </c>
      <c r="J175" s="6" t="str">
        <f t="shared" ref="J175" si="552">+J174</f>
        <v xml:space="preserve"> </v>
      </c>
      <c r="K175" s="5">
        <f t="shared" ref="K175:M175" si="553">+K174</f>
        <v>0</v>
      </c>
      <c r="L175" s="1">
        <f t="shared" si="553"/>
        <v>0</v>
      </c>
      <c r="M175" s="1">
        <f t="shared" si="553"/>
        <v>0</v>
      </c>
      <c r="N175" s="6" t="s">
        <v>32</v>
      </c>
    </row>
    <row r="176" spans="1:14" x14ac:dyDescent="0.3">
      <c r="A176" s="8">
        <f t="shared" si="550"/>
        <v>44</v>
      </c>
      <c r="B176" s="5" t="str">
        <f>+'libro compras'!$AN$1</f>
        <v>421202</v>
      </c>
      <c r="C176" s="1" t="str">
        <f t="shared" ref="C176" si="554">+C175</f>
        <v>103</v>
      </c>
      <c r="D176" s="1"/>
      <c r="E176" s="11" t="str">
        <f t="shared" ref="E176" si="555">+E175</f>
        <v/>
      </c>
      <c r="F176" s="6"/>
      <c r="G176" s="2">
        <f>-'libro compras'!H175</f>
        <v>0</v>
      </c>
      <c r="H176" s="6"/>
      <c r="I176" s="1" t="s">
        <v>1</v>
      </c>
      <c r="J176" s="6" t="str">
        <f t="shared" ref="J176" si="556">+J175</f>
        <v xml:space="preserve"> </v>
      </c>
      <c r="K176" s="5">
        <f t="shared" ref="K176:M176" si="557">+K175</f>
        <v>0</v>
      </c>
      <c r="L176" s="1">
        <f t="shared" si="557"/>
        <v>0</v>
      </c>
      <c r="M176" s="1">
        <f t="shared" si="557"/>
        <v>0</v>
      </c>
      <c r="N176" s="6" t="s">
        <v>32</v>
      </c>
    </row>
    <row r="177" spans="1:14" x14ac:dyDescent="0.3">
      <c r="A177" s="8">
        <f t="shared" si="550"/>
        <v>44</v>
      </c>
      <c r="B177" s="5" t="str">
        <f>+'libro compras'!$AB$1</f>
        <v>0131</v>
      </c>
      <c r="C177" s="1" t="str">
        <f t="shared" ref="C177" si="558">+C176</f>
        <v>103</v>
      </c>
      <c r="D177" s="1"/>
      <c r="E177" s="11" t="str">
        <f t="shared" ref="E177" si="559">+E176</f>
        <v/>
      </c>
      <c r="F177" s="6"/>
      <c r="G177" s="2">
        <f>-'libro compras'!I175</f>
        <v>0</v>
      </c>
      <c r="H177" s="6"/>
      <c r="I177" s="1" t="s">
        <v>1</v>
      </c>
      <c r="J177" s="6" t="str">
        <f t="shared" ref="J177" si="560">+J176</f>
        <v xml:space="preserve"> </v>
      </c>
      <c r="K177" s="5">
        <f t="shared" ref="K177:M177" si="561">+K176</f>
        <v>0</v>
      </c>
      <c r="L177" s="1">
        <f t="shared" si="561"/>
        <v>0</v>
      </c>
      <c r="M177" s="1">
        <f t="shared" si="561"/>
        <v>0</v>
      </c>
      <c r="N177" s="6" t="s">
        <v>32</v>
      </c>
    </row>
    <row r="178" spans="1:14" hidden="1" x14ac:dyDescent="0.3">
      <c r="A178" s="8">
        <f t="shared" ref="A178" si="562">1+A174</f>
        <v>45</v>
      </c>
      <c r="B178" s="5" t="str">
        <f>+'libro compras'!$AK$1</f>
        <v>281110</v>
      </c>
      <c r="C178" s="1" t="str">
        <f>+'libro compras'!Q179</f>
        <v>103</v>
      </c>
      <c r="D178" s="1"/>
      <c r="E178" s="11" t="str">
        <f>+'libro compras'!S179</f>
        <v/>
      </c>
      <c r="F178" s="6"/>
      <c r="G178" s="2">
        <f>+'libro compras'!AM179</f>
        <v>0</v>
      </c>
      <c r="H178" s="6"/>
      <c r="I178" s="6" t="s">
        <v>31</v>
      </c>
      <c r="J178" s="6" t="str">
        <f>+CONCATENATE('libro compras'!C179," ",'libro compras'!D179)</f>
        <v xml:space="preserve"> </v>
      </c>
      <c r="K178" s="5">
        <f>+'libro compras'!F179</f>
        <v>0</v>
      </c>
      <c r="L178" s="1">
        <f>+'libro compras'!C179</f>
        <v>0</v>
      </c>
      <c r="M178" s="5">
        <f>+'libro compras'!D179</f>
        <v>0</v>
      </c>
      <c r="N178" s="6" t="s">
        <v>32</v>
      </c>
    </row>
    <row r="179" spans="1:14" x14ac:dyDescent="0.3">
      <c r="A179" s="8">
        <f t="shared" ref="A179:A181" si="563">+A178</f>
        <v>45</v>
      </c>
      <c r="B179" s="5" t="str">
        <f>+'libro compras'!$AL$1</f>
        <v>401110</v>
      </c>
      <c r="C179" s="5" t="str">
        <f t="shared" ref="C179" si="564">+C178</f>
        <v>103</v>
      </c>
      <c r="D179" s="1"/>
      <c r="E179" s="11" t="str">
        <f t="shared" si="421"/>
        <v/>
      </c>
      <c r="F179" s="6"/>
      <c r="G179" s="2">
        <f>+'libro compras'!L179</f>
        <v>0</v>
      </c>
      <c r="H179" s="6"/>
      <c r="I179" s="6" t="s">
        <v>31</v>
      </c>
      <c r="J179" s="6" t="str">
        <f t="shared" ref="J179" si="565">+J178</f>
        <v xml:space="preserve"> </v>
      </c>
      <c r="K179" s="5">
        <f t="shared" ref="K179:M179" si="566">+K178</f>
        <v>0</v>
      </c>
      <c r="L179" s="1">
        <f t="shared" si="566"/>
        <v>0</v>
      </c>
      <c r="M179" s="1">
        <f t="shared" si="566"/>
        <v>0</v>
      </c>
      <c r="N179" s="6" t="s">
        <v>32</v>
      </c>
    </row>
    <row r="180" spans="1:14" x14ac:dyDescent="0.3">
      <c r="A180" s="8">
        <f t="shared" si="563"/>
        <v>45</v>
      </c>
      <c r="B180" s="5" t="str">
        <f>+'libro compras'!$AN$1</f>
        <v>421202</v>
      </c>
      <c r="C180" s="1" t="str">
        <f t="shared" ref="C180" si="567">+C179</f>
        <v>103</v>
      </c>
      <c r="D180" s="1"/>
      <c r="E180" s="11" t="str">
        <f t="shared" ref="E180" si="568">+E179</f>
        <v/>
      </c>
      <c r="F180" s="6"/>
      <c r="G180" s="2">
        <f>-'libro compras'!H179</f>
        <v>0</v>
      </c>
      <c r="H180" s="6"/>
      <c r="I180" s="1" t="s">
        <v>1</v>
      </c>
      <c r="J180" s="6" t="str">
        <f t="shared" ref="J180" si="569">+J179</f>
        <v xml:space="preserve"> </v>
      </c>
      <c r="K180" s="5">
        <f t="shared" ref="K180:M180" si="570">+K179</f>
        <v>0</v>
      </c>
      <c r="L180" s="1">
        <f t="shared" si="570"/>
        <v>0</v>
      </c>
      <c r="M180" s="1">
        <f t="shared" si="570"/>
        <v>0</v>
      </c>
      <c r="N180" s="6" t="s">
        <v>32</v>
      </c>
    </row>
    <row r="181" spans="1:14" x14ac:dyDescent="0.3">
      <c r="A181" s="8">
        <f t="shared" si="563"/>
        <v>45</v>
      </c>
      <c r="B181" s="5" t="str">
        <f>+'libro compras'!$AB$1</f>
        <v>0131</v>
      </c>
      <c r="C181" s="1" t="str">
        <f t="shared" ref="C181" si="571">+C180</f>
        <v>103</v>
      </c>
      <c r="D181" s="1"/>
      <c r="E181" s="11" t="str">
        <f t="shared" ref="E181" si="572">+E180</f>
        <v/>
      </c>
      <c r="F181" s="6"/>
      <c r="G181" s="2">
        <f>-'libro compras'!I179</f>
        <v>0</v>
      </c>
      <c r="H181" s="6"/>
      <c r="I181" s="1" t="s">
        <v>1</v>
      </c>
      <c r="J181" s="6" t="str">
        <f t="shared" ref="J181" si="573">+J180</f>
        <v xml:space="preserve"> </v>
      </c>
      <c r="K181" s="5">
        <f t="shared" ref="K181:M181" si="574">+K180</f>
        <v>0</v>
      </c>
      <c r="L181" s="1">
        <f t="shared" si="574"/>
        <v>0</v>
      </c>
      <c r="M181" s="1">
        <f t="shared" si="574"/>
        <v>0</v>
      </c>
      <c r="N181" s="6" t="s">
        <v>32</v>
      </c>
    </row>
  </sheetData>
  <autoFilter ref="A1:N181" xr:uid="{28BE7508-02E0-4146-9E1F-8E351D118524}">
    <filterColumn colId="6">
      <filters>
        <filter val="1,202.95"/>
        <filter val="1,965.96"/>
        <filter val="101.82"/>
        <filter val="11,426.04"/>
        <filter val="11,607.14"/>
        <filter val="-11,607.14"/>
        <filter val="-11,980.00"/>
        <filter val="11.20"/>
        <filter val="-12,172.84"/>
        <filter val="-12,243.00"/>
        <filter val="-12,586.00"/>
        <filter val="12,740.41"/>
        <filter val="-12,740.41"/>
        <filter val="-12,932.00"/>
        <filter val="-13,112.00"/>
        <filter val="13,462.47"/>
        <filter val="-13,991.00"/>
        <filter val="14,212.85"/>
        <filter val="-14,212.85"/>
        <filter val="-14,569.00"/>
        <filter val="-14,858.00"/>
        <filter val="-14,909.00"/>
        <filter val="-14,918.00"/>
        <filter val="-14,965.00"/>
        <filter val="146.76"/>
        <filter val="-15,201.00"/>
        <filter val="-15,236.00"/>
        <filter val="-15,317.00"/>
        <filter val="-15,388.00"/>
        <filter val="-15,487.00"/>
        <filter val="-15,634.00"/>
        <filter val="16,870.39"/>
        <filter val="-16,877.91"/>
        <filter val="17,478.62"/>
        <filter val="-17,478.62"/>
        <filter val="-17,694.38"/>
        <filter val="18,024.02"/>
        <filter val="-18,024.02"/>
        <filter val="-18,240.00"/>
        <filter val="19,209.26"/>
        <filter val="-19,209.26"/>
        <filter val="2,269.09"/>
        <filter val="-2,490.00"/>
        <filter val="-2,506.00"/>
        <filter val="2,766.89"/>
        <filter val="20,150.91"/>
        <filter val="-20,154.63"/>
        <filter val="-21,349.00"/>
        <filter val="-22,414.00"/>
        <filter val="23,863.99"/>
        <filter val="-23,863.99"/>
        <filter val="26,138.00"/>
        <filter val="-26,149.20"/>
        <filter val="26,668.13"/>
        <filter val="-26,668.13"/>
        <filter val="26,786.63"/>
        <filter val="-26,786.63"/>
        <filter val="26,919.36"/>
        <filter val="-26,919.36"/>
        <filter val="28,018.95"/>
        <filter val="-28,018.95"/>
        <filter val="28,203.55"/>
        <filter val="28,765.10"/>
        <filter val="-28,765.10"/>
        <filter val="-28,888.70"/>
        <filter val="-3,078.00"/>
        <filter val="-3,260.00"/>
        <filter val="-3,412.00"/>
        <filter val="-3,777.00"/>
        <filter val="3.72"/>
        <filter val="30,068.24"/>
        <filter val="-32,034.20"/>
        <filter val="32,188.70"/>
        <filter val="-33,140.74"/>
        <filter val="35,965.89"/>
        <filter val="-35,965.89"/>
        <filter val="36,191.65"/>
        <filter val="-36,191.65"/>
        <filter val="4,231.91"/>
        <filter val="-4,490.00"/>
        <filter val="-4,656.00"/>
        <filter val="-4,754.00"/>
        <filter val="-4,827.00"/>
        <filter val="44.81"/>
        <filter val="45,001.72"/>
        <filter val="-45,080.74"/>
        <filter val="45,837.79"/>
        <filter val="-45,837.79"/>
        <filter val="46,119.38"/>
        <filter val="-46,119.38"/>
        <filter val="47,214.36"/>
        <filter val="47,339.65"/>
        <filter val="-47,361.12"/>
        <filter val="-48,288.09"/>
        <filter val="49,424.70"/>
        <filter val="-49,432.24"/>
        <filter val="-5,098.00"/>
        <filter val="-5,415.00"/>
        <filter val="50,379.04"/>
        <filter val="-52,648.13"/>
        <filter val="52,712.88"/>
        <filter val="54,400.65"/>
        <filter val="-54,400.65"/>
        <filter val="55,230.07"/>
        <filter val="-55,479.77"/>
        <filter val="55,670.21"/>
        <filter val="-55,670.21"/>
        <filter val="55,703.81"/>
        <filter val="-55,703.81"/>
        <filter val="-56,433.02"/>
        <filter val="57,043.58"/>
        <filter val="-57,043.58"/>
        <filter val="57,322.97"/>
        <filter val="-57,322.97"/>
        <filter val="57,576.60"/>
        <filter val="-57,576.60"/>
        <filter val="58,028.15"/>
        <filter val="-58,028.15"/>
        <filter val="58,299.66"/>
        <filter val="58,332.55"/>
        <filter val="-58,377.36"/>
        <filter val="-58,401.48"/>
        <filter val="-6,391.00"/>
        <filter val="68,783.04"/>
        <filter val="-68,783.04"/>
        <filter val="685.15"/>
        <filter val="-7,003.00"/>
        <filter val="-7,126.00"/>
        <filter val="-7,165.00"/>
        <filter val="-7,190.00"/>
        <filter val="-7,438.00"/>
        <filter val="-7,630.00"/>
        <filter val="-7,716.00"/>
        <filter val="7.52"/>
        <filter val="7.54"/>
        <filter val="746.80"/>
        <filter val="79.02"/>
        <filter val="-8,522.00"/>
        <filter val="-8,807.00"/>
        <filter val="80,507.08"/>
        <filter val="-80,507.08"/>
        <filter val="84,500.78"/>
        <filter val="-84,500.78"/>
        <filter val="9,357.40"/>
        <filter val="-9,357.40"/>
        <filter val="9,359.91"/>
        <filter val="-9,359.91"/>
        <filter val="-9,628.00"/>
        <filter val="-9,632.00"/>
        <filter val="948.44"/>
        <filter val="952.04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compras</vt:lpstr>
      <vt:lpstr>asiento conta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Torrealva</dc:creator>
  <cp:lastModifiedBy>Thiago Farias</cp:lastModifiedBy>
  <dcterms:created xsi:type="dcterms:W3CDTF">2024-08-13T19:39:03Z</dcterms:created>
  <dcterms:modified xsi:type="dcterms:W3CDTF">2025-07-02T18:59:55Z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2024-08-13T19:41:55Z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6b22abc8-38ba-4736-b42d-889b3643dc11</vt:lpwstr>
  </property>
  <property fmtid="{D5CDD505-2E9C-101B-9397-08002B2CF9AE}" pid="8" name="MSIP_Label_477eab6e-04c6-4822-9252-98ab9f25736b_ContentBits">
    <vt:lpwstr>2</vt:lpwstr>
  </property>
</Properties>
</file>